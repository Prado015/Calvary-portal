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432" windowHeight="8400" activeTab="3"/>
  </bookViews>
  <sheets>
    <sheet name="Summary" sheetId="1" r:id="rId1"/>
    <sheet name="LM" sheetId="2" r:id="rId2"/>
    <sheet name="AMM" sheetId="3" r:id="rId3"/>
    <sheet name="Youth" sheetId="4" r:id="rId4"/>
    <sheet name="Childrens" sheetId="5" r:id="rId5"/>
    <sheet name="All Attendance" sheetId="6" r:id="rId6"/>
    <sheet name="VA-H300" sheetId="7" r:id="rId7"/>
    <sheet name="dropdown list" sheetId="8" r:id="rId8"/>
    <sheet name="Youth masterlist - 12 CG" sheetId="9" state="hidden" r:id="rId9"/>
    <sheet name="Pivot - 12 CG" sheetId="10" state="hidden" r:id="rId10"/>
  </sheets>
  <definedNames>
    <definedName name="_xlnm._FilterDatabase" localSheetId="5" hidden="1">'All Attendance'!$B$10:$AE$826</definedName>
    <definedName name="_xlnm._FilterDatabase" localSheetId="8" hidden="1">'Youth masterlist - 12 CG'!$A$1:$R$171</definedName>
    <definedName name="Slicer_Cell_Group">#REF!</definedName>
    <definedName name="Slicer_Cell_Group1">#REF!</definedName>
    <definedName name="Slicer_City_Address21">#REF!</definedName>
    <definedName name="Slicer_Cell_Group2">#REF!</definedName>
    <definedName name="Slicer_City_Address3">#REF!</definedName>
    <definedName name="Slicer_Department">#REF!</definedName>
    <definedName name="Slicer_City_Address1">#REF!</definedName>
    <definedName name="Slicer_City_Address">#REF!</definedName>
    <definedName name="Slicer_City_Address2">#REF!</definedName>
    <definedName name="Z_BCA4C585_C249_4BB0_8EE7_E4361962E073_.wvu.FilterData" localSheetId="2" hidden="1">AMM!$D$4:$AQ$299</definedName>
    <definedName name="Z_BCA4C585_C249_4BB0_8EE7_E4361962E073_.wvu.FilterData" localSheetId="4" hidden="1">Childrens!$D$4:$AP$201</definedName>
    <definedName name="Z_BCA4C585_C249_4BB0_8EE7_E4361962E073_.wvu.FilterData" localSheetId="3" hidden="1">Youth!$D$4:$AS$401</definedName>
    <definedName name="Z_BCA4C585_C249_4BB0_8EE7_E4361962E073_.wvu.FilterData" localSheetId="1" hidden="1">LM!$D$4:$AQ$298</definedName>
    <definedName name="Z_BCA4C585_C249_4BB0_8EE7_E4361962E073_.wvu.FilterData" localSheetId="6" hidden="1">'VA-H300'!$D$7:$BG$352</definedName>
  </definedNames>
  <calcPr calcId="191029"/>
  <customWorkbookViews>
    <customWorkbookView name="Filter 1" guid="{BCA4C585-C249-4BB0-8EE7-E4361962E073}" maximized="1" windowWidth="0" windowHeight="0" activeSheetId="0"/>
  </customWorkbookViews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<sst xmlns="http://schemas.openxmlformats.org/spreadsheetml/2006/main" count="12176" uniqueCount="4416">
  <si>
    <t>CHURCH MEMBERS PROFILING (Summary)</t>
  </si>
  <si>
    <t xml:space="preserve"> TOTAL HEADCOUNT</t>
  </si>
  <si>
    <t>LM</t>
  </si>
  <si>
    <t>AMM</t>
  </si>
  <si>
    <t>YOUTH</t>
  </si>
  <si>
    <t>CHILDREN</t>
  </si>
  <si>
    <t>PROFILING FORM</t>
  </si>
  <si>
    <t>YES</t>
  </si>
  <si>
    <t>NO</t>
  </si>
  <si>
    <t>LADIES MINISTRIES DEPARTMENT</t>
  </si>
  <si>
    <t>Count per filter</t>
  </si>
  <si>
    <t>With Profiling Forn</t>
  </si>
  <si>
    <t>Status</t>
  </si>
  <si>
    <t>Cell Group</t>
  </si>
  <si>
    <t>Age Group</t>
  </si>
  <si>
    <t>CG Position</t>
  </si>
  <si>
    <t>Full Name (Last, First)</t>
  </si>
  <si>
    <t>Last Name</t>
  </si>
  <si>
    <t>First Name</t>
  </si>
  <si>
    <t>Middle Initial</t>
  </si>
  <si>
    <t>Gender</t>
  </si>
  <si>
    <t>Street</t>
  </si>
  <si>
    <t>City Address</t>
  </si>
  <si>
    <t>Provincial Address</t>
  </si>
  <si>
    <t>Contact Number</t>
  </si>
  <si>
    <t>Email</t>
  </si>
  <si>
    <t>Birthdate</t>
  </si>
  <si>
    <t>Age</t>
  </si>
  <si>
    <t>Birthplace</t>
  </si>
  <si>
    <t>Father</t>
  </si>
  <si>
    <t>Mother</t>
  </si>
  <si>
    <t>Baptized in Water</t>
  </si>
  <si>
    <t>Date</t>
  </si>
  <si>
    <t>Baptized in Holy Ghost</t>
  </si>
  <si>
    <t>Date2</t>
  </si>
  <si>
    <t>Former Religious Affiliation</t>
  </si>
  <si>
    <t>Educational Attaintment</t>
  </si>
  <si>
    <t>Current Occupation</t>
  </si>
  <si>
    <t>Church ministries (Present)</t>
  </si>
  <si>
    <t>Church ministries (Past)</t>
  </si>
  <si>
    <t>Personal skills</t>
  </si>
  <si>
    <t>Sports Interest</t>
  </si>
  <si>
    <t>Other skills</t>
  </si>
  <si>
    <t>Spouse Name</t>
  </si>
  <si>
    <t>Spouse Occupation</t>
  </si>
  <si>
    <t>Is you spouse a believer?</t>
  </si>
  <si>
    <t>Do both of you attend the same church?</t>
  </si>
  <si>
    <t>Emergency Contact</t>
  </si>
  <si>
    <t>Address</t>
  </si>
  <si>
    <t>Relationship</t>
  </si>
  <si>
    <t>Contact Number2</t>
  </si>
  <si>
    <t>Yes</t>
  </si>
  <si>
    <t>Palm</t>
  </si>
  <si>
    <t>Secretary</t>
  </si>
  <si>
    <t>Abuan</t>
  </si>
  <si>
    <t>Christine</t>
  </si>
  <si>
    <t>Villamin</t>
  </si>
  <si>
    <t>Female</t>
  </si>
  <si>
    <t>14 Purok 8 Upper Km 5</t>
  </si>
  <si>
    <t>Asin Road</t>
  </si>
  <si>
    <t>Paniqui, Tarlac</t>
  </si>
  <si>
    <t>0927-393-4928</t>
  </si>
  <si>
    <t>cmvillamin.11@gmail.com</t>
  </si>
  <si>
    <t>Quezon City</t>
  </si>
  <si>
    <t>Villamin, Martin Labasan</t>
  </si>
  <si>
    <t>Villamin, Irene Macadangdang</t>
  </si>
  <si>
    <t>November 11, 2009</t>
  </si>
  <si>
    <t>December 26, 2009</t>
  </si>
  <si>
    <t>College Level</t>
  </si>
  <si>
    <t>Accountant</t>
  </si>
  <si>
    <t>Music Ministry - Choir, Bible Quizzing Commission</t>
  </si>
  <si>
    <t>Teaching, Music Ministry - Choir, Youth and Church Leader</t>
  </si>
  <si>
    <t>Table Tennis</t>
  </si>
  <si>
    <t>Abuan, Jomar Caballero</t>
  </si>
  <si>
    <t>Virtual Assistant</t>
  </si>
  <si>
    <t>Abuan, Jomar</t>
  </si>
  <si>
    <t>14 Purok 8 Upper Km 5, Asin Rd</t>
  </si>
  <si>
    <t>Spouse</t>
  </si>
  <si>
    <t>0946-168-8476</t>
  </si>
  <si>
    <t>No</t>
  </si>
  <si>
    <t>Almond</t>
  </si>
  <si>
    <t>Member</t>
  </si>
  <si>
    <t>Maria Fe</t>
  </si>
  <si>
    <t>Caballero</t>
  </si>
  <si>
    <t>0910-944-4093</t>
  </si>
  <si>
    <t>Juniper</t>
  </si>
  <si>
    <t>Akiapat</t>
  </si>
  <si>
    <t>Felipa</t>
  </si>
  <si>
    <t>MD 212 Longlong</t>
  </si>
  <si>
    <t>Puguis, La Trinidad</t>
  </si>
  <si>
    <t>0949-370-2539</t>
  </si>
  <si>
    <t>Acacia</t>
  </si>
  <si>
    <t>Leader</t>
  </si>
  <si>
    <t>Alarcio</t>
  </si>
  <si>
    <t>Grace</t>
  </si>
  <si>
    <t>11 Purok 8 Sampaguita Site</t>
  </si>
  <si>
    <t>San Luis Village</t>
  </si>
  <si>
    <t>0910-882-0715</t>
  </si>
  <si>
    <t>Ilocos Sur</t>
  </si>
  <si>
    <t>Aquino, Samuel</t>
  </si>
  <si>
    <t>Cofolan, Virginia</t>
  </si>
  <si>
    <t>December 1998</t>
  </si>
  <si>
    <t>Assembly of God</t>
  </si>
  <si>
    <t>Vocational Course</t>
  </si>
  <si>
    <t>Vendor</t>
  </si>
  <si>
    <t>LM Cellgroup Secretary</t>
  </si>
  <si>
    <t>Ushering Secretary</t>
  </si>
  <si>
    <t>Tailoring</t>
  </si>
  <si>
    <t>Alarcio, Marcial</t>
  </si>
  <si>
    <t>Driver</t>
  </si>
  <si>
    <t>11 Purok 8 Sampaguita Site San Luis Village</t>
  </si>
  <si>
    <t>0950-516-2515</t>
  </si>
  <si>
    <t>Kaye Cee</t>
  </si>
  <si>
    <t>D</t>
  </si>
  <si>
    <t>0948-589-8500</t>
  </si>
  <si>
    <t>kayeceedangca@gmail.com</t>
  </si>
  <si>
    <t>Rosario, La Union</t>
  </si>
  <si>
    <t>Dangca, Edgardo</t>
  </si>
  <si>
    <t>Dangca, Tessie</t>
  </si>
  <si>
    <t>2025</t>
  </si>
  <si>
    <t>February 23, 2025</t>
  </si>
  <si>
    <t>Roman Catholic</t>
  </si>
  <si>
    <t>Alarcio, Laurence</t>
  </si>
  <si>
    <t>Baguio City</t>
  </si>
  <si>
    <t>0963-888-1378</t>
  </si>
  <si>
    <t>Cedar</t>
  </si>
  <si>
    <t>Assistant Leader</t>
  </si>
  <si>
    <t>Alcoriza</t>
  </si>
  <si>
    <t>Jocelyn</t>
  </si>
  <si>
    <t>Goldfield, Itogon</t>
  </si>
  <si>
    <t>0946-625-8081</t>
  </si>
  <si>
    <t>Goldfield</t>
  </si>
  <si>
    <t>Estoe, Rudy</t>
  </si>
  <si>
    <t>Estoe, Teodora</t>
  </si>
  <si>
    <t>--- 19, 1994</t>
  </si>
  <si>
    <t>Alcoriza, Reynaldo</t>
  </si>
  <si>
    <t>Taxi Driver</t>
  </si>
  <si>
    <t>Bentrez, Genera</t>
  </si>
  <si>
    <t>Goldfield Itogon</t>
  </si>
  <si>
    <t>Auntie</t>
  </si>
  <si>
    <t>Aleo</t>
  </si>
  <si>
    <t>Nena</t>
  </si>
  <si>
    <t>AP 06B</t>
  </si>
  <si>
    <t>Ambiong Central, La Trinidad</t>
  </si>
  <si>
    <t>0949-820-4911</t>
  </si>
  <si>
    <t>Sagada Mt. Province</t>
  </si>
  <si>
    <t>Mastere, Eduardo</t>
  </si>
  <si>
    <t>Mastere, Neno Ogues</t>
  </si>
  <si>
    <t>August 1999</t>
  </si>
  <si>
    <t>Anglican</t>
  </si>
  <si>
    <t>B.S. Commerce</t>
  </si>
  <si>
    <t>Housewife</t>
  </si>
  <si>
    <t>Photography, Gardening</t>
  </si>
  <si>
    <t>Volleyball</t>
  </si>
  <si>
    <t>Cooking</t>
  </si>
  <si>
    <t>Aleo, Alexander</t>
  </si>
  <si>
    <t>Retired Military Officer</t>
  </si>
  <si>
    <t>Not Yet</t>
  </si>
  <si>
    <t>AP 06B Ambiong Central</t>
  </si>
  <si>
    <t>Amistad</t>
  </si>
  <si>
    <t>Hadassah Olive</t>
  </si>
  <si>
    <t>C</t>
  </si>
  <si>
    <t>7 Purok 1</t>
  </si>
  <si>
    <t>Irisan</t>
  </si>
  <si>
    <t>0946-457-5445</t>
  </si>
  <si>
    <t>lovedatsima@gmail.com</t>
  </si>
  <si>
    <t>Olongapo City</t>
  </si>
  <si>
    <t>Castro, Simplicio Jr.</t>
  </si>
  <si>
    <t>Castro, Rizalina</t>
  </si>
  <si>
    <t>November 1998</t>
  </si>
  <si>
    <t>College Undergrad</t>
  </si>
  <si>
    <t>Children's Ministries</t>
  </si>
  <si>
    <t>Ushering</t>
  </si>
  <si>
    <t>Teaching, Arts and Deco, Baking</t>
  </si>
  <si>
    <t>Amistad, Joseph Sinesin</t>
  </si>
  <si>
    <t>7 Purok 1 Irisan</t>
  </si>
  <si>
    <t>0918-502-8785</t>
  </si>
  <si>
    <t>Sycamore</t>
  </si>
  <si>
    <t>Jolie Mae</t>
  </si>
  <si>
    <t>Amplogio</t>
  </si>
  <si>
    <t>Gina</t>
  </si>
  <si>
    <t>Odalio</t>
  </si>
  <si>
    <t>JB 51-G Capharan</t>
  </si>
  <si>
    <t>Pico, La Trinidad</t>
  </si>
  <si>
    <t>ginaamplogio4@gmail.com</t>
  </si>
  <si>
    <t>Bauko, Mt. province</t>
  </si>
  <si>
    <t>Odalio, Carlos</t>
  </si>
  <si>
    <t>Odalio, Lolita</t>
  </si>
  <si>
    <t>College Graduate</t>
  </si>
  <si>
    <t>Self-employed</t>
  </si>
  <si>
    <t>Teaching</t>
  </si>
  <si>
    <t>Amplogio, Charlie</t>
  </si>
  <si>
    <t>Naimes, Melecia</t>
  </si>
  <si>
    <t>Lubas, La Trinidad</t>
  </si>
  <si>
    <t>Sibling</t>
  </si>
  <si>
    <t>0960-652-4642</t>
  </si>
  <si>
    <t>Oak</t>
  </si>
  <si>
    <t>Ancheta</t>
  </si>
  <si>
    <t>Jennylyn</t>
  </si>
  <si>
    <t>29 Avelino St</t>
  </si>
  <si>
    <t>Andres Bonifacio</t>
  </si>
  <si>
    <t>0945-094-6242</t>
  </si>
  <si>
    <t>Andrada</t>
  </si>
  <si>
    <t>Lolita</t>
  </si>
  <si>
    <t>Ano</t>
  </si>
  <si>
    <t>Emiliana</t>
  </si>
  <si>
    <t>Cudlas</t>
  </si>
  <si>
    <t>520 Purok 8 Badihoy St.</t>
  </si>
  <si>
    <t>Pinsao Proper</t>
  </si>
  <si>
    <t>0946-023-0167</t>
  </si>
  <si>
    <t>Burgos La Union</t>
  </si>
  <si>
    <t>Cudlas, Velasco Padilla</t>
  </si>
  <si>
    <t>Cayat, Marcelina Gacao</t>
  </si>
  <si>
    <t>June 28, 1998</t>
  </si>
  <si>
    <t>Personal Collection Dealer</t>
  </si>
  <si>
    <t>LM Cellgroup Leader</t>
  </si>
  <si>
    <t>Ano, Albert Capuyan</t>
  </si>
  <si>
    <t>Tagudin, Amie Ano</t>
  </si>
  <si>
    <t>520 Purok 8 Badihoy St. Pinsao Proper</t>
  </si>
  <si>
    <t>Daughter</t>
  </si>
  <si>
    <t>Apilada</t>
  </si>
  <si>
    <t>Susan</t>
  </si>
  <si>
    <t>B</t>
  </si>
  <si>
    <t>057 Sitio Paltingan</t>
  </si>
  <si>
    <t>Ambiong, La Trinidad</t>
  </si>
  <si>
    <t>Tayug Pangasinan</t>
  </si>
  <si>
    <t>0935-997-6857</t>
  </si>
  <si>
    <t>Bermudez, Marcelo (+)</t>
  </si>
  <si>
    <t>February 2004</t>
  </si>
  <si>
    <t>March 2005</t>
  </si>
  <si>
    <t>High school level</t>
  </si>
  <si>
    <t>Online selling direct</t>
  </si>
  <si>
    <t>Apilada, Armando R.</t>
  </si>
  <si>
    <t>Security Officer</t>
  </si>
  <si>
    <t>057 Sitio Paltingan Ambiong La Trinidad</t>
  </si>
  <si>
    <t>0909-572-3317</t>
  </si>
  <si>
    <t>Olive</t>
  </si>
  <si>
    <t>Aragon</t>
  </si>
  <si>
    <t>Elaine Marie</t>
  </si>
  <si>
    <t>W</t>
  </si>
  <si>
    <t>8 De Tesis St</t>
  </si>
  <si>
    <t>Aurora Hill</t>
  </si>
  <si>
    <t>0994-157-8818</t>
  </si>
  <si>
    <t>Wong, Benjamin Jr.</t>
  </si>
  <si>
    <t>Wong, Teofila</t>
  </si>
  <si>
    <t>July 14, 2000</t>
  </si>
  <si>
    <t>HR Officer at Good taste Otek</t>
  </si>
  <si>
    <t>Music Ministry - Choir</t>
  </si>
  <si>
    <t>Music Ministry - Choir, Youth adviser</t>
  </si>
  <si>
    <t>Teaching, Singing</t>
  </si>
  <si>
    <t>Aragon, Marc Andrew Revi</t>
  </si>
  <si>
    <t>Dedurr Operator</t>
  </si>
  <si>
    <t>8 De Tesis St Aurora Hill</t>
  </si>
  <si>
    <t>0994-371-9691</t>
  </si>
  <si>
    <t>Arcangel</t>
  </si>
  <si>
    <t>Delia</t>
  </si>
  <si>
    <t>Larida</t>
  </si>
  <si>
    <t>Padre Zamora St Purok 2</t>
  </si>
  <si>
    <t>Zamora St</t>
  </si>
  <si>
    <t>Negros Occidental</t>
  </si>
  <si>
    <t>San Carlos Negros Occidental</t>
  </si>
  <si>
    <t>Larida, Hilardo Gripo</t>
  </si>
  <si>
    <t>Larida, Lovepta Cantojos</t>
  </si>
  <si>
    <t>March 13,2005</t>
  </si>
  <si>
    <t>September 18, 2005</t>
  </si>
  <si>
    <t>Protestant</t>
  </si>
  <si>
    <t>Grade 2</t>
  </si>
  <si>
    <t>Beautician / Cooking</t>
  </si>
  <si>
    <t>Singing</t>
  </si>
  <si>
    <t>Basketball</t>
  </si>
  <si>
    <t>Cooking, Tailoring</t>
  </si>
  <si>
    <t>Arcangel, Ramon Sr.</t>
  </si>
  <si>
    <t>Mailare, Mona Jessica</t>
  </si>
  <si>
    <t>Teachers Camp</t>
  </si>
  <si>
    <t>Mulberry</t>
  </si>
  <si>
    <t>Ayson</t>
  </si>
  <si>
    <t>Cora</t>
  </si>
  <si>
    <t>Ayungo</t>
  </si>
  <si>
    <t>Ailene</t>
  </si>
  <si>
    <t>Baydal</t>
  </si>
  <si>
    <t>9 Tangerine Lane Avelino St.</t>
  </si>
  <si>
    <t>Fairview</t>
  </si>
  <si>
    <t>Antipolo Rizal</t>
  </si>
  <si>
    <t>0923-942-4149 / 0912-112-1123</t>
  </si>
  <si>
    <t>ailenebaydal80@gmail.com</t>
  </si>
  <si>
    <t>Putatan Muntinlupa Manila</t>
  </si>
  <si>
    <t>Baydal, Alejandro Mata</t>
  </si>
  <si>
    <t>Baydal, Evelyn España</t>
  </si>
  <si>
    <t>First year college</t>
  </si>
  <si>
    <t>4Life Research / Suntrust Properties Inc</t>
  </si>
  <si>
    <t>Music Ministry - Choir, Ushering</t>
  </si>
  <si>
    <t>Arts and Deco, Photography</t>
  </si>
  <si>
    <t>Ayungo, Martin Jr.</t>
  </si>
  <si>
    <t>Personal driver, Project specialist</t>
  </si>
  <si>
    <t>9 Tangerine Lane Avelino St. Fairview</t>
  </si>
  <si>
    <t>Bacsa</t>
  </si>
  <si>
    <t>Hyneth Gwenn</t>
  </si>
  <si>
    <t>048-B Boted</t>
  </si>
  <si>
    <t>Tawang, La Trinidad</t>
  </si>
  <si>
    <t>0967-301-6762</t>
  </si>
  <si>
    <t>bryllevhien@gmail.com</t>
  </si>
  <si>
    <t>La Trinidad Benguet</t>
  </si>
  <si>
    <t>Badilla, Brenson (+)</t>
  </si>
  <si>
    <t>Badilla, Beverly</t>
  </si>
  <si>
    <t>Tesda Graduate</t>
  </si>
  <si>
    <t>Volleyball, Badminton</t>
  </si>
  <si>
    <t>Baking</t>
  </si>
  <si>
    <t>Bacsa, Vhal</t>
  </si>
  <si>
    <t>048-B Boted Tawang La Trinidad</t>
  </si>
  <si>
    <t>Pomegranate</t>
  </si>
  <si>
    <t>Bagtilay</t>
  </si>
  <si>
    <t>Lety</t>
  </si>
  <si>
    <t>IC-121 KM 6</t>
  </si>
  <si>
    <t>Betag, La Trinidad</t>
  </si>
  <si>
    <t>0912-190-4528 / 422-3285</t>
  </si>
  <si>
    <t>letybagtilay9@gmail.com</t>
  </si>
  <si>
    <t>Mejia, Felix Sr. (+)</t>
  </si>
  <si>
    <t>Mejia, Virginia A (+)</t>
  </si>
  <si>
    <t>Secretarial Graduate</t>
  </si>
  <si>
    <t>LM Cellgroup Assistant Leader</t>
  </si>
  <si>
    <t>Bagtilay, Jimmy (+)</t>
  </si>
  <si>
    <t>Onalan, Milagros</t>
  </si>
  <si>
    <t>IC-121 KM 6 Betag La Trinidad</t>
  </si>
  <si>
    <t>Sister-in-law</t>
  </si>
  <si>
    <t>0925-746-5573</t>
  </si>
  <si>
    <t>Balbino</t>
  </si>
  <si>
    <t>Beverly</t>
  </si>
  <si>
    <t>Apugan</t>
  </si>
  <si>
    <t>Sto. Tomas</t>
  </si>
  <si>
    <t>0927-062-6427</t>
  </si>
  <si>
    <t>Balinggan</t>
  </si>
  <si>
    <t>Deborah</t>
  </si>
  <si>
    <t>Gene</t>
  </si>
  <si>
    <t>154 BPI CPD</t>
  </si>
  <si>
    <t>Cresencia Village</t>
  </si>
  <si>
    <t>Shilan La Trinidad</t>
  </si>
  <si>
    <t>0939-918-6017 / 424-8932</t>
  </si>
  <si>
    <t>gbalinggan@gmail.com</t>
  </si>
  <si>
    <t>Tampoa, Rex</t>
  </si>
  <si>
    <t>Tampoa, Rufina</t>
  </si>
  <si>
    <t>December 2025</t>
  </si>
  <si>
    <t>2006</t>
  </si>
  <si>
    <t>SDA</t>
  </si>
  <si>
    <t>MA Psych</t>
  </si>
  <si>
    <t>Instructor in UC</t>
  </si>
  <si>
    <t>Balinggan, Jenkinson</t>
  </si>
  <si>
    <t>154 BPI CPD Cresencia Village</t>
  </si>
  <si>
    <t>0939-918-6025</t>
  </si>
  <si>
    <t>Jubilee</t>
  </si>
  <si>
    <t>Bañez</t>
  </si>
  <si>
    <t>0998-988-8046</t>
  </si>
  <si>
    <t>Mercedes</t>
  </si>
  <si>
    <t>Lucando</t>
  </si>
  <si>
    <t>Kabuyao</t>
  </si>
  <si>
    <t>Poblacion, Tuba</t>
  </si>
  <si>
    <t>0918-366-1587</t>
  </si>
  <si>
    <t>Kabuyao Pob. Tuba Benguet</t>
  </si>
  <si>
    <t>Lucando, Picoy (+)</t>
  </si>
  <si>
    <t>Lucando, Margarita (+)</t>
  </si>
  <si>
    <t>Midwifery Graduate</t>
  </si>
  <si>
    <t>Church Elder</t>
  </si>
  <si>
    <t>LM President</t>
  </si>
  <si>
    <t>Balinggan, Paul</t>
  </si>
  <si>
    <t>0918-422-3882</t>
  </si>
  <si>
    <t>Balneg</t>
  </si>
  <si>
    <t>Rose</t>
  </si>
  <si>
    <t>U</t>
  </si>
  <si>
    <t>Blk Lot 19B NHA</t>
  </si>
  <si>
    <t>Tadiangan, Tuba</t>
  </si>
  <si>
    <t>09219-75-9585</t>
  </si>
  <si>
    <t>Union, Madrid Surigao Del Sur</t>
  </si>
  <si>
    <t>Urbiztondo, Walfredo</t>
  </si>
  <si>
    <t>Urbiztondo, Pepita</t>
  </si>
  <si>
    <t>February 2, 2025</t>
  </si>
  <si>
    <t>Jesus is Lord</t>
  </si>
  <si>
    <t>Balneg, Alfredo</t>
  </si>
  <si>
    <t>Farmer</t>
  </si>
  <si>
    <t>Balneg, Queen Crystalee</t>
  </si>
  <si>
    <t>Blk Lot 19B NHA Housing</t>
  </si>
  <si>
    <t>0912-521-4964</t>
  </si>
  <si>
    <t>Tamarisk</t>
  </si>
  <si>
    <t>Bambao</t>
  </si>
  <si>
    <t>Joanna</t>
  </si>
  <si>
    <t>15 Balacbac Central</t>
  </si>
  <si>
    <t>Sto. Tomas Proper</t>
  </si>
  <si>
    <t>Dagupan City, Pangasinan</t>
  </si>
  <si>
    <t>Caneng, Feliciano</t>
  </si>
  <si>
    <t>Caneng, Tomasa</t>
  </si>
  <si>
    <t>November 2, 2001</t>
  </si>
  <si>
    <t>June 1, 2002</t>
  </si>
  <si>
    <t>Bambao, Angel Jr.</t>
  </si>
  <si>
    <t>OFW</t>
  </si>
  <si>
    <t>Bambao, Joanna / Bambao, KC</t>
  </si>
  <si>
    <t>Balacbac</t>
  </si>
  <si>
    <t>Spouse / Daughter</t>
  </si>
  <si>
    <t>0912-186-2964 / 0969-386-4628</t>
  </si>
  <si>
    <t>Hazelnut</t>
  </si>
  <si>
    <t>Banaag</t>
  </si>
  <si>
    <t>Marjorie</t>
  </si>
  <si>
    <t>Bakakeng Central</t>
  </si>
  <si>
    <t>0949-848-4774</t>
  </si>
  <si>
    <t>Bañares</t>
  </si>
  <si>
    <t>Alicia Hafalla</t>
  </si>
  <si>
    <t>Gemma</t>
  </si>
  <si>
    <t>Lucina</t>
  </si>
  <si>
    <t>Bangibang</t>
  </si>
  <si>
    <t>Mila</t>
  </si>
  <si>
    <t>Block 21 NHA</t>
  </si>
  <si>
    <t>0916-159-1002</t>
  </si>
  <si>
    <t>Bas-ilan</t>
  </si>
  <si>
    <t>Benita</t>
  </si>
  <si>
    <t>0909-576-2084</t>
  </si>
  <si>
    <t>Bangao, Buguias, Benguet</t>
  </si>
  <si>
    <t>Badilla, Pakito</t>
  </si>
  <si>
    <t>Badilla, Lumina</t>
  </si>
  <si>
    <t>November 18, 1998</t>
  </si>
  <si>
    <t>August 23, 1998</t>
  </si>
  <si>
    <t>Batacan</t>
  </si>
  <si>
    <t>Diane</t>
  </si>
  <si>
    <t>Bayla</t>
  </si>
  <si>
    <t>Denise</t>
  </si>
  <si>
    <t>Elizabeth</t>
  </si>
  <si>
    <t>L</t>
  </si>
  <si>
    <t>27 Purok 4</t>
  </si>
  <si>
    <t>0920-983-4258</t>
  </si>
  <si>
    <t>elizabethbayla@gmail.com</t>
  </si>
  <si>
    <t>Tuba, Benguet</t>
  </si>
  <si>
    <t>Lay-at, Samson Sr.</t>
  </si>
  <si>
    <t>Sugel, Francisca</t>
  </si>
  <si>
    <t>September 26, 1993</t>
  </si>
  <si>
    <t>Athlete under PSC</t>
  </si>
  <si>
    <t>Teaching, Bible Study</t>
  </si>
  <si>
    <t>Teaching, Singing, Playing musical instrument, Literary Composition</t>
  </si>
  <si>
    <t>Archery</t>
  </si>
  <si>
    <t>Bayla,Raigirando</t>
  </si>
  <si>
    <t>Bayla, Kevin Anthony</t>
  </si>
  <si>
    <t>27 Purok 4 Irisan</t>
  </si>
  <si>
    <t>Son</t>
  </si>
  <si>
    <t>0927-765-1999</t>
  </si>
  <si>
    <t>Camile</t>
  </si>
  <si>
    <t>F</t>
  </si>
  <si>
    <t>0915-954-6909</t>
  </si>
  <si>
    <t>sheethalfrigill@gmail.com</t>
  </si>
  <si>
    <t>Frigillana, Moreno</t>
  </si>
  <si>
    <t>Frigillana, Elizabeth</t>
  </si>
  <si>
    <t>Admin Officer - TESDA</t>
  </si>
  <si>
    <t>Arts &amp; Deco</t>
  </si>
  <si>
    <t>Billiards</t>
  </si>
  <si>
    <t>Welding</t>
  </si>
  <si>
    <t>Bayla, Eldrin Raig</t>
  </si>
  <si>
    <t>Aircraft Mechanic</t>
  </si>
  <si>
    <t>Bayla, Elrdin Raig</t>
  </si>
  <si>
    <t>Same as home address</t>
  </si>
  <si>
    <t>0961-910-2180</t>
  </si>
  <si>
    <t>Belarmino</t>
  </si>
  <si>
    <t>Ranelda</t>
  </si>
  <si>
    <t>Belleza</t>
  </si>
  <si>
    <t>Rosie</t>
  </si>
  <si>
    <t>O</t>
  </si>
  <si>
    <t>53 Badihoy St</t>
  </si>
  <si>
    <t>Guisad Surong</t>
  </si>
  <si>
    <t>Blk 82 Lot 116 Area D Sapang Palay San Jose Del Monte City Bulacan</t>
  </si>
  <si>
    <t>0955-318-8513</t>
  </si>
  <si>
    <t>iamrosiebee@gmail.com</t>
  </si>
  <si>
    <t>Goa, Camarines Sur</t>
  </si>
  <si>
    <t>Belleza, Jaime B. (+)</t>
  </si>
  <si>
    <t>Belleza, Marita O. (+)</t>
  </si>
  <si>
    <t>March 4, 2004</t>
  </si>
  <si>
    <t>2005</t>
  </si>
  <si>
    <t>Househelper</t>
  </si>
  <si>
    <t>Singing, Song Lead, Back-up</t>
  </si>
  <si>
    <t>Castillo, Antonino B.</t>
  </si>
  <si>
    <t>Yap, Erson</t>
  </si>
  <si>
    <t>Mrr. Queen of Peace, Baguio</t>
  </si>
  <si>
    <t>Bentrez</t>
  </si>
  <si>
    <t>Genera</t>
  </si>
  <si>
    <t>Salve</t>
  </si>
  <si>
    <t>354 Goldfield</t>
  </si>
  <si>
    <t>Poblacion, Itogon</t>
  </si>
  <si>
    <t>0929-182-0905</t>
  </si>
  <si>
    <t>Ucab, Itogon</t>
  </si>
  <si>
    <t>Salve, Anastacio (+)</t>
  </si>
  <si>
    <t>Salve, Beatriz Balacdan</t>
  </si>
  <si>
    <t>November 8, 1981</t>
  </si>
  <si>
    <t>September 1982</t>
  </si>
  <si>
    <t>UCCP</t>
  </si>
  <si>
    <t>LM President, Sunday School Teacher (Beginner Class)</t>
  </si>
  <si>
    <t>Singing, Playing Musical instruments</t>
  </si>
  <si>
    <t>Bentrez, Larry (+)</t>
  </si>
  <si>
    <t>Bentrez, Isaac</t>
  </si>
  <si>
    <t>123 Blk 3 Middle Quirino Hill</t>
  </si>
  <si>
    <t>0977-822-5999</t>
  </si>
  <si>
    <t>Jacqueline</t>
  </si>
  <si>
    <t>R</t>
  </si>
  <si>
    <t>123 Blk 3</t>
  </si>
  <si>
    <t>Middle Quirino Hill</t>
  </si>
  <si>
    <t>0927-211-0251</t>
  </si>
  <si>
    <t>jacquelinebentrez2016@gmail.com</t>
  </si>
  <si>
    <t>Floridablanca Pampanga</t>
  </si>
  <si>
    <t>Regala, Pablo</t>
  </si>
  <si>
    <t>Regala, Emie</t>
  </si>
  <si>
    <t>BEED</t>
  </si>
  <si>
    <t>CM Directress</t>
  </si>
  <si>
    <t>Teaching, Arts and Deco</t>
  </si>
  <si>
    <t>Teacher</t>
  </si>
  <si>
    <t>Bokket</t>
  </si>
  <si>
    <t>Maria Rita</t>
  </si>
  <si>
    <t>134 Blk 2</t>
  </si>
  <si>
    <t>East Quirino Hill</t>
  </si>
  <si>
    <t>0930-185-7642</t>
  </si>
  <si>
    <t>San Esteban Pilar Capiz</t>
  </si>
  <si>
    <t>Bacanto, Isedro</t>
  </si>
  <si>
    <t>Bacanto, Josepina</t>
  </si>
  <si>
    <t>2009</t>
  </si>
  <si>
    <t>Elementary</t>
  </si>
  <si>
    <t>Weaving</t>
  </si>
  <si>
    <t>Sunday School Teacher, LM Secretary</t>
  </si>
  <si>
    <t>Bokket, Victor</t>
  </si>
  <si>
    <t>Truck Driver</t>
  </si>
  <si>
    <t>134 Blk 2 East Quirino Hill</t>
  </si>
  <si>
    <t>0948-713-3512</t>
  </si>
  <si>
    <t>Boteng</t>
  </si>
  <si>
    <t>Angeline</t>
  </si>
  <si>
    <t>FC 323</t>
  </si>
  <si>
    <t>Central Balili, La Trinidad</t>
  </si>
  <si>
    <t>0928-412-5014</t>
  </si>
  <si>
    <t>anzeraf@gmail.com</t>
  </si>
  <si>
    <t>Boteng, Jaime</t>
  </si>
  <si>
    <t>Boteng, Sofia</t>
  </si>
  <si>
    <t>June 1997</t>
  </si>
  <si>
    <t>Post Graduate</t>
  </si>
  <si>
    <t>Teacher - DepEd</t>
  </si>
  <si>
    <t>Music Ministry - Choir, Sunday School Teacher</t>
  </si>
  <si>
    <t>FC 323 Central Balili, La Trinidad</t>
  </si>
  <si>
    <t>0949-647-5784</t>
  </si>
  <si>
    <t>Zandra</t>
  </si>
  <si>
    <t>Broqueza</t>
  </si>
  <si>
    <t>Maylene Miles</t>
  </si>
  <si>
    <t>P</t>
  </si>
  <si>
    <t>Sorsogon City</t>
  </si>
  <si>
    <t>0945-508-6556</t>
  </si>
  <si>
    <t>Broqueza, Manuel</t>
  </si>
  <si>
    <t>Broqueza, Pacita</t>
  </si>
  <si>
    <t>1999</t>
  </si>
  <si>
    <t>Pentecostal</t>
  </si>
  <si>
    <t>Bachelor of Secretarial Administration</t>
  </si>
  <si>
    <t>Manager of Personal Collection</t>
  </si>
  <si>
    <t>Volleyball, Basketball</t>
  </si>
  <si>
    <t>Bulalin</t>
  </si>
  <si>
    <t>Lita</t>
  </si>
  <si>
    <t>Cabalfin</t>
  </si>
  <si>
    <t>Jennifer</t>
  </si>
  <si>
    <t>Cabay</t>
  </si>
  <si>
    <t>Alice</t>
  </si>
  <si>
    <t>M</t>
  </si>
  <si>
    <t>Magsaysay Private Road</t>
  </si>
  <si>
    <t>0910-386-7673</t>
  </si>
  <si>
    <t>alicecabay031267@gmail.com</t>
  </si>
  <si>
    <t>July 1990</t>
  </si>
  <si>
    <t>1990</t>
  </si>
  <si>
    <t>Second year college</t>
  </si>
  <si>
    <t>Badminton</t>
  </si>
  <si>
    <t>Cabay, Peter</t>
  </si>
  <si>
    <t>Business Man</t>
  </si>
  <si>
    <t>70 Magsaysay Private Road Baguio City</t>
  </si>
  <si>
    <t>0985-542-3884</t>
  </si>
  <si>
    <t>Chestnut</t>
  </si>
  <si>
    <t>Arlyn</t>
  </si>
  <si>
    <t>Doligas</t>
  </si>
  <si>
    <t>Purok 2 Km 3</t>
  </si>
  <si>
    <t>Dacudac, Tadian, Mt. Province</t>
  </si>
  <si>
    <t>0938-806-4029</t>
  </si>
  <si>
    <t>cabayarlyn@gmail.com</t>
  </si>
  <si>
    <t>Tadian, Mt. Province</t>
  </si>
  <si>
    <t>Doligan, Juliet Soliman</t>
  </si>
  <si>
    <t>August 1998</t>
  </si>
  <si>
    <t>Palti-ing</t>
  </si>
  <si>
    <t>Teacher - San Luis Elementary School</t>
  </si>
  <si>
    <t>Cabay, Charles Pingian</t>
  </si>
  <si>
    <t>Brgy. Kagawad - BLGU Duagan, Tadian</t>
  </si>
  <si>
    <t>36 Private Rd. Trancoville</t>
  </si>
  <si>
    <t>Brother-in-law</t>
  </si>
  <si>
    <t>Fermina</t>
  </si>
  <si>
    <t>348 Banig</t>
  </si>
  <si>
    <t>0930-228-1744 / 0991-112-0281</t>
  </si>
  <si>
    <t>Ladilad, Gregorio</t>
  </si>
  <si>
    <t>Ladilad, Lingdan</t>
  </si>
  <si>
    <t>March 1994</t>
  </si>
  <si>
    <t>Cabay, Rogelio</t>
  </si>
  <si>
    <t>De Guzman, Marissa</t>
  </si>
  <si>
    <t>Tawang La Trinidad</t>
  </si>
  <si>
    <t>0968-509-7545</t>
  </si>
  <si>
    <t>Cadiay</t>
  </si>
  <si>
    <t>Merriam</t>
  </si>
  <si>
    <t>Badiwan</t>
  </si>
  <si>
    <t>0928-374-5381</t>
  </si>
  <si>
    <t>Vivian</t>
  </si>
  <si>
    <t>Calias</t>
  </si>
  <si>
    <t>Pilora</t>
  </si>
  <si>
    <t>Purok Dumilos</t>
  </si>
  <si>
    <t>Tuding Proper, Itogon</t>
  </si>
  <si>
    <t>Dalupirip Uling Itogon Benguet</t>
  </si>
  <si>
    <t>0910-589-2276</t>
  </si>
  <si>
    <t>Itogon Benguet</t>
  </si>
  <si>
    <t>Calias, Maroy</t>
  </si>
  <si>
    <t>Calias, Terina Pokdo</t>
  </si>
  <si>
    <t>1985</t>
  </si>
  <si>
    <t>Calias, Mercy</t>
  </si>
  <si>
    <t>Sister</t>
  </si>
  <si>
    <t>Calimlim</t>
  </si>
  <si>
    <t>Jamielyn</t>
  </si>
  <si>
    <t>R.</t>
  </si>
  <si>
    <t>1 Purok 5</t>
  </si>
  <si>
    <t>Holy Ghost Proper</t>
  </si>
  <si>
    <t>524 Penged Nangalisan Tuba Benguet</t>
  </si>
  <si>
    <t>0963-888-1394</t>
  </si>
  <si>
    <t>calimlimjamiely18@gmail.com</t>
  </si>
  <si>
    <t>La Trinidad</t>
  </si>
  <si>
    <t>Robles, Jimmy N.</t>
  </si>
  <si>
    <t>Robles, Arcelie T.</t>
  </si>
  <si>
    <t>Roman Catholic &amp; Oneness Pioneering Church</t>
  </si>
  <si>
    <t>Vocational</t>
  </si>
  <si>
    <t>Teaching; Playing Musical AInstruments</t>
  </si>
  <si>
    <t>Calimlim, Jared B.</t>
  </si>
  <si>
    <t>Facilities Operation &amp; Maintenance Tech.</t>
  </si>
  <si>
    <t>Same as Home Address</t>
  </si>
  <si>
    <t>Camil</t>
  </si>
  <si>
    <t>Marissa</t>
  </si>
  <si>
    <t>S</t>
  </si>
  <si>
    <t>0907-150-6329</t>
  </si>
  <si>
    <t>Simeon, Salvador</t>
  </si>
  <si>
    <t>Simeon, Jean</t>
  </si>
  <si>
    <t>Roman Catholic | A.G.</t>
  </si>
  <si>
    <t>Sunday School Teacher</t>
  </si>
  <si>
    <t>Camil, Rogelio</t>
  </si>
  <si>
    <t>Apugan Sto. Tomas</t>
  </si>
  <si>
    <t>Camodag</t>
  </si>
  <si>
    <t>Juliet</t>
  </si>
  <si>
    <t>Camora</t>
  </si>
  <si>
    <t>Cheril</t>
  </si>
  <si>
    <t>Purok 1</t>
  </si>
  <si>
    <t>0985-805-9140</t>
  </si>
  <si>
    <t>camoracheril07@gmail.com</t>
  </si>
  <si>
    <t>Glenda</t>
  </si>
  <si>
    <t>Tingdan</t>
  </si>
  <si>
    <t>04 Lower Balacbac</t>
  </si>
  <si>
    <t>0919-563-5186</t>
  </si>
  <si>
    <t>Marlyn</t>
  </si>
  <si>
    <t>Green Valley Village</t>
  </si>
  <si>
    <t>0949-500-0010</t>
  </si>
  <si>
    <t>Camora, Leonardo</t>
  </si>
  <si>
    <t>Camora, Camila Cabinta</t>
  </si>
  <si>
    <t>Cano</t>
  </si>
  <si>
    <t>Rena</t>
  </si>
  <si>
    <t>2nd Cave, Crystal Cave</t>
  </si>
  <si>
    <t>0916-542-1730</t>
  </si>
  <si>
    <t>Caragay</t>
  </si>
  <si>
    <t>Cita</t>
  </si>
  <si>
    <t>Erla</t>
  </si>
  <si>
    <t>Purok 126 Sunny Side</t>
  </si>
  <si>
    <t>0966-360-3518</t>
  </si>
  <si>
    <t>Kimberly</t>
  </si>
  <si>
    <t>Barlaan</t>
  </si>
  <si>
    <t>Cariño</t>
  </si>
  <si>
    <t>Emelita</t>
  </si>
  <si>
    <t>Ledesma St</t>
  </si>
  <si>
    <t>0912-714-7007 / 445-3201</t>
  </si>
  <si>
    <t>February 14, 2013</t>
  </si>
  <si>
    <t>February 27, 2013</t>
  </si>
  <si>
    <t>Playing Musical Instruments</t>
  </si>
  <si>
    <t>Castro</t>
  </si>
  <si>
    <t>Ellen</t>
  </si>
  <si>
    <t>OC-074</t>
  </si>
  <si>
    <t>Central Tawang, La Trinidad</t>
  </si>
  <si>
    <t>0909-383-8570</t>
  </si>
  <si>
    <t>April 24, 1994</t>
  </si>
  <si>
    <t>LM Cellgroup Assistant Leader, Treasurer</t>
  </si>
  <si>
    <t>Treasurer</t>
  </si>
  <si>
    <t>Castro, Harold</t>
  </si>
  <si>
    <t>Harnelle, Harell, Henzy</t>
  </si>
  <si>
    <t>OC-074 Central Tawang La Trinidad</t>
  </si>
  <si>
    <t>Sons</t>
  </si>
  <si>
    <t>0963-991-0741 / 0945-375-1608</t>
  </si>
  <si>
    <t>Rizalina</t>
  </si>
  <si>
    <t>0917-176-0408</t>
  </si>
  <si>
    <t>Catacutan</t>
  </si>
  <si>
    <t>Jurina</t>
  </si>
  <si>
    <t>Upper Pinget</t>
  </si>
  <si>
    <t>0985-033-9905</t>
  </si>
  <si>
    <t>Cayandag</t>
  </si>
  <si>
    <t>Marilou</t>
  </si>
  <si>
    <t>P2-#224</t>
  </si>
  <si>
    <t>Poliwes</t>
  </si>
  <si>
    <t>0910-807-5193</t>
  </si>
  <si>
    <t>maloucayandag701@gmail.com</t>
  </si>
  <si>
    <t>Lepanto Mankayan</t>
  </si>
  <si>
    <t>Palitayan, Stephen Sr.</t>
  </si>
  <si>
    <t>Palitayan, Elizabeth</t>
  </si>
  <si>
    <t>Pharmacist - BGH</t>
  </si>
  <si>
    <t>Cayandag, Jimmy</t>
  </si>
  <si>
    <t>Zoning Inspector</t>
  </si>
  <si>
    <t>P2-#224 Poliwes</t>
  </si>
  <si>
    <t>Ciriaco</t>
  </si>
  <si>
    <t>Ginalyn</t>
  </si>
  <si>
    <t>151 Takay Sunnyside</t>
  </si>
  <si>
    <t>Dipaculao, Baler</t>
  </si>
  <si>
    <t>0927-272-6079</t>
  </si>
  <si>
    <t>Ciriaco, Patricio</t>
  </si>
  <si>
    <t>Joaquin, Teresita</t>
  </si>
  <si>
    <t>Coraza</t>
  </si>
  <si>
    <t>Jean</t>
  </si>
  <si>
    <t>Sapsing</t>
  </si>
  <si>
    <t>Beckel, La Trinidad</t>
  </si>
  <si>
    <t>0968-758-2372</t>
  </si>
  <si>
    <t>Pacyaya, David</t>
  </si>
  <si>
    <t>Matias, Rose Lagmay (+)</t>
  </si>
  <si>
    <t>April 1993</t>
  </si>
  <si>
    <t>December 1993</t>
  </si>
  <si>
    <t>Gardening</t>
  </si>
  <si>
    <t>Coraza, Arnulfo</t>
  </si>
  <si>
    <t>Laborer</t>
  </si>
  <si>
    <t>Coraza, Ameeran</t>
  </si>
  <si>
    <t>Loakan, Baguio City</t>
  </si>
  <si>
    <t>0918-414-0717</t>
  </si>
  <si>
    <t>Coyasan</t>
  </si>
  <si>
    <t>Mary Joe</t>
  </si>
  <si>
    <t>Cosme</t>
  </si>
  <si>
    <t>AB006</t>
  </si>
  <si>
    <t>Pingad, Sabangan, Mt. Province</t>
  </si>
  <si>
    <t>0928-194-5799</t>
  </si>
  <si>
    <t>Cosme, Godfrey</t>
  </si>
  <si>
    <t>Banggiwak, Ana</t>
  </si>
  <si>
    <t>Cleaning</t>
  </si>
  <si>
    <t>Coyasan, Priston</t>
  </si>
  <si>
    <t>Driver / Construction</t>
  </si>
  <si>
    <t>AB006 Ambiong La Trinidad</t>
  </si>
  <si>
    <t>0918-620-3449</t>
  </si>
  <si>
    <t>Sonia</t>
  </si>
  <si>
    <t>Rala</t>
  </si>
  <si>
    <t>OE26 Dengsi</t>
  </si>
  <si>
    <t>Malasiqui, Pangasinan</t>
  </si>
  <si>
    <t>0939-468-7391</t>
  </si>
  <si>
    <t>coyasansonia@gmail.com</t>
  </si>
  <si>
    <t>Pangasinan</t>
  </si>
  <si>
    <t>Rala, Gregorio</t>
  </si>
  <si>
    <t>Gamayen, Susana</t>
  </si>
  <si>
    <t>December 26, 1990</t>
  </si>
  <si>
    <t>January 1, 1991</t>
  </si>
  <si>
    <t>Soul winning</t>
  </si>
  <si>
    <t>Coyasan, Julio</t>
  </si>
  <si>
    <t>Reflexology / Driver</t>
  </si>
  <si>
    <t>OE26 Dengsi Tawang La Trinidad</t>
  </si>
  <si>
    <t>0939-567-3119</t>
  </si>
  <si>
    <t>Cruz</t>
  </si>
  <si>
    <t>Juanita</t>
  </si>
  <si>
    <t>Neverida</t>
  </si>
  <si>
    <t>47 Purok 5</t>
  </si>
  <si>
    <t>Upper Fairview</t>
  </si>
  <si>
    <t>Sta. Rita Aringay La Union</t>
  </si>
  <si>
    <t>0921-935-2642</t>
  </si>
  <si>
    <t>Aringay, La Union</t>
  </si>
  <si>
    <t>Neverida, Florencio (+)</t>
  </si>
  <si>
    <t>Neverida, Magdalena (+)</t>
  </si>
  <si>
    <t>February 11, 1988</t>
  </si>
  <si>
    <t>April 1988</t>
  </si>
  <si>
    <t>Sunday School Teacher, Singing, Ushering</t>
  </si>
  <si>
    <t xml:space="preserve">Volleyball </t>
  </si>
  <si>
    <t>Crochet making</t>
  </si>
  <si>
    <t>Cruz, Alberto (+)</t>
  </si>
  <si>
    <t>Cruz, Kim Michael</t>
  </si>
  <si>
    <t>47 Purok 5 Upper Fairview</t>
  </si>
  <si>
    <t>0927-727-5059</t>
  </si>
  <si>
    <t>Kristine</t>
  </si>
  <si>
    <t>123 Blk3</t>
  </si>
  <si>
    <t>0945-770-8142</t>
  </si>
  <si>
    <t>kristinedcruz@gmail.com</t>
  </si>
  <si>
    <t>De Vera, Jaime Sr. (+)</t>
  </si>
  <si>
    <t>Deloterio, Veronica</t>
  </si>
  <si>
    <t>September 23, 1999</t>
  </si>
  <si>
    <t>IELTS Teacher</t>
  </si>
  <si>
    <t>Sunday School Ministry, Choir</t>
  </si>
  <si>
    <t>Ushering Department, Youth Leader</t>
  </si>
  <si>
    <t>Cruz, Marlon</t>
  </si>
  <si>
    <t>Delivery Rider</t>
  </si>
  <si>
    <t>123 Blk3 Middle Quirino Hill</t>
  </si>
  <si>
    <t>Cutay</t>
  </si>
  <si>
    <t>Freda</t>
  </si>
  <si>
    <t>Fintad</t>
  </si>
  <si>
    <t>26 F Cutay Drive Purok 5</t>
  </si>
  <si>
    <t>Pob. Tuba Benguet</t>
  </si>
  <si>
    <t>0950-666-4257</t>
  </si>
  <si>
    <t>Tuba Benguet</t>
  </si>
  <si>
    <t>Fintad, Peter</t>
  </si>
  <si>
    <t>Bansulay, Pilar</t>
  </si>
  <si>
    <t>February 1993</t>
  </si>
  <si>
    <t>1993</t>
  </si>
  <si>
    <t>Prayer Warrior</t>
  </si>
  <si>
    <t>Ushering, Home Bible Study</t>
  </si>
  <si>
    <t>Cutay, John Timothy</t>
  </si>
  <si>
    <t>R5 Irisan</t>
  </si>
  <si>
    <t>0991-137-8722</t>
  </si>
  <si>
    <t>Johanna Faith</t>
  </si>
  <si>
    <t>Banez</t>
  </si>
  <si>
    <t>Regina</t>
  </si>
  <si>
    <t>27 Purok 5 F Cutay Drive</t>
  </si>
  <si>
    <t>0929-847-3880</t>
  </si>
  <si>
    <t>Mankayan, Benguet</t>
  </si>
  <si>
    <t>Andoy, Pedro</t>
  </si>
  <si>
    <t>Andoy, Martina Perez</t>
  </si>
  <si>
    <t>December 23, 1990</t>
  </si>
  <si>
    <t>March 10, 1992</t>
  </si>
  <si>
    <t>Volleyball, Softball</t>
  </si>
  <si>
    <t>Cooking, Planting</t>
  </si>
  <si>
    <t>Cutay, Digno</t>
  </si>
  <si>
    <t>27 Purok 5 F Cutay Drive Irisan</t>
  </si>
  <si>
    <t>0910-922-5223</t>
  </si>
  <si>
    <t>Dacanay</t>
  </si>
  <si>
    <t>Lanie</t>
  </si>
  <si>
    <t>T</t>
  </si>
  <si>
    <t>Blk 96 Lot 16</t>
  </si>
  <si>
    <t>West Quirino Hill</t>
  </si>
  <si>
    <t>0927-768-5016</t>
  </si>
  <si>
    <t>Baler, Aurora</t>
  </si>
  <si>
    <t>Torda, Nonito</t>
  </si>
  <si>
    <t>Dacanay, Romil</t>
  </si>
  <si>
    <t>PNP retired</t>
  </si>
  <si>
    <t>Blk 96 Lot 16 West Quirino Hill</t>
  </si>
  <si>
    <t>0905-285-3092</t>
  </si>
  <si>
    <t>Dagupen</t>
  </si>
  <si>
    <t>Josephine</t>
  </si>
  <si>
    <t>19 Purok 28</t>
  </si>
  <si>
    <t>Patiacan Quirino Ilocos Sur</t>
  </si>
  <si>
    <t>0919-226-4571</t>
  </si>
  <si>
    <t>Sta. Lucia, Ilocos Sur</t>
  </si>
  <si>
    <t>Caslangen, Sergio</t>
  </si>
  <si>
    <t>Caslangen, Emilia</t>
  </si>
  <si>
    <t>August 1993</t>
  </si>
  <si>
    <t>Roman Catholic | INC</t>
  </si>
  <si>
    <t>Business Woman</t>
  </si>
  <si>
    <t>Dagupen, Franklin</t>
  </si>
  <si>
    <t>Electrician</t>
  </si>
  <si>
    <t>19 Purok 28 Upper Irisan</t>
  </si>
  <si>
    <t>0918-358-7028</t>
  </si>
  <si>
    <t>Daiwey</t>
  </si>
  <si>
    <t>Babet</t>
  </si>
  <si>
    <t>Blk D Lot 3 Diamond St Irisville</t>
  </si>
  <si>
    <t>Dalisan</t>
  </si>
  <si>
    <t>Jenifer Apple</t>
  </si>
  <si>
    <t>Danganon</t>
  </si>
  <si>
    <t>Analyn</t>
  </si>
  <si>
    <t>38 Crystal Cave</t>
  </si>
  <si>
    <t>0927-363-7613</t>
  </si>
  <si>
    <t>Dangla</t>
  </si>
  <si>
    <t>Nancy</t>
  </si>
  <si>
    <t>Buya</t>
  </si>
  <si>
    <t>Blk 1 Lot 46 NHA</t>
  </si>
  <si>
    <t>0961-491-3067</t>
  </si>
  <si>
    <t>Camp 1 Kennon Tuba Benguet</t>
  </si>
  <si>
    <t>Buya, William Sr. (+)</t>
  </si>
  <si>
    <t>Buya, Bregita Inso (+)</t>
  </si>
  <si>
    <t>August 1990</t>
  </si>
  <si>
    <t>1983</t>
  </si>
  <si>
    <t>Espiritista</t>
  </si>
  <si>
    <t>Dangla, Constancio Sr.</t>
  </si>
  <si>
    <t>Dangla, Hiede Cattleyah</t>
  </si>
  <si>
    <t>Blk 1 Lot 46 NHA Tadiangan Tuba Benguet</t>
  </si>
  <si>
    <t>0921-743-2975</t>
  </si>
  <si>
    <t>Daskeo</t>
  </si>
  <si>
    <t>May</t>
  </si>
  <si>
    <t>Guiamas</t>
  </si>
  <si>
    <t>Prk 6 Brookspoint</t>
  </si>
  <si>
    <t>Pob. Tadian Mt. Province</t>
  </si>
  <si>
    <t>0960-613-3613</t>
  </si>
  <si>
    <t>mgdaskeo@gmail.com</t>
  </si>
  <si>
    <t>Guiamas, Maurice (+)</t>
  </si>
  <si>
    <t>Guiamas, Fortunata</t>
  </si>
  <si>
    <t>Chess/Dama</t>
  </si>
  <si>
    <t>Daskeo, Klient Patrick</t>
  </si>
  <si>
    <t>ESL Online Tutor</t>
  </si>
  <si>
    <t>Brokkspoint, Baguio City</t>
  </si>
  <si>
    <t>0932-740-4983</t>
  </si>
  <si>
    <t>De Castro</t>
  </si>
  <si>
    <t>Rebecca</t>
  </si>
  <si>
    <t>25B Purok 4</t>
  </si>
  <si>
    <t>Bakakeng Norte</t>
  </si>
  <si>
    <t>0907-378-5711</t>
  </si>
  <si>
    <t>De Guzman</t>
  </si>
  <si>
    <t>Dela Peña</t>
  </si>
  <si>
    <t>Imelda</t>
  </si>
  <si>
    <t>051 Purok 27 Upper San Carlos Heights</t>
  </si>
  <si>
    <t>0927-076-0387</t>
  </si>
  <si>
    <t>Delos Trinos</t>
  </si>
  <si>
    <t>Julieta</t>
  </si>
  <si>
    <t>Deloterio</t>
  </si>
  <si>
    <t>Veronica</t>
  </si>
  <si>
    <t>Upper Brookside</t>
  </si>
  <si>
    <t>Kapangan Benguet</t>
  </si>
  <si>
    <t>0929-325-5422</t>
  </si>
  <si>
    <t>Kapangan, Benguet</t>
  </si>
  <si>
    <t>Dayao, Tobanio</t>
  </si>
  <si>
    <t>Bentrez, Corazon</t>
  </si>
  <si>
    <t>1984</t>
  </si>
  <si>
    <t>Roman Catholic | Pagan</t>
  </si>
  <si>
    <t>Deloterio, Edgar</t>
  </si>
  <si>
    <t>Cruz, Kristine</t>
  </si>
  <si>
    <t>Diamsay</t>
  </si>
  <si>
    <t>Alma</t>
  </si>
  <si>
    <t>A</t>
  </si>
  <si>
    <t>Purok 4</t>
  </si>
  <si>
    <t>Balsigan Rd</t>
  </si>
  <si>
    <t>0910-697-4106</t>
  </si>
  <si>
    <t>Domigsi</t>
  </si>
  <si>
    <t>Rosemarie</t>
  </si>
  <si>
    <t>LA 147 Inselbeg</t>
  </si>
  <si>
    <t>0948-338-3051</t>
  </si>
  <si>
    <t>Sabangan, Mt. Province</t>
  </si>
  <si>
    <t>Paleyan, Fernando</t>
  </si>
  <si>
    <t>Paleyan, Dominga</t>
  </si>
  <si>
    <t>1998</t>
  </si>
  <si>
    <t>Domigsi, Lydio</t>
  </si>
  <si>
    <t>Donaire</t>
  </si>
  <si>
    <t>Romelie</t>
  </si>
  <si>
    <t>Dongpoen</t>
  </si>
  <si>
    <t>Zeny</t>
  </si>
  <si>
    <t>0910-836-1017</t>
  </si>
  <si>
    <t>Uson, Carlos</t>
  </si>
  <si>
    <t>Uson, Catherine Mang-oy</t>
  </si>
  <si>
    <t>1991</t>
  </si>
  <si>
    <t>Dongpoen, Nardo</t>
  </si>
  <si>
    <t>Labiano, Karen</t>
  </si>
  <si>
    <t>Pico</t>
  </si>
  <si>
    <t>Niece</t>
  </si>
  <si>
    <t>0920-409-1132</t>
  </si>
  <si>
    <t>Dulnuan</t>
  </si>
  <si>
    <t>Helen</t>
  </si>
  <si>
    <t>Dy</t>
  </si>
  <si>
    <t>Mary Antonette</t>
  </si>
  <si>
    <t>Taloban</t>
  </si>
  <si>
    <t>025 Avelino St</t>
  </si>
  <si>
    <t>Guisad</t>
  </si>
  <si>
    <t>0945-351-3819</t>
  </si>
  <si>
    <t>Taloban, Antonio Jimenez Sr (+)</t>
  </si>
  <si>
    <t>Taloban, Rosita Rosario</t>
  </si>
  <si>
    <t>2020</t>
  </si>
  <si>
    <t>BS Accounting</t>
  </si>
  <si>
    <t>Part Time</t>
  </si>
  <si>
    <t>Dy, Jaime Mendoza Sr.</t>
  </si>
  <si>
    <t>Taloban, Antonio Jr.</t>
  </si>
  <si>
    <t>08 Avelino St. Guisad</t>
  </si>
  <si>
    <t>Brother</t>
  </si>
  <si>
    <t>619-6051</t>
  </si>
  <si>
    <t>Esteban</t>
  </si>
  <si>
    <t>Teresita</t>
  </si>
  <si>
    <t>0909-564-2663</t>
  </si>
  <si>
    <t>Estipular</t>
  </si>
  <si>
    <t>Corazon</t>
  </si>
  <si>
    <t>89 Amsing Siapno Rd</t>
  </si>
  <si>
    <t>Pacdal</t>
  </si>
  <si>
    <t>Naguilian La Union</t>
  </si>
  <si>
    <t>0915-332-5884</t>
  </si>
  <si>
    <t>Ayson, Bernardo (+)</t>
  </si>
  <si>
    <t>Ayson, Felicidad (+)</t>
  </si>
  <si>
    <t>July 2019</t>
  </si>
  <si>
    <t>Estipular, Oscar</t>
  </si>
  <si>
    <t>Retired / Employee</t>
  </si>
  <si>
    <t>Estipular, Oscar Jr.</t>
  </si>
  <si>
    <t>89 Amsing Siapno Rd Pacdal</t>
  </si>
  <si>
    <t>0927-379-7031</t>
  </si>
  <si>
    <t>Felipe</t>
  </si>
  <si>
    <t>Gennie</t>
  </si>
  <si>
    <t>P2-#222</t>
  </si>
  <si>
    <t>0951-342-7244</t>
  </si>
  <si>
    <t>Vilma</t>
  </si>
  <si>
    <t>Purok 7</t>
  </si>
  <si>
    <t>0948-071-0916</t>
  </si>
  <si>
    <t>Flores</t>
  </si>
  <si>
    <t>Azalea</t>
  </si>
  <si>
    <t>Foyagan</t>
  </si>
  <si>
    <t>Daisy</t>
  </si>
  <si>
    <t>Gayados</t>
  </si>
  <si>
    <t>Noli Nickey</t>
  </si>
  <si>
    <t>Gumpal</t>
  </si>
  <si>
    <t>Aimee</t>
  </si>
  <si>
    <t>aimzcabay23@gmail.com</t>
  </si>
  <si>
    <t>Cabay, Alice</t>
  </si>
  <si>
    <t>College Graduate - BS in Applied Statistics</t>
  </si>
  <si>
    <t>Admin Officer IV at Philippine Statistics Authority - CAR</t>
  </si>
  <si>
    <t>Arts and Deco</t>
  </si>
  <si>
    <t>Gumpal, Nicko Rey</t>
  </si>
  <si>
    <t>Major / AFP, Philippine Army</t>
  </si>
  <si>
    <t>0917-314-0408</t>
  </si>
  <si>
    <t>Ibañez</t>
  </si>
  <si>
    <t>Julie Anne</t>
  </si>
  <si>
    <t>Ph2</t>
  </si>
  <si>
    <t>Dreamland</t>
  </si>
  <si>
    <t>0908-949-3553</t>
  </si>
  <si>
    <t>julieanneramos07@gmail.com</t>
  </si>
  <si>
    <t>Ramos, Joel</t>
  </si>
  <si>
    <t>Ramos, Nancy</t>
  </si>
  <si>
    <t>2000</t>
  </si>
  <si>
    <t>Church secretary, Admin, LM Junior President, Music minitry, Teaching</t>
  </si>
  <si>
    <t>Ibañez, Ramel</t>
  </si>
  <si>
    <t>Imbang</t>
  </si>
  <si>
    <t>Aileen</t>
  </si>
  <si>
    <t>0915-295-4144</t>
  </si>
  <si>
    <t>Palawan</t>
  </si>
  <si>
    <t>Imbang, Salvador</t>
  </si>
  <si>
    <t>Checker at Universal Harvester Inc.</t>
  </si>
  <si>
    <t>Rivera, Jay</t>
  </si>
  <si>
    <t>0926-096-0236</t>
  </si>
  <si>
    <t>Joaquin</t>
  </si>
  <si>
    <t>151 Sunny Side</t>
  </si>
  <si>
    <t>0917-662-5512</t>
  </si>
  <si>
    <t>Kebasen</t>
  </si>
  <si>
    <t>Dorothy</t>
  </si>
  <si>
    <t>82 Amistad</t>
  </si>
  <si>
    <t>Camp 7</t>
  </si>
  <si>
    <t>Kebasen, Boni</t>
  </si>
  <si>
    <t>Kiaki</t>
  </si>
  <si>
    <t>Maria Luningning</t>
  </si>
  <si>
    <t>14 Purok 24</t>
  </si>
  <si>
    <t>San Carlos Heights</t>
  </si>
  <si>
    <t>0963-159-5359</t>
  </si>
  <si>
    <t>mluningning92@gmail.com</t>
  </si>
  <si>
    <t>Mauban, Quezon</t>
  </si>
  <si>
    <t>Danao, Garry</t>
  </si>
  <si>
    <t>Danao, Luningning</t>
  </si>
  <si>
    <t>2018</t>
  </si>
  <si>
    <t>Kidpalos</t>
  </si>
  <si>
    <t>Langgoy</t>
  </si>
  <si>
    <t>Luneta, Antamok</t>
  </si>
  <si>
    <t>Itogon</t>
  </si>
  <si>
    <t>0926-866-6947</t>
  </si>
  <si>
    <t>Leyte</t>
  </si>
  <si>
    <t>Belarmino, Pacita</t>
  </si>
  <si>
    <t>BSED</t>
  </si>
  <si>
    <t>Langgoy, Marvin C.</t>
  </si>
  <si>
    <t>OFW - Greece</t>
  </si>
  <si>
    <t>Laraya</t>
  </si>
  <si>
    <t>Laresma</t>
  </si>
  <si>
    <t>Arlene</t>
  </si>
  <si>
    <t>G</t>
  </si>
  <si>
    <t>AR 132-E Riverside</t>
  </si>
  <si>
    <t>0910-249-6621</t>
  </si>
  <si>
    <t>Biliran</t>
  </si>
  <si>
    <t>Gabuya, Arsenio</t>
  </si>
  <si>
    <t>Apellera, Lanie</t>
  </si>
  <si>
    <t>High School Level</t>
  </si>
  <si>
    <t>Singer/Keyboard</t>
  </si>
  <si>
    <t>Singing; Playing Musical Instruments</t>
  </si>
  <si>
    <t>Laresma, Nestor Jr.</t>
  </si>
  <si>
    <t>Engineering</t>
  </si>
  <si>
    <t>0935-741-2313</t>
  </si>
  <si>
    <t>Gegie</t>
  </si>
  <si>
    <t>Lasay</t>
  </si>
  <si>
    <t>Rafuncel</t>
  </si>
  <si>
    <t>Lipaen</t>
  </si>
  <si>
    <t>Cristina</t>
  </si>
  <si>
    <t>1167 Cutay Rd Purok 5</t>
  </si>
  <si>
    <t>Pugo, La Union</t>
  </si>
  <si>
    <t>0939-928-6058</t>
  </si>
  <si>
    <t>Cutay, Fernando Sr. (+)</t>
  </si>
  <si>
    <t>Cutay, Feliberta (+)</t>
  </si>
  <si>
    <t>August 1991</t>
  </si>
  <si>
    <t>College Graduate - M.A.</t>
  </si>
  <si>
    <t>Lipaen, Jacinto</t>
  </si>
  <si>
    <t>1167 Cutay Rd Purok 5 Irisan</t>
  </si>
  <si>
    <t>0930-384-4752</t>
  </si>
  <si>
    <t>Yolanda</t>
  </si>
  <si>
    <t>AC 017C</t>
  </si>
  <si>
    <t>Central Ambiong, La Trinidad</t>
  </si>
  <si>
    <t>Blk 4 Lot 33 Veda Vista 2 San Luis</t>
  </si>
  <si>
    <t>0963-090-8414</t>
  </si>
  <si>
    <t>yolzmarquez@gmail.com</t>
  </si>
  <si>
    <t>February 15, 2022</t>
  </si>
  <si>
    <t>Baptist</t>
  </si>
  <si>
    <t>Master's Degree</t>
  </si>
  <si>
    <t>Teaching, Singing, Playing Musical Instruments</t>
  </si>
  <si>
    <t>Painting, Cooking</t>
  </si>
  <si>
    <t>Lipaen, Rosario</t>
  </si>
  <si>
    <t>Watchman</t>
  </si>
  <si>
    <t>AC 017C Central Ambiong</t>
  </si>
  <si>
    <t>0927-486-4406</t>
  </si>
  <si>
    <t>Liwana</t>
  </si>
  <si>
    <t>Aquamarine St. NPC Subd Purok 20</t>
  </si>
  <si>
    <t>0901-481-7850</t>
  </si>
  <si>
    <t>Lomibao</t>
  </si>
  <si>
    <t>Mabanglo</t>
  </si>
  <si>
    <t>Quezon Hill</t>
  </si>
  <si>
    <t>0932-555-1370</t>
  </si>
  <si>
    <t>Mary</t>
  </si>
  <si>
    <t>San Carlos Extension</t>
  </si>
  <si>
    <t>Brgy. Turac, San Carlos Pangasinan</t>
  </si>
  <si>
    <t>0999-694-0537</t>
  </si>
  <si>
    <t>Urbiztondo, Pangasinan</t>
  </si>
  <si>
    <t>Caragay, Rufino</t>
  </si>
  <si>
    <t>Caragay, Demetria</t>
  </si>
  <si>
    <t>LM Member</t>
  </si>
  <si>
    <t>Mabanglo, Eduardo</t>
  </si>
  <si>
    <t>Zapata, Florence</t>
  </si>
  <si>
    <t>33 Central Fairview</t>
  </si>
  <si>
    <t>Macapugas</t>
  </si>
  <si>
    <t>Lugasan</t>
  </si>
  <si>
    <t>0953-061-8014</t>
  </si>
  <si>
    <t>Madon-ep</t>
  </si>
  <si>
    <t>Naty</t>
  </si>
  <si>
    <t>0965-036-8509</t>
  </si>
  <si>
    <t>Sadanga, Mt. Province</t>
  </si>
  <si>
    <t>Casio</t>
  </si>
  <si>
    <t>Grade 3</t>
  </si>
  <si>
    <t>Mago</t>
  </si>
  <si>
    <t>142 Purok 4</t>
  </si>
  <si>
    <t>Lower Pinget</t>
  </si>
  <si>
    <t>Pindangan 1st, Camiling Tarlac</t>
  </si>
  <si>
    <t>0917-797-4282</t>
  </si>
  <si>
    <t>mago.ginac@gmail.com</t>
  </si>
  <si>
    <t>Camiling, Tarlac</t>
  </si>
  <si>
    <t>Calzada, Federico</t>
  </si>
  <si>
    <t>Sebastian, Simeonita Francisco</t>
  </si>
  <si>
    <t>Jesus Christ To God Be The Glory Church</t>
  </si>
  <si>
    <t>College Graduate - BS Engineering</t>
  </si>
  <si>
    <t>Project Coordinator</t>
  </si>
  <si>
    <t>Music Ministry - Choir, Bible Teacher</t>
  </si>
  <si>
    <t>Cooking, Negotiation, Coordination</t>
  </si>
  <si>
    <t>Mago, Genno</t>
  </si>
  <si>
    <t>Laboratory Technician - SLU</t>
  </si>
  <si>
    <t>142 Purok 4 Lower Pinget</t>
  </si>
  <si>
    <t>0926-215-8054</t>
  </si>
  <si>
    <t>TO CHECK NAME</t>
  </si>
  <si>
    <t>Maguling</t>
  </si>
  <si>
    <t>Linda</t>
  </si>
  <si>
    <t>Magsaysay Drive</t>
  </si>
  <si>
    <t>Loakan</t>
  </si>
  <si>
    <t>Banaue Ifugao</t>
  </si>
  <si>
    <t>0938-947-7598</t>
  </si>
  <si>
    <t>Imoliap, Arsenio</t>
  </si>
  <si>
    <t>Imoliap, Andrea Bonio</t>
  </si>
  <si>
    <t>Christian</t>
  </si>
  <si>
    <t>Maguling, Brady</t>
  </si>
  <si>
    <t>Magsaysay Drive Loakan</t>
  </si>
  <si>
    <t>0981-614-2181</t>
  </si>
  <si>
    <t>Mamac</t>
  </si>
  <si>
    <t>0936-188-3950</t>
  </si>
  <si>
    <t>Lacub Abra</t>
  </si>
  <si>
    <t>Belmonte, Doneiano</t>
  </si>
  <si>
    <t>Pe Benito, Cristeta</t>
  </si>
  <si>
    <t>February 1997</t>
  </si>
  <si>
    <t>August 1997</t>
  </si>
  <si>
    <t>Grade 5</t>
  </si>
  <si>
    <t>Cooking, Tailoring, Gardening</t>
  </si>
  <si>
    <t>Mamac, Richard</t>
  </si>
  <si>
    <t>Tuding, Itogon Benguet</t>
  </si>
  <si>
    <t>0926-708-0639</t>
  </si>
  <si>
    <t>Mamaril</t>
  </si>
  <si>
    <t>Anie</t>
  </si>
  <si>
    <t>Urbiztondo Pangasinan</t>
  </si>
  <si>
    <t>0916-101-3266</t>
  </si>
  <si>
    <t>acmamaril00@gmail.com</t>
  </si>
  <si>
    <t>Calzada, Simeonita</t>
  </si>
  <si>
    <t>September 1997</t>
  </si>
  <si>
    <t>Teacher - Josefa Cariño Elementary School</t>
  </si>
  <si>
    <t>Teaching, Singing, Literary Composition, Arts and Deco</t>
  </si>
  <si>
    <t>Volleyball, Badminton, Chess/Dama</t>
  </si>
  <si>
    <t>Mamaril, Tomas</t>
  </si>
  <si>
    <t>Mamaril, Tomas / Hezekiah</t>
  </si>
  <si>
    <t>142 Lower Pinget</t>
  </si>
  <si>
    <t>Spouse / Son</t>
  </si>
  <si>
    <t>0916-101-3233 / 0910-503-1973</t>
  </si>
  <si>
    <t>Manao</t>
  </si>
  <si>
    <t>Brenelyne</t>
  </si>
  <si>
    <t>Mangili</t>
  </si>
  <si>
    <t>Evelyn</t>
  </si>
  <si>
    <t>3-C Purok 17</t>
  </si>
  <si>
    <t>Brgy. Dilan, Pozorrubio, Pangasinan</t>
  </si>
  <si>
    <t>0912-400-3591</t>
  </si>
  <si>
    <t>Pozorrubio, Pangasinan</t>
  </si>
  <si>
    <t>Ganibe, Ireneo</t>
  </si>
  <si>
    <t>Ganibe, Enriquita</t>
  </si>
  <si>
    <t>Baby sitter</t>
  </si>
  <si>
    <t>Mangili, Gaston</t>
  </si>
  <si>
    <t>Mangili, Kurt Gasty</t>
  </si>
  <si>
    <t>3-C Purok 17, Irisan</t>
  </si>
  <si>
    <t>0938-100-6083</t>
  </si>
  <si>
    <t>Masegman</t>
  </si>
  <si>
    <t>Dinah</t>
  </si>
  <si>
    <t xml:space="preserve">10 A Padre </t>
  </si>
  <si>
    <t>0929-955-1146</t>
  </si>
  <si>
    <t>Mata</t>
  </si>
  <si>
    <t>Arlen</t>
  </si>
  <si>
    <t>Matias</t>
  </si>
  <si>
    <t>Remedios</t>
  </si>
  <si>
    <t>Inso</t>
  </si>
  <si>
    <t>35 Smith Drive Purok 8</t>
  </si>
  <si>
    <t>Sablan, Benguet</t>
  </si>
  <si>
    <t>0999-572-1788</t>
  </si>
  <si>
    <t>Tublay, Benguet</t>
  </si>
  <si>
    <t>Inso, Feliciano</t>
  </si>
  <si>
    <t>Bas-ong, Celina</t>
  </si>
  <si>
    <t>December 8, 1980</t>
  </si>
  <si>
    <t>November 27, 1980</t>
  </si>
  <si>
    <t>Sunday School Teacher, Ushering, LM, Teaching Bible Study</t>
  </si>
  <si>
    <t>Matias, Demetrio</t>
  </si>
  <si>
    <t>35 Smith Drive Purok 8, Asin Road</t>
  </si>
  <si>
    <t>0909-566-4629</t>
  </si>
  <si>
    <t>Minog</t>
  </si>
  <si>
    <t>Lucena</t>
  </si>
  <si>
    <t>Upper Padre Burgos St</t>
  </si>
  <si>
    <t>0948-954-1808</t>
  </si>
  <si>
    <t>Misa</t>
  </si>
  <si>
    <t>Elena</t>
  </si>
  <si>
    <t>Prk 2</t>
  </si>
  <si>
    <t>Kias</t>
  </si>
  <si>
    <t>0920-610-8989 / 0920-820-2647</t>
  </si>
  <si>
    <t>May 1986</t>
  </si>
  <si>
    <t>Misa, Marcelo Jr. (+)</t>
  </si>
  <si>
    <t>Misa, Marlen</t>
  </si>
  <si>
    <t>0920-820-2647</t>
  </si>
  <si>
    <t>Janice</t>
  </si>
  <si>
    <t>Moran</t>
  </si>
  <si>
    <t>Aniceta</t>
  </si>
  <si>
    <t>Dilag</t>
  </si>
  <si>
    <t>70 Purok 5</t>
  </si>
  <si>
    <t>Gibraltar</t>
  </si>
  <si>
    <t>0908-347-7076</t>
  </si>
  <si>
    <t>Banaue, Ifugao</t>
  </si>
  <si>
    <t>Dilag, Lucas</t>
  </si>
  <si>
    <t>Boucan, Clara</t>
  </si>
  <si>
    <t>April 1972</t>
  </si>
  <si>
    <t>The Jesus Church Independent</t>
  </si>
  <si>
    <t>Secondary Level</t>
  </si>
  <si>
    <t>LM Vice President</t>
  </si>
  <si>
    <t>Moran, Alberto Camases</t>
  </si>
  <si>
    <t>Moran, Minerva</t>
  </si>
  <si>
    <t>70 Purok 5 Gibraltar</t>
  </si>
  <si>
    <t>0947-463-2523</t>
  </si>
  <si>
    <t>Mugot</t>
  </si>
  <si>
    <t>Evangelina</t>
  </si>
  <si>
    <t>21 Dahlia St.</t>
  </si>
  <si>
    <t>0915-509-8748</t>
  </si>
  <si>
    <t>Balaoan, La Union</t>
  </si>
  <si>
    <t>Bermudez, Ceferino</t>
  </si>
  <si>
    <t>Lopez, Clavelina</t>
  </si>
  <si>
    <t>December 15, 1994</t>
  </si>
  <si>
    <t>Mugot, Eduardo</t>
  </si>
  <si>
    <t>Torres, Edelyn</t>
  </si>
  <si>
    <t>0997-374-1997</t>
  </si>
  <si>
    <t>Naimes</t>
  </si>
  <si>
    <t>Melecia</t>
  </si>
  <si>
    <t>LD 21</t>
  </si>
  <si>
    <t>Mayag, Bauko, Mt. Province</t>
  </si>
  <si>
    <t>January 20, 1970</t>
  </si>
  <si>
    <t>1988</t>
  </si>
  <si>
    <t>Sunday School Coordinator, LM Cell group leader</t>
  </si>
  <si>
    <t>Naimes, Gaston</t>
  </si>
  <si>
    <t>LD 21 Lubas, Trinidad</t>
  </si>
  <si>
    <t>0930-392-0728</t>
  </si>
  <si>
    <t>Ogoy</t>
  </si>
  <si>
    <t>Conchita</t>
  </si>
  <si>
    <t>Mangatarem, Pangasinan</t>
  </si>
  <si>
    <t>Ogoy, Nelson</t>
  </si>
  <si>
    <t>Mason / Carpenter</t>
  </si>
  <si>
    <t>Olea</t>
  </si>
  <si>
    <t>Karen Gay</t>
  </si>
  <si>
    <t>Pang</t>
  </si>
  <si>
    <t>13 Gumansan Purok 5</t>
  </si>
  <si>
    <t>Isabela Angandanan</t>
  </si>
  <si>
    <t>0936-527-0475</t>
  </si>
  <si>
    <t>karenolea944@gmail.com</t>
  </si>
  <si>
    <t>Caloocan City</t>
  </si>
  <si>
    <t>Olea, Eduardo</t>
  </si>
  <si>
    <t>Pang, Ma. Lani</t>
  </si>
  <si>
    <t>Apilada, Arnel</t>
  </si>
  <si>
    <t>Sales Agent</t>
  </si>
  <si>
    <t>13 Gumansan Purok 5, Aurora Hill</t>
  </si>
  <si>
    <t>Orcullo</t>
  </si>
  <si>
    <t>75 C</t>
  </si>
  <si>
    <t>T. Alonzo St</t>
  </si>
  <si>
    <t>Ozamiz City, Mindanao</t>
  </si>
  <si>
    <t>0912-886-1208</t>
  </si>
  <si>
    <t>Zamboanga Del Sur</t>
  </si>
  <si>
    <t>Donaire, Romeo Sr. (+)</t>
  </si>
  <si>
    <t>Donaire, Evangelista (+)</t>
  </si>
  <si>
    <t>Orcullo, Rolan (+)</t>
  </si>
  <si>
    <t>Orcullo, Christiana Jade</t>
  </si>
  <si>
    <t>75 C T. Alonzo St.</t>
  </si>
  <si>
    <t>0919-695-1571</t>
  </si>
  <si>
    <t>Orowan</t>
  </si>
  <si>
    <t>Ortiz</t>
  </si>
  <si>
    <t>Premitiva</t>
  </si>
  <si>
    <t>Pacsi</t>
  </si>
  <si>
    <t>Maricel</t>
  </si>
  <si>
    <t>54A Dapiting</t>
  </si>
  <si>
    <t xml:space="preserve">Alapang, La Trinidad </t>
  </si>
  <si>
    <t>Suba, Dimasalang, Masbate</t>
  </si>
  <si>
    <t>0910-567-6442</t>
  </si>
  <si>
    <t>kurtnkaela@gmail.com</t>
  </si>
  <si>
    <t>Dimasalang, Masbate</t>
  </si>
  <si>
    <t>Raymundo, Diornedo</t>
  </si>
  <si>
    <t>Raymundo, Susie</t>
  </si>
  <si>
    <t>ESL Teacher - 51talk</t>
  </si>
  <si>
    <t>Pacsi, Randy</t>
  </si>
  <si>
    <t>Veterinarian</t>
  </si>
  <si>
    <t>54A Dapiting Alapang</t>
  </si>
  <si>
    <t>0948-498-9310</t>
  </si>
  <si>
    <t>Palque</t>
  </si>
  <si>
    <t>Nene</t>
  </si>
  <si>
    <t>Lay-at</t>
  </si>
  <si>
    <t>Marville</t>
  </si>
  <si>
    <t>0907-990-3745</t>
  </si>
  <si>
    <t>Tadiangan Tuba, Benguet</t>
  </si>
  <si>
    <t>Pascua</t>
  </si>
  <si>
    <t>Nemesia</t>
  </si>
  <si>
    <t>Lopez</t>
  </si>
  <si>
    <t>135 Purok 1</t>
  </si>
  <si>
    <t>Lucnab</t>
  </si>
  <si>
    <t>Kibungan, Benguet</t>
  </si>
  <si>
    <t>0981-209-1200</t>
  </si>
  <si>
    <t>Sagpat, Kibungan, Benguet</t>
  </si>
  <si>
    <t>Lopez, Elias (+)</t>
  </si>
  <si>
    <t>Lopez, Olinia Dulagan (+)</t>
  </si>
  <si>
    <t>Supporting bible studies</t>
  </si>
  <si>
    <t>Desiento Julie / Desiento Nyssa Kariz</t>
  </si>
  <si>
    <t>135 Purok 1 Lucnab</t>
  </si>
  <si>
    <t>Daughter / Grand daughter</t>
  </si>
  <si>
    <t>0907-565-5180 / 0967-008-9273</t>
  </si>
  <si>
    <t>Pay-an</t>
  </si>
  <si>
    <t>Lamtang Irisan</t>
  </si>
  <si>
    <t>0908-328-5494</t>
  </si>
  <si>
    <t>Irisan, Baguio City</t>
  </si>
  <si>
    <t>February 24, 1994</t>
  </si>
  <si>
    <t>BSND</t>
  </si>
  <si>
    <t>Pay-an, Joel</t>
  </si>
  <si>
    <t>Retired Police</t>
  </si>
  <si>
    <t>Prado</t>
  </si>
  <si>
    <t>Jeazell</t>
  </si>
  <si>
    <t>076 Lamug St Purok 25</t>
  </si>
  <si>
    <t>Mankayan Benguet / Anda Pangasinan</t>
  </si>
  <si>
    <t>0995-056-5503</t>
  </si>
  <si>
    <t>jhayzelle.1428@gmail.com</t>
  </si>
  <si>
    <t>Cabungan, Marcelino</t>
  </si>
  <si>
    <t>Cabungan, Marijean</t>
  </si>
  <si>
    <t>March 16, 2016</t>
  </si>
  <si>
    <t>August 2018</t>
  </si>
  <si>
    <t>College level</t>
  </si>
  <si>
    <t>Music Ministry - Choir, Children Ministry - toddlers 1, bible study - Ucab</t>
  </si>
  <si>
    <t>Prado, Raymond</t>
  </si>
  <si>
    <t>Factory Worker (OFW)</t>
  </si>
  <si>
    <t>0966-624-5545</t>
  </si>
  <si>
    <t>Phebe</t>
  </si>
  <si>
    <t>266 Purok 14 Lower Cypress</t>
  </si>
  <si>
    <t>0950-593-3317</t>
  </si>
  <si>
    <t>Himamaylan, Negros Occidental</t>
  </si>
  <si>
    <t>Gello-ano, Gregorio</t>
  </si>
  <si>
    <t>Gello-ano, Adelina</t>
  </si>
  <si>
    <t>July 14, 1991</t>
  </si>
  <si>
    <t>Aglipay</t>
  </si>
  <si>
    <t>LM Cellgroup Leader, Prayer warrior</t>
  </si>
  <si>
    <t>Teaching, Choir member</t>
  </si>
  <si>
    <t>Teaching, Literary Composition, Arts and Deco</t>
  </si>
  <si>
    <t>Painting, Cooking, Tailoring/Dressmaking, Ushering</t>
  </si>
  <si>
    <t>Prado, Ramon</t>
  </si>
  <si>
    <t>266 Purok 14 Lower Cypress, Irisan</t>
  </si>
  <si>
    <t>0948-702-4869</t>
  </si>
  <si>
    <t>Pulicay</t>
  </si>
  <si>
    <t>Ap31 Sitio Paltingan</t>
  </si>
  <si>
    <t>Tayug, Pangasinan</t>
  </si>
  <si>
    <t>0919-890-9185</t>
  </si>
  <si>
    <t>Apilada, Armando</t>
  </si>
  <si>
    <t>Apilada, Susan</t>
  </si>
  <si>
    <t>January 2003</t>
  </si>
  <si>
    <t>Pulicay, Mark Angelo</t>
  </si>
  <si>
    <t>Sales Representative</t>
  </si>
  <si>
    <t>Ap31 Sitio Paltingan, Ambiong</t>
  </si>
  <si>
    <t>0912-918-0646</t>
  </si>
  <si>
    <t>Quevedo</t>
  </si>
  <si>
    <t>Gemyma</t>
  </si>
  <si>
    <t>AR073 Upper Riverside</t>
  </si>
  <si>
    <t>Remus, Baggao, Cagayan</t>
  </si>
  <si>
    <t>0981-282-5846</t>
  </si>
  <si>
    <t>Baggao, Cagayan</t>
  </si>
  <si>
    <t>Quevedo, Gregorio</t>
  </si>
  <si>
    <t>Quevedo, Victorina</t>
  </si>
  <si>
    <t>December 28, 1997</t>
  </si>
  <si>
    <t>December 27, 1997</t>
  </si>
  <si>
    <t>Quevedo, Gwyneth</t>
  </si>
  <si>
    <t>AR073 Upper Riverside, Ambiong</t>
  </si>
  <si>
    <t>0912-660-5591</t>
  </si>
  <si>
    <t>Quezon</t>
  </si>
  <si>
    <t>Christina Thrina</t>
  </si>
  <si>
    <t>Prescilla</t>
  </si>
  <si>
    <t>Bineng, La Trinidad</t>
  </si>
  <si>
    <t>0909-983-3819</t>
  </si>
  <si>
    <t>BGH</t>
  </si>
  <si>
    <t>Alam-am, Nestor</t>
  </si>
  <si>
    <t>Alam-am, Marina</t>
  </si>
  <si>
    <t>June 23, 2019</t>
  </si>
  <si>
    <t>April 2019</t>
  </si>
  <si>
    <t>Quezon, Chris Jolen</t>
  </si>
  <si>
    <t>Farming</t>
  </si>
  <si>
    <t>0950-208-8492</t>
  </si>
  <si>
    <t>Quintero</t>
  </si>
  <si>
    <t>Purok 7 Dontogan</t>
  </si>
  <si>
    <t>Green Valley</t>
  </si>
  <si>
    <t>0920-520-3659</t>
  </si>
  <si>
    <t>Raciles</t>
  </si>
  <si>
    <t>Camille</t>
  </si>
  <si>
    <t>Raguindin</t>
  </si>
  <si>
    <t>Matia</t>
  </si>
  <si>
    <t>Taloy Norte, Tuba, Benguet</t>
  </si>
  <si>
    <t>0907-150-6715</t>
  </si>
  <si>
    <t>Bagulin, La Union</t>
  </si>
  <si>
    <t>Layugan, Anita</t>
  </si>
  <si>
    <t>1995</t>
  </si>
  <si>
    <t>September 1995</t>
  </si>
  <si>
    <t>Raguindin, Jerry</t>
  </si>
  <si>
    <t>0938-633-9182</t>
  </si>
  <si>
    <t>Ringor</t>
  </si>
  <si>
    <t>Virginia</t>
  </si>
  <si>
    <t>J</t>
  </si>
  <si>
    <t>Lower Cabinet Hill</t>
  </si>
  <si>
    <t>0964-762-4022 / 0995-577-2545</t>
  </si>
  <si>
    <t>Cuyapo, Nueva Ecija</t>
  </si>
  <si>
    <t>Joaquin, Numeriano</t>
  </si>
  <si>
    <t>Tolentino, Rosario</t>
  </si>
  <si>
    <t>February 14, 1991</t>
  </si>
  <si>
    <t>April 1991</t>
  </si>
  <si>
    <t>LM Cellgroup Leader, Bible Study</t>
  </si>
  <si>
    <t>Ringor, Reynaldo (+)</t>
  </si>
  <si>
    <t>Ringor, Rhegina</t>
  </si>
  <si>
    <t>280 Lower Cabinet Hill</t>
  </si>
  <si>
    <t>0930-993-5230</t>
  </si>
  <si>
    <t>Rivera</t>
  </si>
  <si>
    <t>Evangeline</t>
  </si>
  <si>
    <t>Romero</t>
  </si>
  <si>
    <t>Margie</t>
  </si>
  <si>
    <t>Purok 3</t>
  </si>
  <si>
    <t>Upper Mines View</t>
  </si>
  <si>
    <t>0966-612-8459</t>
  </si>
  <si>
    <t>March 1988</t>
  </si>
  <si>
    <t>Romero, Elmer</t>
  </si>
  <si>
    <t>Retired</t>
  </si>
  <si>
    <t>Romero, Jorge / Romero, Jasper</t>
  </si>
  <si>
    <t>Mines View</t>
  </si>
  <si>
    <t>0947-357-1480 / 0960-386-9917</t>
  </si>
  <si>
    <t>Salvador</t>
  </si>
  <si>
    <t>Sawad</t>
  </si>
  <si>
    <t>Gloria</t>
  </si>
  <si>
    <t>Vallo</t>
  </si>
  <si>
    <t>1426 Peace St.</t>
  </si>
  <si>
    <t>2603 Tadiayang, Tuba</t>
  </si>
  <si>
    <t>0998-595-3824</t>
  </si>
  <si>
    <t>San Carlos, Pangasinan</t>
  </si>
  <si>
    <t>Vallo, Pablo Ferrer</t>
  </si>
  <si>
    <t>Vallo, Margarita Ferrer</t>
  </si>
  <si>
    <t>December 15, 1984</t>
  </si>
  <si>
    <t>March 1985</t>
  </si>
  <si>
    <t>Teaching, Ushering</t>
  </si>
  <si>
    <t>Sawad, Artur (+)</t>
  </si>
  <si>
    <t>Sawad, Timothy Brian</t>
  </si>
  <si>
    <t>1426 Peace St., Marville Homes</t>
  </si>
  <si>
    <t>Rachelle</t>
  </si>
  <si>
    <t>Sayan</t>
  </si>
  <si>
    <t>Jovelyn</t>
  </si>
  <si>
    <t>L-B11 Roadside 1</t>
  </si>
  <si>
    <t>358 Goldfield, Poblacion, Itogon, Benguet</t>
  </si>
  <si>
    <t>0998-578-5773</t>
  </si>
  <si>
    <t>jvybailey@gmail.com</t>
  </si>
  <si>
    <t>BeGH, La Trinidad, Benguet</t>
  </si>
  <si>
    <t>Bailey, Donald</t>
  </si>
  <si>
    <t>Bailey, Virginia</t>
  </si>
  <si>
    <t>February 25, 2024</t>
  </si>
  <si>
    <t>Singing, Arts and Deco</t>
  </si>
  <si>
    <t>Sayan, Scheychelles Aries</t>
  </si>
  <si>
    <t>Senior Full-stack Software Enginerr</t>
  </si>
  <si>
    <t>L-B11 Roadside 1, Lubas, La Trinidad</t>
  </si>
  <si>
    <t>0949-991-3755</t>
  </si>
  <si>
    <t>Sid-ay</t>
  </si>
  <si>
    <t>Maribon</t>
  </si>
  <si>
    <t xml:space="preserve">Blk 1 Lot 41 NHA </t>
  </si>
  <si>
    <t>0912-478-4995 / 0912-858-0416</t>
  </si>
  <si>
    <t>sidaymaribon@gmail.com</t>
  </si>
  <si>
    <t>Dangla, Nancy</t>
  </si>
  <si>
    <t>Music Ministry - Choir, LM Secretary</t>
  </si>
  <si>
    <t>LM Cellgroup Secretary, Assistant Leader, Choir</t>
  </si>
  <si>
    <t>Sid-ay, Winston</t>
  </si>
  <si>
    <t>OFW - Taiwan</t>
  </si>
  <si>
    <t>Dangla, Joshua Thans</t>
  </si>
  <si>
    <t>7 Lower P. Burgos, Baguio</t>
  </si>
  <si>
    <t>0928-688-2859</t>
  </si>
  <si>
    <t>Soriano</t>
  </si>
  <si>
    <t>Esmeralda</t>
  </si>
  <si>
    <t>0935-955-2543</t>
  </si>
  <si>
    <t>esmieapilada@gmail.com</t>
  </si>
  <si>
    <t>Sangilo, Itogon Benguet</t>
  </si>
  <si>
    <t>January 2004</t>
  </si>
  <si>
    <t>Soriano, Cedric Antonio</t>
  </si>
  <si>
    <t>Homebased ESL Teacher</t>
  </si>
  <si>
    <t>0906-084-9244</t>
  </si>
  <si>
    <t>Tacbas</t>
  </si>
  <si>
    <t>Magdalena</t>
  </si>
  <si>
    <t>Tad-o</t>
  </si>
  <si>
    <t>Juliana</t>
  </si>
  <si>
    <t>Hangar Market</t>
  </si>
  <si>
    <t>Itogon, Benguet</t>
  </si>
  <si>
    <t>0908-151-0483</t>
  </si>
  <si>
    <t>Bentrez, Wilbert (+)</t>
  </si>
  <si>
    <t>Bentrez, Aurea (+)</t>
  </si>
  <si>
    <t>Vegetable Vendor</t>
  </si>
  <si>
    <t>LM Cellgroup Assistant leader</t>
  </si>
  <si>
    <t>Tad-o, Felipe</t>
  </si>
  <si>
    <t>Tad-o, Kenjie</t>
  </si>
  <si>
    <t>0929-601-6857</t>
  </si>
  <si>
    <t>Talbo</t>
  </si>
  <si>
    <t>Milrose</t>
  </si>
  <si>
    <t>86 Purok 6</t>
  </si>
  <si>
    <t>Lower Navy Base</t>
  </si>
  <si>
    <t>0916-866-2748</t>
  </si>
  <si>
    <t>Aurora</t>
  </si>
  <si>
    <t>008 Avelino St</t>
  </si>
  <si>
    <t>aurorataloban0870@gmail.com</t>
  </si>
  <si>
    <t>Mejia, Felix Sr.</t>
  </si>
  <si>
    <t>Mejia, Virginia Alegre</t>
  </si>
  <si>
    <t>May 8, 1988</t>
  </si>
  <si>
    <t>May 1988</t>
  </si>
  <si>
    <t xml:space="preserve">Teaching, LM Cellgroup Leader </t>
  </si>
  <si>
    <t>Music Ministry - Choir, Ushering, Your Leader, LM Cellgroup Leader</t>
  </si>
  <si>
    <t>008 Avelino St. Andres Bonifacio</t>
  </si>
  <si>
    <t>0928-375-0666</t>
  </si>
  <si>
    <t>Tamo</t>
  </si>
  <si>
    <t>Kathelene</t>
  </si>
  <si>
    <t>348 Purok 7 Interior</t>
  </si>
  <si>
    <t>New Lucban</t>
  </si>
  <si>
    <t>0910-964-0224</t>
  </si>
  <si>
    <t>kathelenetamo@gmail.com</t>
  </si>
  <si>
    <t>Tapnio, Angelito</t>
  </si>
  <si>
    <t>Maiquet, Maria Gemma</t>
  </si>
  <si>
    <t>2003</t>
  </si>
  <si>
    <t>JMCIM - JCIWE</t>
  </si>
  <si>
    <t>Business Owner - Chop's Bowl</t>
  </si>
  <si>
    <t>Tamo, Allan Edward</t>
  </si>
  <si>
    <t>Business Owner</t>
  </si>
  <si>
    <t>348 Purok 7 Interior, New Lucban</t>
  </si>
  <si>
    <t>0999-902-1703</t>
  </si>
  <si>
    <t>Tapnio</t>
  </si>
  <si>
    <t>Jeniffer</t>
  </si>
  <si>
    <t>Slaughter Compound</t>
  </si>
  <si>
    <t>0923-085-0748</t>
  </si>
  <si>
    <t>Polon, Elfred</t>
  </si>
  <si>
    <t>Polon, Gina</t>
  </si>
  <si>
    <t>Wesleyan</t>
  </si>
  <si>
    <t>Rachel</t>
  </si>
  <si>
    <t>Tiw-tiw</t>
  </si>
  <si>
    <t>Danrea</t>
  </si>
  <si>
    <t>P7 241 Lower Brookspoint</t>
  </si>
  <si>
    <t>Benguet</t>
  </si>
  <si>
    <t>0907-991-1883</t>
  </si>
  <si>
    <t>Lomibao, Donato Jr.</t>
  </si>
  <si>
    <t>Lomibao, Rose</t>
  </si>
  <si>
    <t>Cashier, Baker at Adlaine Bakeshop</t>
  </si>
  <si>
    <t>Tiw-tiw, Ferdinand</t>
  </si>
  <si>
    <t>Security Guard</t>
  </si>
  <si>
    <t>Brookspoint Aurora Hill</t>
  </si>
  <si>
    <t>0939-844-3672</t>
  </si>
  <si>
    <t>Tomas</t>
  </si>
  <si>
    <t>Andrea</t>
  </si>
  <si>
    <t>Torcedo</t>
  </si>
  <si>
    <t>Estela</t>
  </si>
  <si>
    <t>Hillside</t>
  </si>
  <si>
    <t>0927-913-2479</t>
  </si>
  <si>
    <t>Tubera</t>
  </si>
  <si>
    <t>Thelma</t>
  </si>
  <si>
    <t>Visaya</t>
  </si>
  <si>
    <t>Arcelyn</t>
  </si>
  <si>
    <t>LE-57</t>
  </si>
  <si>
    <t>0928-794-1012</t>
  </si>
  <si>
    <t>celynvisaya@gmail.com</t>
  </si>
  <si>
    <t>Landacan, Eban</t>
  </si>
  <si>
    <t>Landacan, Teresita</t>
  </si>
  <si>
    <t>April 18, 1992</t>
  </si>
  <si>
    <t>December 20, 1992</t>
  </si>
  <si>
    <t>Visaya, Benjamin Agno</t>
  </si>
  <si>
    <t>Wagang</t>
  </si>
  <si>
    <t>AE 217 Western Buyagan</t>
  </si>
  <si>
    <t>Poblacion, La Trinidad</t>
  </si>
  <si>
    <t>0998-595-9551 / 0977-805-1578</t>
  </si>
  <si>
    <t>vilms5469@gmail.com</t>
  </si>
  <si>
    <t>Sayanga, Atok Benguet</t>
  </si>
  <si>
    <t>Taquio, Moises (+)</t>
  </si>
  <si>
    <t>Taquio, Nenita</t>
  </si>
  <si>
    <t>December 2016</t>
  </si>
  <si>
    <t>October 2016</t>
  </si>
  <si>
    <t>Accounting / Administrative</t>
  </si>
  <si>
    <t>Cookin</t>
  </si>
  <si>
    <t>Wagang, Andres</t>
  </si>
  <si>
    <t>Area Manager</t>
  </si>
  <si>
    <t>AE 217 Western Buyagan Poblacion, La Trinidad</t>
  </si>
  <si>
    <t>0998-595-9551</t>
  </si>
  <si>
    <t>Wakit</t>
  </si>
  <si>
    <t>Agnes</t>
  </si>
  <si>
    <t>0912-246-3617 / 0939-610-9715</t>
  </si>
  <si>
    <t>Deceased</t>
  </si>
  <si>
    <t>Store keeper</t>
  </si>
  <si>
    <t>HOR Collector</t>
  </si>
  <si>
    <t>Attending missions</t>
  </si>
  <si>
    <t>Wakit, Jun</t>
  </si>
  <si>
    <t>Senior</t>
  </si>
  <si>
    <t>Tese</t>
  </si>
  <si>
    <t>0909-902-1397</t>
  </si>
  <si>
    <t>Cad-an, Bolislis</t>
  </si>
  <si>
    <t>Cad-an, Lolena</t>
  </si>
  <si>
    <t>Wakit, Benjamen</t>
  </si>
  <si>
    <t>Wasian</t>
  </si>
  <si>
    <t>Lory Jane</t>
  </si>
  <si>
    <t>15 Moran St</t>
  </si>
  <si>
    <t>Goldfield, Itogon, Benguet</t>
  </si>
  <si>
    <t>0921-881-7322</t>
  </si>
  <si>
    <t>Bentrez, Larry Sr.</t>
  </si>
  <si>
    <t>BS Agriculture</t>
  </si>
  <si>
    <t>Wasian, Rogelio</t>
  </si>
  <si>
    <t>CSW Aide</t>
  </si>
  <si>
    <t>15 Moran St. Gibraltar</t>
  </si>
  <si>
    <t>0921-736-5741</t>
  </si>
  <si>
    <t>Wong</t>
  </si>
  <si>
    <t>Reggie</t>
  </si>
  <si>
    <t>Zapata</t>
  </si>
  <si>
    <t>Florencia</t>
  </si>
  <si>
    <t>Central Fairview</t>
  </si>
  <si>
    <t>yengcaragy46@gmail.com</t>
  </si>
  <si>
    <t>Caragay, Federico</t>
  </si>
  <si>
    <t>Caragay, Lolita</t>
  </si>
  <si>
    <t>May 13, 199</t>
  </si>
  <si>
    <t>Vocational Graduate</t>
  </si>
  <si>
    <t>Freelance Housekeeping</t>
  </si>
  <si>
    <t>LM Cellgroup Secretary, Discipleship</t>
  </si>
  <si>
    <t>Visiting / Home bible studies, LM Cellgroup Secretary</t>
  </si>
  <si>
    <t>Zapata, Rando</t>
  </si>
  <si>
    <t>Business Driver</t>
  </si>
  <si>
    <t>0999-426-4459</t>
  </si>
  <si>
    <t>APOSTOLIC MEN'S MINISTRIES</t>
  </si>
  <si>
    <t>Is your spouse a believer?</t>
  </si>
  <si>
    <t>Judah</t>
  </si>
  <si>
    <t>Jomar</t>
  </si>
  <si>
    <t>Male</t>
  </si>
  <si>
    <t>shimaru26@gmail.com</t>
  </si>
  <si>
    <t>Abuan, Ricardo A.</t>
  </si>
  <si>
    <t>Abuan, Maria Fe C</t>
  </si>
  <si>
    <t>Music, BQC</t>
  </si>
  <si>
    <t>Abuan, Christine V.</t>
  </si>
  <si>
    <t>Joseph</t>
  </si>
  <si>
    <t>Ricardo</t>
  </si>
  <si>
    <t>0928-967-5947</t>
  </si>
  <si>
    <t>Issachar</t>
  </si>
  <si>
    <t>Marcial</t>
  </si>
  <si>
    <t>Manaoag, Pangasinan</t>
  </si>
  <si>
    <t>Lockiao, Paulina</t>
  </si>
  <si>
    <t>High School</t>
  </si>
  <si>
    <t>Driver, Veg. Dealer</t>
  </si>
  <si>
    <t>Alarcio, Grace</t>
  </si>
  <si>
    <t>Reynaldo</t>
  </si>
  <si>
    <t>0909-187-8704</t>
  </si>
  <si>
    <t>Alfornon</t>
  </si>
  <si>
    <t>Bobby</t>
  </si>
  <si>
    <t>BULACAN</t>
  </si>
  <si>
    <t>0926-803-3837</t>
  </si>
  <si>
    <t>Benjamin</t>
  </si>
  <si>
    <t>Joseph Sinesin</t>
  </si>
  <si>
    <t>H</t>
  </si>
  <si>
    <t>jamistad82@gmail.com</t>
  </si>
  <si>
    <t>Amistad, Snider Sr.</t>
  </si>
  <si>
    <t>Amistad, Rosemarie H.</t>
  </si>
  <si>
    <t>December 1996</t>
  </si>
  <si>
    <t>April 1997</t>
  </si>
  <si>
    <t>B.S.A.</t>
  </si>
  <si>
    <t>V.A. - LG (Australia)</t>
  </si>
  <si>
    <t>AMD, Music, Discipleship</t>
  </si>
  <si>
    <t>Amistad, Hadassah Olive C.</t>
  </si>
  <si>
    <t>Charlie</t>
  </si>
  <si>
    <t>Dan</t>
  </si>
  <si>
    <t>Cris</t>
  </si>
  <si>
    <t>29 Avelino Street</t>
  </si>
  <si>
    <t>0942-040-6959</t>
  </si>
  <si>
    <t>crisancheta@yahoo.com</t>
  </si>
  <si>
    <t>Reuben</t>
  </si>
  <si>
    <t>Armando</t>
  </si>
  <si>
    <t>#057 Sitio Paltingan</t>
  </si>
  <si>
    <t>Brgy. Lipit Norte, Manaoag, Pangasinan</t>
  </si>
  <si>
    <t>Apilada, Adriano N.</t>
  </si>
  <si>
    <t>Apilada, Gregoria R.</t>
  </si>
  <si>
    <t>March 2004</t>
  </si>
  <si>
    <t>Pentecostal Church of God</t>
  </si>
  <si>
    <t>MSCRIM</t>
  </si>
  <si>
    <t>Security Officer - UB</t>
  </si>
  <si>
    <t>Bible Study - Ambiong and Bineng</t>
  </si>
  <si>
    <t>Chess/ Dama</t>
  </si>
  <si>
    <t>Apilada, Susan B.</t>
  </si>
  <si>
    <t>Online Selling</t>
  </si>
  <si>
    <t>Marc Andrew Reli</t>
  </si>
  <si>
    <t>Los Banos, Laguna</t>
  </si>
  <si>
    <t>Athens, Greece</t>
  </si>
  <si>
    <t>Aragon, Marcelino G.</t>
  </si>
  <si>
    <t>Aragon, Evangeline M.</t>
  </si>
  <si>
    <t>MOOG</t>
  </si>
  <si>
    <t>CHOIR, Midweek Musician</t>
  </si>
  <si>
    <t>Musician</t>
  </si>
  <si>
    <t>Singing, Playing Musical Instruments</t>
  </si>
  <si>
    <t>Volleyball, Basketball, Badminton, Chess</t>
  </si>
  <si>
    <t>Carpentry, Painting, Cooking</t>
  </si>
  <si>
    <t>Aragon, Elaine Marie</t>
  </si>
  <si>
    <t>HR Officer</t>
  </si>
  <si>
    <t>0994-157-8808</t>
  </si>
  <si>
    <t>Ating</t>
  </si>
  <si>
    <t>Dwight Paul</t>
  </si>
  <si>
    <t>33 Purok 8</t>
  </si>
  <si>
    <t>0968-686-9204</t>
  </si>
  <si>
    <t>06dwightpaul@gmail.com</t>
  </si>
  <si>
    <t>Ating, Domingo</t>
  </si>
  <si>
    <t>Cruz, Liza D.</t>
  </si>
  <si>
    <t>DENR - EMB ; EMS I</t>
  </si>
  <si>
    <t>Baseball</t>
  </si>
  <si>
    <t>Levi</t>
  </si>
  <si>
    <t>Martin Jr</t>
  </si>
  <si>
    <t>Charpang</t>
  </si>
  <si>
    <t>421 Wednesday Alley</t>
  </si>
  <si>
    <t>Guisad Central</t>
  </si>
  <si>
    <t>0916-936-4705</t>
  </si>
  <si>
    <t>yogmartin@gmail.com</t>
  </si>
  <si>
    <t>Natonin, Mt. Province</t>
  </si>
  <si>
    <t>Ayungo, Martin K. Sr.</t>
  </si>
  <si>
    <t>Ayungo, Margarita C.</t>
  </si>
  <si>
    <t>On-Call Driver</t>
  </si>
  <si>
    <t>Basketball, Chess/Dama</t>
  </si>
  <si>
    <t>Ayungo, Ailene Baydal</t>
  </si>
  <si>
    <t>Entrepreneur</t>
  </si>
  <si>
    <t>Vhal</t>
  </si>
  <si>
    <t>La Trinidad, Benguet</t>
  </si>
  <si>
    <t>Santos, Leonardo</t>
  </si>
  <si>
    <t>Bacsa, Theresa</t>
  </si>
  <si>
    <t>Painter</t>
  </si>
  <si>
    <t>Singing, Arts &amp; Deco</t>
  </si>
  <si>
    <t>Basketball, badminton</t>
  </si>
  <si>
    <t>Bacsa, Hyneth Gwenn</t>
  </si>
  <si>
    <t>Caregiver</t>
  </si>
  <si>
    <t>Paul</t>
  </si>
  <si>
    <t>0918-722-5882</t>
  </si>
  <si>
    <t>Bakun, Benguet</t>
  </si>
  <si>
    <t>Balinggan, Pudico</t>
  </si>
  <si>
    <t>Pongga-as, Apinna</t>
  </si>
  <si>
    <t>B.S.N.</t>
  </si>
  <si>
    <t>Balinggan, Mercedes</t>
  </si>
  <si>
    <t>Balinggan, Jurickson</t>
  </si>
  <si>
    <t>7 Lower P. Burgos Street, B.C.</t>
  </si>
  <si>
    <t>Jurickson</t>
  </si>
  <si>
    <t>Angel Jr</t>
  </si>
  <si>
    <t xml:space="preserve"> Balacbac Central</t>
  </si>
  <si>
    <t>0961-921-4697</t>
  </si>
  <si>
    <t>Gerald</t>
  </si>
  <si>
    <t>120d Lower Kitma</t>
  </si>
  <si>
    <t>0920-858-9898</t>
  </si>
  <si>
    <t>aldger8mj@yahoo.com</t>
  </si>
  <si>
    <t>Eugene</t>
  </si>
  <si>
    <t>Lower Padre Burgos St</t>
  </si>
  <si>
    <t xml:space="preserve">Bañez, Gemma </t>
  </si>
  <si>
    <t>Bayrante</t>
  </si>
  <si>
    <t>Ramon</t>
  </si>
  <si>
    <t>CHURCH</t>
  </si>
  <si>
    <t>0992-207-7945</t>
  </si>
  <si>
    <t>bayranteramon@gmail.com</t>
  </si>
  <si>
    <t>Isaac</t>
  </si>
  <si>
    <t>bentrez231isaac@gmail.com</t>
  </si>
  <si>
    <t>Bentrez, Genera S.</t>
  </si>
  <si>
    <t>BQM</t>
  </si>
  <si>
    <t>Teaching, Literary Composition</t>
  </si>
  <si>
    <t>Bentrez, Jacqueline R.</t>
  </si>
  <si>
    <t>Jaime</t>
  </si>
  <si>
    <t>Tadian, Mountain Province</t>
  </si>
  <si>
    <t>Boteng, Peter</t>
  </si>
  <si>
    <t>Sibayan, Anita</t>
  </si>
  <si>
    <t>Carpentry Works</t>
  </si>
  <si>
    <t>Boteng, Angeline</t>
  </si>
  <si>
    <t>0949-647-5984</t>
  </si>
  <si>
    <t>Cajigal</t>
  </si>
  <si>
    <t>Rogelio</t>
  </si>
  <si>
    <t>4 AU/NPC</t>
  </si>
  <si>
    <t>Infanta, Pangasinan</t>
  </si>
  <si>
    <t>0906-245-1523 / 0994-659-8370</t>
  </si>
  <si>
    <t>rogeliogaljica@gmail.com</t>
  </si>
  <si>
    <t>Cajigal, Melanio A.</t>
  </si>
  <si>
    <t>Cajigal, Erlinda O.</t>
  </si>
  <si>
    <t>2023</t>
  </si>
  <si>
    <t>BS Civil Engineering Graduate</t>
  </si>
  <si>
    <t>Teaching, Singing, Playing Musical instruments, Arts &amp; Deco</t>
  </si>
  <si>
    <t>Carpentry Works, Mason, Painting, Cooking</t>
  </si>
  <si>
    <t>Cajigal, Nona</t>
  </si>
  <si>
    <t>Housekeeper</t>
  </si>
  <si>
    <t>142 Purok 4, Lower Pinget</t>
  </si>
  <si>
    <t>Co-employee</t>
  </si>
  <si>
    <t>Jared</t>
  </si>
  <si>
    <t>B.</t>
  </si>
  <si>
    <t>0945-976-6133</t>
  </si>
  <si>
    <t>calimlimjared@yahoo.com.ph</t>
  </si>
  <si>
    <t>Calimlim, Romulo</t>
  </si>
  <si>
    <t>Calimlim, Juliana</t>
  </si>
  <si>
    <t>Facilities Operations &amp; Maintenance Tech. - T.I.</t>
  </si>
  <si>
    <t>AMD; Choir</t>
  </si>
  <si>
    <t>Building Wiring</t>
  </si>
  <si>
    <t>Calimlim, Jamielyn R.</t>
  </si>
  <si>
    <t>House Wife</t>
  </si>
  <si>
    <t>Audie</t>
  </si>
  <si>
    <t>0938-627-6215</t>
  </si>
  <si>
    <t>Dennis</t>
  </si>
  <si>
    <t>0906-077-3464</t>
  </si>
  <si>
    <t>denniscaragay34@gmail.com</t>
  </si>
  <si>
    <t>Simplicio Jr</t>
  </si>
  <si>
    <t>0946-051-3945</t>
  </si>
  <si>
    <t>Castro, Simplicio Sr.</t>
  </si>
  <si>
    <t>Castro, Brigida</t>
  </si>
  <si>
    <t>Businessman</t>
  </si>
  <si>
    <t>Driver/Mechanic</t>
  </si>
  <si>
    <t>Carpentry Works, Mason, Welding</t>
  </si>
  <si>
    <t>Castro, Rizalina, Camora</t>
  </si>
  <si>
    <t>Jimmy</t>
  </si>
  <si>
    <t>Cayandag, Julian Sr.</t>
  </si>
  <si>
    <t>Cayandag, Lolita</t>
  </si>
  <si>
    <t>Gov't Employee - Baguio City Hall</t>
  </si>
  <si>
    <t>Cayandag, Marilou</t>
  </si>
  <si>
    <t>Gov't Employee</t>
  </si>
  <si>
    <t>0918-807-5193</t>
  </si>
  <si>
    <t>Julio</t>
  </si>
  <si>
    <t>Coyasan, Quintin</t>
  </si>
  <si>
    <t>Coyasan, Magdalina M.</t>
  </si>
  <si>
    <t>Reflexologist</t>
  </si>
  <si>
    <t>Singin, Playing Musical Instruments</t>
  </si>
  <si>
    <t>Badminton, Chess/Dama</t>
  </si>
  <si>
    <t>Carpentry Works, Welding</t>
  </si>
  <si>
    <t>Coyasan, Auxcinia R.</t>
  </si>
  <si>
    <t>Coyasan, Jayson</t>
  </si>
  <si>
    <t>Priston</t>
  </si>
  <si>
    <t>Pinsao Pilot Project</t>
  </si>
  <si>
    <t>2001</t>
  </si>
  <si>
    <t>Coyasan, Mary Jhoe</t>
  </si>
  <si>
    <t>Aron</t>
  </si>
  <si>
    <t>Block 3, 123</t>
  </si>
  <si>
    <t>0956-276-5500</t>
  </si>
  <si>
    <t>Digno</t>
  </si>
  <si>
    <t>Gawec</t>
  </si>
  <si>
    <t>0910-922-5223 / 661-7508</t>
  </si>
  <si>
    <t>cutaydigno@gmail.com</t>
  </si>
  <si>
    <t>Cutay, Frnandi Sr.</t>
  </si>
  <si>
    <t>Cutay, Fely</t>
  </si>
  <si>
    <t>August 1994</t>
  </si>
  <si>
    <t>High School Graduate</t>
  </si>
  <si>
    <t>AMM President</t>
  </si>
  <si>
    <t>AMM Vice President</t>
  </si>
  <si>
    <t>Cutay, Regina A.</t>
  </si>
  <si>
    <t>0910-449-5756</t>
  </si>
  <si>
    <t>John Mark</t>
  </si>
  <si>
    <t>Suyoc Mankayan, Benguet</t>
  </si>
  <si>
    <t>0930-652-3111</t>
  </si>
  <si>
    <t>cutayjohnmark@gmail.com</t>
  </si>
  <si>
    <t>Cutay, Digno G.</t>
  </si>
  <si>
    <t>2011</t>
  </si>
  <si>
    <t>Quality Inspector - MOOG</t>
  </si>
  <si>
    <t>Media Team</t>
  </si>
  <si>
    <t>Ushering/Choir</t>
  </si>
  <si>
    <t>Basketball, Badminton, Chess/Dama</t>
  </si>
  <si>
    <t>Cutay, Johanna Faith B.</t>
  </si>
  <si>
    <t>Finance/Teacher</t>
  </si>
  <si>
    <t>Franklin</t>
  </si>
  <si>
    <t>Balakbak Kapangan, Benguet</t>
  </si>
  <si>
    <t>frada_eleot.sern@yahoo.com</t>
  </si>
  <si>
    <t>Dagupen, Valdez</t>
  </si>
  <si>
    <t>Dagupen, Aurea Calpio</t>
  </si>
  <si>
    <t>1994</t>
  </si>
  <si>
    <t>2002</t>
  </si>
  <si>
    <t>Dagupen, Josephine</t>
  </si>
  <si>
    <t>Constancio Jr</t>
  </si>
  <si>
    <t>NHA</t>
  </si>
  <si>
    <t>0901-491-3067</t>
  </si>
  <si>
    <t>Cervantes, Ilocos Sur</t>
  </si>
  <si>
    <t>Dangla, Paulino</t>
  </si>
  <si>
    <t>Dangla, Carmen</t>
  </si>
  <si>
    <t>Mason, Laborer</t>
  </si>
  <si>
    <t>Dangla, Nancy Buya</t>
  </si>
  <si>
    <t>Klient Patrick</t>
  </si>
  <si>
    <t>klintong3766@gmail.com</t>
  </si>
  <si>
    <t>Makati City</t>
  </si>
  <si>
    <t>Daskeo, Patrick</t>
  </si>
  <si>
    <t>Daskeo, Emma</t>
  </si>
  <si>
    <t>Online ESL Teacher</t>
  </si>
  <si>
    <t>Choir, AMM</t>
  </si>
  <si>
    <t>Teaching, Singing, Arts &amp; Deco</t>
  </si>
  <si>
    <t>Mason, Cooking</t>
  </si>
  <si>
    <t>Daskeo, May</t>
  </si>
  <si>
    <t>Elementary Teacher</t>
  </si>
  <si>
    <t>Marlon</t>
  </si>
  <si>
    <t>0917-972-0679</t>
  </si>
  <si>
    <t>Antipolo, Rizal</t>
  </si>
  <si>
    <t>De Castro, Alejandro</t>
  </si>
  <si>
    <t>De Castro, Nenita B.</t>
  </si>
  <si>
    <t>Apostolic Pentecostal Church</t>
  </si>
  <si>
    <t>Apartment/ Transient Manager</t>
  </si>
  <si>
    <t>Music, Sunday School</t>
  </si>
  <si>
    <t>Volleyball, Chess/Dama</t>
  </si>
  <si>
    <t>Carpentry Works, Cooking</t>
  </si>
  <si>
    <t>De Castro, Rebecca</t>
  </si>
  <si>
    <t>0906-378-5711</t>
  </si>
  <si>
    <t>Randy</t>
  </si>
  <si>
    <t>OD 348 Banig</t>
  </si>
  <si>
    <t>msjdeguzman07@gmail.com</t>
  </si>
  <si>
    <t>De Vera</t>
  </si>
  <si>
    <t>Jaime Jr</t>
  </si>
  <si>
    <t>0999-876-9801</t>
  </si>
  <si>
    <t>jaimedevera@gmail.com</t>
  </si>
  <si>
    <t>De Vera, Jaime Sr.</t>
  </si>
  <si>
    <t>Dayao, Veronica</t>
  </si>
  <si>
    <t>Devera</t>
  </si>
  <si>
    <t>Junar</t>
  </si>
  <si>
    <t>Eraldo</t>
  </si>
  <si>
    <t>Federico Jr</t>
  </si>
  <si>
    <t>120 Purok 5 Amparo Heights</t>
  </si>
  <si>
    <t>Hinoba-an Negros Occidental</t>
  </si>
  <si>
    <t>0955-751-4955</t>
  </si>
  <si>
    <t>Eraldo, Federico Sr.</t>
  </si>
  <si>
    <t>Eraldo, Engracia T.</t>
  </si>
  <si>
    <t>Gigh School Graduate</t>
  </si>
  <si>
    <t>Carpenter; Mason</t>
  </si>
  <si>
    <t>Carpentry Works; Mason</t>
  </si>
  <si>
    <t>Eraldo, Jenelyn P.</t>
  </si>
  <si>
    <t>Eraldo, Jenelyn</t>
  </si>
  <si>
    <t>Wife</t>
  </si>
  <si>
    <t>0994-184-9783</t>
  </si>
  <si>
    <t>Clint</t>
  </si>
  <si>
    <t>5026 Purok 5</t>
  </si>
  <si>
    <t>Abatan Buguias, Benguet</t>
  </si>
  <si>
    <t>0995-189-4962</t>
  </si>
  <si>
    <t>clintse29@gmail.com</t>
  </si>
  <si>
    <t>Esteban, Leopoldo</t>
  </si>
  <si>
    <t>Esteban, Duela</t>
  </si>
  <si>
    <t>BS Nursing</t>
  </si>
  <si>
    <t>Esteban, Juvette Ann</t>
  </si>
  <si>
    <t>Physician</t>
  </si>
  <si>
    <t>0917-125-6408</t>
  </si>
  <si>
    <t>Oscar Sr</t>
  </si>
  <si>
    <t>089 Amsing, Siapnon Rd.</t>
  </si>
  <si>
    <t>Naguilian, La Union</t>
  </si>
  <si>
    <t>0945-823-8754</t>
  </si>
  <si>
    <t>Estipular, Rufo</t>
  </si>
  <si>
    <t>Estipular, Manuela</t>
  </si>
  <si>
    <t>Volleyball, Basketball, Chess/Dama</t>
  </si>
  <si>
    <t>Estipular, Corazon</t>
  </si>
  <si>
    <t>Garcia</t>
  </si>
  <si>
    <t>Manuel</t>
  </si>
  <si>
    <t>Buted, Tawang</t>
  </si>
  <si>
    <t>0993-114-7199</t>
  </si>
  <si>
    <t>Sison, Pangasinan</t>
  </si>
  <si>
    <t>Ramel</t>
  </si>
  <si>
    <t>0929-197-2755</t>
  </si>
  <si>
    <t>ramelibanez03@gmail.com</t>
  </si>
  <si>
    <t>Capiz</t>
  </si>
  <si>
    <t>Ibañez, Ramon</t>
  </si>
  <si>
    <t>Miralles, Salvacion</t>
  </si>
  <si>
    <t>2004</t>
  </si>
  <si>
    <t>Musician, Sunday School</t>
  </si>
  <si>
    <t>AMM President, Music, Worship Leader</t>
  </si>
  <si>
    <t>Singing, Playing Musical Instruments, Literary Composition</t>
  </si>
  <si>
    <t>Ibañez, Julie</t>
  </si>
  <si>
    <t>Domingo</t>
  </si>
  <si>
    <t>151 Chamomile St. Sunnyside</t>
  </si>
  <si>
    <t>0908-984-0285</t>
  </si>
  <si>
    <t>Boni</t>
  </si>
  <si>
    <t>0908-202-7848</t>
  </si>
  <si>
    <t>bkebasen@yahoo.com</t>
  </si>
  <si>
    <t>Kebasen, George</t>
  </si>
  <si>
    <t>Kebasen, Rufina</t>
  </si>
  <si>
    <t>June 1980</t>
  </si>
  <si>
    <t>Kebasen, Dorothy</t>
  </si>
  <si>
    <t>Kiwil</t>
  </si>
  <si>
    <t>Dampo</t>
  </si>
  <si>
    <t>0981-015-1086</t>
  </si>
  <si>
    <t>Trinity</t>
  </si>
  <si>
    <t>Kiwil, Betty</t>
  </si>
  <si>
    <t>Jonie</t>
  </si>
  <si>
    <t>0963-115-1724</t>
  </si>
  <si>
    <t>Kiwil, Dampa</t>
  </si>
  <si>
    <t>Kiwil, Dailyn</t>
  </si>
  <si>
    <t>Marvin</t>
  </si>
  <si>
    <t>Luneta Loacan</t>
  </si>
  <si>
    <t>0966-455-8758</t>
  </si>
  <si>
    <t>Nestor Jr</t>
  </si>
  <si>
    <t>nestorlaresmajr022531@gmail.com</t>
  </si>
  <si>
    <t>Isaberlla</t>
  </si>
  <si>
    <t>Laresma, Nestor Sr.</t>
  </si>
  <si>
    <t>Laresma, Lirio M.</t>
  </si>
  <si>
    <t>Catholic; AG</t>
  </si>
  <si>
    <t>College Graduate - BS Mechanical Engr.</t>
  </si>
  <si>
    <t>Facilities O&amp;M Mngr. - T.I.</t>
  </si>
  <si>
    <t>Minister (Preacher/Teacher)</t>
  </si>
  <si>
    <t>Basketball; Billiards</t>
  </si>
  <si>
    <t>Aircon/Fire Pro - Design &amp; Sign &amp; Seal</t>
  </si>
  <si>
    <t>Laresma, Arlene G.</t>
  </si>
  <si>
    <t>Rosario</t>
  </si>
  <si>
    <t>AC-017C</t>
  </si>
  <si>
    <t>drosariol@gmail.com</t>
  </si>
  <si>
    <t>Sonny</t>
  </si>
  <si>
    <t>Harvey</t>
  </si>
  <si>
    <t>Purok 20 NPC Subd.</t>
  </si>
  <si>
    <t>Poblacion Kabayan, Benguet</t>
  </si>
  <si>
    <t>0947-426-4761</t>
  </si>
  <si>
    <t>hliwana@gmail.com</t>
  </si>
  <si>
    <t>Kabayan, Benguet</t>
  </si>
  <si>
    <t>Liwana Billy T.</t>
  </si>
  <si>
    <t>Liwana, Myriana Delia</t>
  </si>
  <si>
    <t>2016</t>
  </si>
  <si>
    <t>UCCPC</t>
  </si>
  <si>
    <t>Business</t>
  </si>
  <si>
    <t>Volleyball, baseball</t>
  </si>
  <si>
    <t>Genno</t>
  </si>
  <si>
    <t>genyes88@gmail.com</t>
  </si>
  <si>
    <t>Demetrio</t>
  </si>
  <si>
    <t>Atok, Benguet</t>
  </si>
  <si>
    <t>November 1980</t>
  </si>
  <si>
    <t>December 1980</t>
  </si>
  <si>
    <t>Teaching, Singing, Ushering</t>
  </si>
  <si>
    <t>Matias, Remedios</t>
  </si>
  <si>
    <t>Gaston</t>
  </si>
  <si>
    <t>Rocky Side</t>
  </si>
  <si>
    <t>Lubas La Trinidad, Benguet</t>
  </si>
  <si>
    <t>0965-254-9915</t>
  </si>
  <si>
    <t>gastonnaimes5247@gmail.com</t>
  </si>
  <si>
    <t>Naimes, Martin</t>
  </si>
  <si>
    <t>Naimes, Primitiva</t>
  </si>
  <si>
    <t>1996</t>
  </si>
  <si>
    <t>Community Dev't Worker - DSWD CAR</t>
  </si>
  <si>
    <t>AMF Secretary, Choir Member</t>
  </si>
  <si>
    <t>rhanzdoc575@gmail.com</t>
  </si>
  <si>
    <t>2007</t>
  </si>
  <si>
    <t>Roman Catholic, Baptist</t>
  </si>
  <si>
    <t>College Degree</t>
  </si>
  <si>
    <t>Faculty - BSU</t>
  </si>
  <si>
    <t>Teaching, Singing, Playing Musical instruments</t>
  </si>
  <si>
    <t>Pacsi, Maricel</t>
  </si>
  <si>
    <t>Joel</t>
  </si>
  <si>
    <t>Inayos</t>
  </si>
  <si>
    <t>01-B Purok 1</t>
  </si>
  <si>
    <t>Lamtang La Trinidad, benguet</t>
  </si>
  <si>
    <t>0927-263-2864</t>
  </si>
  <si>
    <t>Pay-an, Samuel</t>
  </si>
  <si>
    <t>Pay-an, Pelomina</t>
  </si>
  <si>
    <t>Pay-an, Elizabeth Cutay</t>
  </si>
  <si>
    <t>266 Lower Cypress Purok 14</t>
  </si>
  <si>
    <t>Negros, Occidental</t>
  </si>
  <si>
    <t>Prado, Alex</t>
  </si>
  <si>
    <t>Prado, Rosita</t>
  </si>
  <si>
    <t>College Undergraduate</t>
  </si>
  <si>
    <t>AMM, Driver</t>
  </si>
  <si>
    <t>AMM Secretary</t>
  </si>
  <si>
    <t>Driving</t>
  </si>
  <si>
    <t>Prado, Phebe</t>
  </si>
  <si>
    <t>0950-583-3317</t>
  </si>
  <si>
    <t>Mark Angelo</t>
  </si>
  <si>
    <t>Sta. Barbara, Panasinan</t>
  </si>
  <si>
    <t>Pulicay, Marcelino</t>
  </si>
  <si>
    <t>Pulicay, Lilia</t>
  </si>
  <si>
    <t>Ison Company</t>
  </si>
  <si>
    <t>Pulicay, Janice</t>
  </si>
  <si>
    <t>Chris John</t>
  </si>
  <si>
    <t>0909-983-3811</t>
  </si>
  <si>
    <t>Robert</t>
  </si>
  <si>
    <t>Christina</t>
  </si>
  <si>
    <t>Quezon, Prescilla</t>
  </si>
  <si>
    <t>Reyes</t>
  </si>
  <si>
    <t>Manolo</t>
  </si>
  <si>
    <t>Hagonoy, Bulacan</t>
  </si>
  <si>
    <t>0927-716-1227</t>
  </si>
  <si>
    <t>Reyes, Carlos S.</t>
  </si>
  <si>
    <t>Reyes, Anicia Galang</t>
  </si>
  <si>
    <t>Reyes, Virjelyn</t>
  </si>
  <si>
    <t>Jay</t>
  </si>
  <si>
    <t>Rivera, Rizaldy</t>
  </si>
  <si>
    <t>Rivera, Evangeline</t>
  </si>
  <si>
    <t>Imbang, Aileen</t>
  </si>
  <si>
    <t>Arthur</t>
  </si>
  <si>
    <t>139C San Carlos Heights Rd</t>
  </si>
  <si>
    <t>0976-000-2618</t>
  </si>
  <si>
    <t>arthur.sawad@yahoo.com</t>
  </si>
  <si>
    <t>Scheychelles Aries</t>
  </si>
  <si>
    <t>0917-620-8243</t>
  </si>
  <si>
    <t>aries.sai.007@gmail.com</t>
  </si>
  <si>
    <t>Sayan, Domingo Sr.</t>
  </si>
  <si>
    <t>Sayan, Grace</t>
  </si>
  <si>
    <t>November 2015</t>
  </si>
  <si>
    <t>2024</t>
  </si>
  <si>
    <t>College</t>
  </si>
  <si>
    <t>Manulife IT Delivery</t>
  </si>
  <si>
    <t>Photography</t>
  </si>
  <si>
    <t>Sayan, Jovelyn</t>
  </si>
  <si>
    <t>Cedric Antonio</t>
  </si>
  <si>
    <t>Caloocan City, NCR</t>
  </si>
  <si>
    <t>Soriano, Isidro G.</t>
  </si>
  <si>
    <t>Soriano, Carmen H.</t>
  </si>
  <si>
    <t>September 2022</t>
  </si>
  <si>
    <t>April 2021</t>
  </si>
  <si>
    <t>Jehovah's Witnesses</t>
  </si>
  <si>
    <t>BSHRM College Graduate</t>
  </si>
  <si>
    <t>Inline English Tutor</t>
  </si>
  <si>
    <t>Choir</t>
  </si>
  <si>
    <t>Soriano, Esmeralda A.</t>
  </si>
  <si>
    <t>0999-706-2328</t>
  </si>
  <si>
    <t>Tony</t>
  </si>
  <si>
    <t>Navy Base</t>
  </si>
  <si>
    <t>Sta. Maria, Pangasinan</t>
  </si>
  <si>
    <t>0930-919-6308</t>
  </si>
  <si>
    <t>Firstborn Church, Sta. Maria</t>
  </si>
  <si>
    <t>Michael</t>
  </si>
  <si>
    <t>086 Purok 6 St. Joseph</t>
  </si>
  <si>
    <t>0905-700-0499</t>
  </si>
  <si>
    <t>Antonio Jr</t>
  </si>
  <si>
    <t>8 Avelino Street</t>
  </si>
  <si>
    <t>0917-835-4755</t>
  </si>
  <si>
    <t>talobantony@gmail.com</t>
  </si>
  <si>
    <t>Allan Edward</t>
  </si>
  <si>
    <t>Tamo, Albert M.</t>
  </si>
  <si>
    <t>Tamo, Raquel O.</t>
  </si>
  <si>
    <t>Culinary Graduate</t>
  </si>
  <si>
    <t>Business owner - Chop's Bowl</t>
  </si>
  <si>
    <t>Tamo, Kathlene T.</t>
  </si>
  <si>
    <t>Rolly</t>
  </si>
  <si>
    <t>Bangko</t>
  </si>
  <si>
    <t>Daclan, Tublay</t>
  </si>
  <si>
    <t>0950-655-3468</t>
  </si>
  <si>
    <t>Tomas, Andrea</t>
  </si>
  <si>
    <t>0909-200-1765</t>
  </si>
  <si>
    <t>Torcuato</t>
  </si>
  <si>
    <t>Arnulfo</t>
  </si>
  <si>
    <t>Abra, Dolores</t>
  </si>
  <si>
    <t>Abra</t>
  </si>
  <si>
    <t>Torcuato, Violeta</t>
  </si>
  <si>
    <t>0995-208-8750</t>
  </si>
  <si>
    <t>Andres</t>
  </si>
  <si>
    <t>Wagang, Daniel</t>
  </si>
  <si>
    <t>Wagang, Evangeline</t>
  </si>
  <si>
    <t>Teaching, Playing Musical Instruments</t>
  </si>
  <si>
    <t>Wagang, Vilma T.</t>
  </si>
  <si>
    <t>Wangal, La Trinidad</t>
  </si>
  <si>
    <t>Wakit, Lorenzo</t>
  </si>
  <si>
    <t>Wakit, Benita</t>
  </si>
  <si>
    <t>Wakit, Tese</t>
  </si>
  <si>
    <t>Benjamin Jr</t>
  </si>
  <si>
    <t>K</t>
  </si>
  <si>
    <t>54 South Central</t>
  </si>
  <si>
    <t>0928-892-6858 / 0908-793-6956</t>
  </si>
  <si>
    <t>jingjr67@gmail.com</t>
  </si>
  <si>
    <t>Wong, Benjamin Sr.</t>
  </si>
  <si>
    <t>Wong, Rosa</t>
  </si>
  <si>
    <t>Assemblies of God</t>
  </si>
  <si>
    <t>Seafarer</t>
  </si>
  <si>
    <t>Snging</t>
  </si>
  <si>
    <t>Wong, Teofila M.</t>
  </si>
  <si>
    <t>0908-793-6956</t>
  </si>
  <si>
    <t>Rando</t>
  </si>
  <si>
    <t>Bangued, Abra</t>
  </si>
  <si>
    <t>Zapata, Romeo</t>
  </si>
  <si>
    <t>Zapata, Erlinda B.</t>
  </si>
  <si>
    <t>INC</t>
  </si>
  <si>
    <t>Bus Driver - Pines Garage</t>
  </si>
  <si>
    <t>AMM Member, Traffic Enforcer</t>
  </si>
  <si>
    <t>Zapata, Florencia</t>
  </si>
  <si>
    <t>YOUTH MINISTRIES</t>
  </si>
  <si>
    <t>Home Church</t>
  </si>
  <si>
    <t>Pastor's Name</t>
  </si>
  <si>
    <t>Educational Attainment</t>
  </si>
  <si>
    <t>School Name</t>
  </si>
  <si>
    <t>School Organization</t>
  </si>
  <si>
    <t>Occupation (if working)</t>
  </si>
  <si>
    <t>Ministry You Want To Be Part Of</t>
  </si>
  <si>
    <t>YLTS/Sectional Youth Con - Times Attended</t>
  </si>
  <si>
    <t>Y.C./District Youth Con - Times Attended</t>
  </si>
  <si>
    <t>Other Church</t>
  </si>
  <si>
    <t>Joshua</t>
  </si>
  <si>
    <t>Agpalo</t>
  </si>
  <si>
    <t>Charles</t>
  </si>
  <si>
    <t>Sunday Goer</t>
  </si>
  <si>
    <t>Samuel</t>
  </si>
  <si>
    <t>Femy</t>
  </si>
  <si>
    <t>Inactive</t>
  </si>
  <si>
    <t>Elijah</t>
  </si>
  <si>
    <t>Hyphen</t>
  </si>
  <si>
    <t>Albing</t>
  </si>
  <si>
    <t>John Lee</t>
  </si>
  <si>
    <t>Active</t>
  </si>
  <si>
    <t>Amela Grace</t>
  </si>
  <si>
    <t>0985-088-5808</t>
  </si>
  <si>
    <t>graziawazian@gmail.com</t>
  </si>
  <si>
    <t>Albing, Melanio Nga-an</t>
  </si>
  <si>
    <t>Albing, Agustina Wasian</t>
  </si>
  <si>
    <t>U.B.</t>
  </si>
  <si>
    <t>Music, Children's Ministry</t>
  </si>
  <si>
    <t>Albing, John Lee</t>
  </si>
  <si>
    <t>0948-490-2424</t>
  </si>
  <si>
    <t>Alpha May</t>
  </si>
  <si>
    <t>0930-545-7458</t>
  </si>
  <si>
    <t>alparito13@gmail.com</t>
  </si>
  <si>
    <t>Alcantara</t>
  </si>
  <si>
    <t>Axel</t>
  </si>
  <si>
    <t>Renalyn</t>
  </si>
  <si>
    <t>Elisha</t>
  </si>
  <si>
    <t>Alister</t>
  </si>
  <si>
    <t>Jun</t>
  </si>
  <si>
    <t>Zhoilo</t>
  </si>
  <si>
    <t>Antonio</t>
  </si>
  <si>
    <t>Froxh Zion</t>
  </si>
  <si>
    <t>a</t>
  </si>
  <si>
    <t>Moses</t>
  </si>
  <si>
    <t>Jairah May</t>
  </si>
  <si>
    <t>0964-142-3946</t>
  </si>
  <si>
    <t>Cavite</t>
  </si>
  <si>
    <t>Apilada, Arnel B.</t>
  </si>
  <si>
    <t>Cañada, Joana R.</t>
  </si>
  <si>
    <t>Current</t>
  </si>
  <si>
    <t>Doña Aurora NHS</t>
  </si>
  <si>
    <t>Dancing</t>
  </si>
  <si>
    <t>Grandfather</t>
  </si>
  <si>
    <t>Arman Angelo</t>
  </si>
  <si>
    <t>0966-533-0009</t>
  </si>
  <si>
    <t>BS Architecture 5th Year</t>
  </si>
  <si>
    <t>Drawing</t>
  </si>
  <si>
    <t>Arbie</t>
  </si>
  <si>
    <t>AP31 Paltingan</t>
  </si>
  <si>
    <t>0929-867-7178</t>
  </si>
  <si>
    <t>arbie. apilada@gmail.com</t>
  </si>
  <si>
    <t>Tutor</t>
  </si>
  <si>
    <t>Timothy</t>
  </si>
  <si>
    <t>Apolinario</t>
  </si>
  <si>
    <t>Troy Kenneth</t>
  </si>
  <si>
    <t>Augusto</t>
  </si>
  <si>
    <t>Guillian</t>
  </si>
  <si>
    <t>Holy Ghost Extension</t>
  </si>
  <si>
    <t>Lagawe, Ifugao</t>
  </si>
  <si>
    <t>0949-601-7951</t>
  </si>
  <si>
    <t>guillian.augusto@gmail.com</t>
  </si>
  <si>
    <t>Augusto, Gilbert P.</t>
  </si>
  <si>
    <t>Augusto, Janet M.</t>
  </si>
  <si>
    <t>UPC Lagawe Church</t>
  </si>
  <si>
    <t>Ptr. Joel Baracao</t>
  </si>
  <si>
    <t>U.C.</t>
  </si>
  <si>
    <t>Treasury, Chalet Baguio Hotel</t>
  </si>
  <si>
    <t>Music</t>
  </si>
  <si>
    <t>Crochet</t>
  </si>
  <si>
    <t>Cabbigat, Jinky</t>
  </si>
  <si>
    <t>Church Mate</t>
  </si>
  <si>
    <t>0928-907-1302</t>
  </si>
  <si>
    <t>Ayungo III</t>
  </si>
  <si>
    <t xml:space="preserve">Martin Aileslee </t>
  </si>
  <si>
    <t>Badilla</t>
  </si>
  <si>
    <t>Hervie Kate</t>
  </si>
  <si>
    <t>OB-048-B Bated</t>
  </si>
  <si>
    <t>0910-002-7493</t>
  </si>
  <si>
    <t>bherviekate@gmail.com</t>
  </si>
  <si>
    <t>Badilla, Brenson</t>
  </si>
  <si>
    <t>October 2012</t>
  </si>
  <si>
    <t>2013</t>
  </si>
  <si>
    <t>College TESDA Graduate</t>
  </si>
  <si>
    <t>Bagaoisan</t>
  </si>
  <si>
    <t>Divine Mercy</t>
  </si>
  <si>
    <t>Salud Mitra</t>
  </si>
  <si>
    <t>Macanaya Aparri, Cagayan</t>
  </si>
  <si>
    <t>0961-705-8441</t>
  </si>
  <si>
    <t>divinebagaoisan@gmail.com</t>
  </si>
  <si>
    <t>Bagaoisan, Charito</t>
  </si>
  <si>
    <t>Bagaoisan, Merlita</t>
  </si>
  <si>
    <t>UPC Tabernacle of Living Saints</t>
  </si>
  <si>
    <t>Ptr. Charito Bagaoisan</t>
  </si>
  <si>
    <t>0975-322-8737</t>
  </si>
  <si>
    <t>Baldoz</t>
  </si>
  <si>
    <t>King Stevenlee</t>
  </si>
  <si>
    <t>Paniqui, Tarla</t>
  </si>
  <si>
    <t>0912-280-6426</t>
  </si>
  <si>
    <t>Narvacan, Ilocos Sur</t>
  </si>
  <si>
    <t>Baldoz, Vincent B.</t>
  </si>
  <si>
    <t>Baldoz, Tewie C.</t>
  </si>
  <si>
    <t>UPC Paniqui Church</t>
  </si>
  <si>
    <t>Ptr. Lino Banaag</t>
  </si>
  <si>
    <t>1st Year College - Current</t>
  </si>
  <si>
    <t>Singing, Photographt</t>
  </si>
  <si>
    <t>Baldoz, Queen Vite</t>
  </si>
  <si>
    <t>0910-612-6223</t>
  </si>
  <si>
    <t>Jacob</t>
  </si>
  <si>
    <t>Jadden Tredway</t>
  </si>
  <si>
    <t>154 BPI Cpd</t>
  </si>
  <si>
    <t>0962-158-2646</t>
  </si>
  <si>
    <t>Balinggan, Gene</t>
  </si>
  <si>
    <t>Grade 7 - Current</t>
  </si>
  <si>
    <t>Basketball, Soccer, Karate</t>
  </si>
  <si>
    <t>0939-918-6017</t>
  </si>
  <si>
    <t>Gabrielle Troi</t>
  </si>
  <si>
    <t>Queen Crystalie</t>
  </si>
  <si>
    <t>Blk 1 Lot 19B NHA</t>
  </si>
  <si>
    <t>Balneg, Rose Urbiztundo</t>
  </si>
  <si>
    <t>Grade 8 - Current</t>
  </si>
  <si>
    <t>Educare College Inc.</t>
  </si>
  <si>
    <t>Painting</t>
  </si>
  <si>
    <t>Balneg, Rose</t>
  </si>
  <si>
    <t>0921-975-9585</t>
  </si>
  <si>
    <t>Kristine Chloe</t>
  </si>
  <si>
    <t>0969-386-4628</t>
  </si>
  <si>
    <t>kc08bambao@gmail.com</t>
  </si>
  <si>
    <t>Bambao, Joanna</t>
  </si>
  <si>
    <t>Grade 11 - Current</t>
  </si>
  <si>
    <t>UB High School</t>
  </si>
  <si>
    <t>Girl Scout of the Phil.</t>
  </si>
  <si>
    <t>Speaker/Socialize</t>
  </si>
  <si>
    <t>0912-186-2964</t>
  </si>
  <si>
    <t>Geraldine Marijoe</t>
  </si>
  <si>
    <t>120D Lower Kitma Interior</t>
  </si>
  <si>
    <t>0910-519-3828</t>
  </si>
  <si>
    <t>geraldine100908@gmail.com</t>
  </si>
  <si>
    <t>Banaag, Gerald C.</t>
  </si>
  <si>
    <t>Banaag, Marjorie S.</t>
  </si>
  <si>
    <t>Grade 10 - Current</t>
  </si>
  <si>
    <t>Phil. Science High School - CAR</t>
  </si>
  <si>
    <t>PSHS CAR Baking Club Member</t>
  </si>
  <si>
    <t>Arts &amp; Deco, Photography</t>
  </si>
  <si>
    <t>Banaag, Gerald</t>
  </si>
  <si>
    <t>Aldgeryne Faith</t>
  </si>
  <si>
    <t>0910-519-3858</t>
  </si>
  <si>
    <t>banaagaldgerynef@gmail.com</t>
  </si>
  <si>
    <t>Step Learning Academy</t>
  </si>
  <si>
    <t>Bible Quizzing</t>
  </si>
  <si>
    <t>Playing Musical Instruments, Literary Composition</t>
  </si>
  <si>
    <t>Banaag, Marjorie</t>
  </si>
  <si>
    <t>Journey Ryan</t>
  </si>
  <si>
    <t>Basilio</t>
  </si>
  <si>
    <t>Gylrihs Gem</t>
  </si>
  <si>
    <t>Lot 7A Blk 2 Onyx St NPC</t>
  </si>
  <si>
    <t>0960-583-5959</t>
  </si>
  <si>
    <t>ggem.bbasilio.2@gmail.com</t>
  </si>
  <si>
    <t>Basilio, George S.</t>
  </si>
  <si>
    <t>Basilio, Shirly B.</t>
  </si>
  <si>
    <t>2017</t>
  </si>
  <si>
    <t>3rd Year College - Current</t>
  </si>
  <si>
    <t>BSU La Trinidad</t>
  </si>
  <si>
    <t>Enlgish Language &amp; Literature Students Association</t>
  </si>
  <si>
    <t>Sunday School, Media, Youth Ministires</t>
  </si>
  <si>
    <t>Literary Composition, Arts &amp; Deco</t>
  </si>
  <si>
    <t>Painting, Tailoring/Dressmaking</t>
  </si>
  <si>
    <t>7 to 8</t>
  </si>
  <si>
    <t>14 to 16</t>
  </si>
  <si>
    <t>FC323 Central balili, L.T.</t>
  </si>
  <si>
    <t>Geryl Ann</t>
  </si>
  <si>
    <t>0969-225-9709</t>
  </si>
  <si>
    <t>gerylbasilio2121@gmail.com</t>
  </si>
  <si>
    <t>2014</t>
  </si>
  <si>
    <t>Music, Youth Media</t>
  </si>
  <si>
    <t>Playing Musical instruments, Arts &amp; Deco</t>
  </si>
  <si>
    <t>3 +</t>
  </si>
  <si>
    <t>0947-734-1549</t>
  </si>
  <si>
    <t>Batalao</t>
  </si>
  <si>
    <t>Nathaniel</t>
  </si>
  <si>
    <t>Loo Buguias Benguet</t>
  </si>
  <si>
    <t>0951-599-5210</t>
  </si>
  <si>
    <t>nathanielbatalao@gmail.com</t>
  </si>
  <si>
    <t>Buguias, Benguet</t>
  </si>
  <si>
    <t>Batalao, Jonathan Jr.</t>
  </si>
  <si>
    <t>Batalao, Doria</t>
  </si>
  <si>
    <t>UPC Buguias</t>
  </si>
  <si>
    <t>Ptr. Tony Mamolang</t>
  </si>
  <si>
    <t>BSCE</t>
  </si>
  <si>
    <t>S.L.U.</t>
  </si>
  <si>
    <t>Music, Praise Team</t>
  </si>
  <si>
    <t>Acting</t>
  </si>
  <si>
    <t>Volleyball, basketball</t>
  </si>
  <si>
    <t>Batalao, Jonathan B.</t>
  </si>
  <si>
    <t>Loo Buguias, Benguet</t>
  </si>
  <si>
    <t>0950-142-8408</t>
  </si>
  <si>
    <t>Jonathan</t>
  </si>
  <si>
    <t>0927-327-9192</t>
  </si>
  <si>
    <t>batalaojonathan@gmail.com</t>
  </si>
  <si>
    <t>Automotive Tech; BS Architecture</t>
  </si>
  <si>
    <t>BSU Buguias; U.B.</t>
  </si>
  <si>
    <t>Apprentice, Draftsman - B.C.</t>
  </si>
  <si>
    <t>Usheing, Choir</t>
  </si>
  <si>
    <t>Batalao, Nathaniel B.</t>
  </si>
  <si>
    <t>Mark</t>
  </si>
  <si>
    <t>Bible Study</t>
  </si>
  <si>
    <t>Bonilla</t>
  </si>
  <si>
    <t>Mark Rener</t>
  </si>
  <si>
    <t>Bosque</t>
  </si>
  <si>
    <t>Ara Mae</t>
  </si>
  <si>
    <t>San Mateo, South Luzon, Rizal</t>
  </si>
  <si>
    <t>0969-466-1551</t>
  </si>
  <si>
    <t>arambosque@gmail.com</t>
  </si>
  <si>
    <t>Bosque, Wilfred</t>
  </si>
  <si>
    <t>Bosque, Vilma</t>
  </si>
  <si>
    <t>UPC-CAC San Ancdres Bukid Manila</t>
  </si>
  <si>
    <t>Ptr. Justine Tagudin</t>
  </si>
  <si>
    <t>Bachelors Degree</t>
  </si>
  <si>
    <t>BMS Tech Suoervisor</t>
  </si>
  <si>
    <t>Music, Youth Pres., Sunday School, Prayer Warrior, Ushering</t>
  </si>
  <si>
    <t>Teaching, Arts &amp; Deci</t>
  </si>
  <si>
    <t>Bosque, Ara Maica</t>
  </si>
  <si>
    <t>0916-422-3933</t>
  </si>
  <si>
    <t>Briones</t>
  </si>
  <si>
    <t>Jonel</t>
  </si>
  <si>
    <t>Buhong</t>
  </si>
  <si>
    <t>Melody</t>
  </si>
  <si>
    <t>Kasibu, Nueva Viscaya</t>
  </si>
  <si>
    <t>0936-117-4548</t>
  </si>
  <si>
    <t>melodybuhongcse@gmail.com</t>
  </si>
  <si>
    <t>Bambang, Nueva Viscaya</t>
  </si>
  <si>
    <t>Buhong, Damiano</t>
  </si>
  <si>
    <t>Buhong, Rosa D.</t>
  </si>
  <si>
    <t>Dupac Del Norte UPC</t>
  </si>
  <si>
    <t>Ptr. Joel Brojas</t>
  </si>
  <si>
    <t>Chansen Dave</t>
  </si>
  <si>
    <t>Km 3</t>
  </si>
  <si>
    <t>Cabay, Charles</t>
  </si>
  <si>
    <t>Cabay, Arlyn</t>
  </si>
  <si>
    <t>Grade 9 - Current</t>
  </si>
  <si>
    <t>Caryl Kaye</t>
  </si>
  <si>
    <t>Masla, Mt. Province</t>
  </si>
  <si>
    <t>0961-535-7583</t>
  </si>
  <si>
    <t>carylkaycabay@gmail.com</t>
  </si>
  <si>
    <t>Class President, RSCEP Officer</t>
  </si>
  <si>
    <t>David</t>
  </si>
  <si>
    <t>Cabbigat</t>
  </si>
  <si>
    <t>Jinky Mae</t>
  </si>
  <si>
    <t>Lagawe Ifugao</t>
  </si>
  <si>
    <t>cabbigatjinkymae@gmail.com</t>
  </si>
  <si>
    <t>Cabbigat, Julius A.</t>
  </si>
  <si>
    <t>Cabbigat, Josiefer B.</t>
  </si>
  <si>
    <t>2019</t>
  </si>
  <si>
    <t>Jesus Tabernacle, UPC Lagawe, Ifugao</t>
  </si>
  <si>
    <t>Courtney Jhayne</t>
  </si>
  <si>
    <t>0945-243-1731</t>
  </si>
  <si>
    <t>Ushering; Sunday School</t>
  </si>
  <si>
    <t>Glory Anne</t>
  </si>
  <si>
    <t>118 Blk 2</t>
  </si>
  <si>
    <t>0928-999-8768</t>
  </si>
  <si>
    <t>gloryanne7camodag@gmail.com</t>
  </si>
  <si>
    <t>Camodag, Audie D.</t>
  </si>
  <si>
    <t>Camodag, Julieta P.</t>
  </si>
  <si>
    <t>2010</t>
  </si>
  <si>
    <t>May 2012</t>
  </si>
  <si>
    <t>Bible Quzzing, Media</t>
  </si>
  <si>
    <t>Athena Grace</t>
  </si>
  <si>
    <t>Khraenzhell</t>
  </si>
  <si>
    <t>Kate Ann</t>
  </si>
  <si>
    <t>126 Sunny Side</t>
  </si>
  <si>
    <t>0956-412-9855</t>
  </si>
  <si>
    <t>Caragay, Dennis</t>
  </si>
  <si>
    <t>Daragay, Kimberly</t>
  </si>
  <si>
    <t>May 2021</t>
  </si>
  <si>
    <t>PCNHS</t>
  </si>
  <si>
    <t>Music, Media</t>
  </si>
  <si>
    <t>Carpio</t>
  </si>
  <si>
    <t>Zander</t>
  </si>
  <si>
    <t>0981-083-5558</t>
  </si>
  <si>
    <t>UPC Aurora</t>
  </si>
  <si>
    <t xml:space="preserve">College </t>
  </si>
  <si>
    <t xml:space="preserve">U.P. Baguio </t>
  </si>
  <si>
    <t>Technical, Ushering</t>
  </si>
  <si>
    <t>Teaching, Arts &amp; Deco, Canva, mostly tech-related</t>
  </si>
  <si>
    <t>Castillejo</t>
  </si>
  <si>
    <t>Jonaira</t>
  </si>
  <si>
    <t>Purok 10</t>
  </si>
  <si>
    <t>Dist. 2 San Manuel Isabela</t>
  </si>
  <si>
    <t>0965-369-5837</t>
  </si>
  <si>
    <t>jonairacastillejo@gmail.com</t>
  </si>
  <si>
    <t>San Manuel, Isabella</t>
  </si>
  <si>
    <t>Castillejo, Jhonny</t>
  </si>
  <si>
    <t>Castillejo, Jovita</t>
  </si>
  <si>
    <t>October 2011</t>
  </si>
  <si>
    <t>Ptr. Apollo Vino</t>
  </si>
  <si>
    <t>Castillejo, Jamaica</t>
  </si>
  <si>
    <t>154 BPI Compound, Guisad</t>
  </si>
  <si>
    <t>0965-533-6645</t>
  </si>
  <si>
    <t>Jeehan Jane</t>
  </si>
  <si>
    <t>Avelino St</t>
  </si>
  <si>
    <t>0975-688-2492</t>
  </si>
  <si>
    <t>jeehanjanecastillejo@gmail.com</t>
  </si>
  <si>
    <t>Isabella State University - Roxas Campus</t>
  </si>
  <si>
    <t>Project Representative - Roman Ayson (Bokawkan Rd. B. C.)</t>
  </si>
  <si>
    <t>Teaching, Singing, Literary Composition</t>
  </si>
  <si>
    <t>Alot</t>
  </si>
  <si>
    <t>Jamaica</t>
  </si>
  <si>
    <t>154 BPI Compoind Cresencia Village</t>
  </si>
  <si>
    <t>castillejojamaica0723@gmail.com</t>
  </si>
  <si>
    <t>Morong, Rizal</t>
  </si>
  <si>
    <t>Castillejo, Jonaira</t>
  </si>
  <si>
    <t>Purok 10 Upper Pinget</t>
  </si>
  <si>
    <t>Oliver</t>
  </si>
  <si>
    <t>Lysette Anne</t>
  </si>
  <si>
    <t>Henzy Giovan</t>
  </si>
  <si>
    <t>OC-074 Central Tawang</t>
  </si>
  <si>
    <t>0909-077-6434</t>
  </si>
  <si>
    <t>henzycastro@gmail.com</t>
  </si>
  <si>
    <t>Castro, Harold P.</t>
  </si>
  <si>
    <t>Castro, Ellen B.</t>
  </si>
  <si>
    <t>SHS Graduate</t>
  </si>
  <si>
    <t>BSU Secondary H.S.</t>
  </si>
  <si>
    <t>Badminton Club - Member</t>
  </si>
  <si>
    <t>Castro, Ellen</t>
  </si>
  <si>
    <t>Harnelle</t>
  </si>
  <si>
    <t>Harell Ethan Augh</t>
  </si>
  <si>
    <t>0945-375-1608</t>
  </si>
  <si>
    <t>castro.harell01@gmail.com</t>
  </si>
  <si>
    <t>August 2015</t>
  </si>
  <si>
    <t>Cordillera Reg. Sci. H.S.</t>
  </si>
  <si>
    <t>Deburr Operator MOOG</t>
  </si>
  <si>
    <t>Music, Bible Quizzing</t>
  </si>
  <si>
    <t>Volleyball, Basketball, Badminton, Chess/Dama, Golf</t>
  </si>
  <si>
    <t>Painting, Driving</t>
  </si>
  <si>
    <t>Cayat</t>
  </si>
  <si>
    <t>Shadrac</t>
  </si>
  <si>
    <t>Copes</t>
  </si>
  <si>
    <t>Vonlouie</t>
  </si>
  <si>
    <t>145 Purok 2 Dontogan</t>
  </si>
  <si>
    <t>Abatan, Buguias</t>
  </si>
  <si>
    <t>0956-992-2055</t>
  </si>
  <si>
    <t>vonlouiecopes@gmial.com</t>
  </si>
  <si>
    <t>Copes, Romeo Esteban</t>
  </si>
  <si>
    <t>Copes, K. Esteban</t>
  </si>
  <si>
    <t>SLU Senior High School BEDS</t>
  </si>
  <si>
    <t>Choir; Music</t>
  </si>
  <si>
    <t>Teaching; Singing; Playing Musical Instruments; Literary Composition; Arts &amp; Deco</t>
  </si>
  <si>
    <t>Volleyball; Badminton; Basketball; Chess/Dama; Swimming</t>
  </si>
  <si>
    <t>Painting; Cooking</t>
  </si>
  <si>
    <t>0956-992-1099</t>
  </si>
  <si>
    <t xml:space="preserve">Jhed </t>
  </si>
  <si>
    <t>Jhake Rhey</t>
  </si>
  <si>
    <t>Krisha Camille</t>
  </si>
  <si>
    <t>Blk 3 123</t>
  </si>
  <si>
    <t>0962-250-9056</t>
  </si>
  <si>
    <t>krishacamillecruz05@gmail.com</t>
  </si>
  <si>
    <t>Cruz, Marlon O.</t>
  </si>
  <si>
    <t>Crus, Kristine D.</t>
  </si>
  <si>
    <t>2nd Year College - Current</t>
  </si>
  <si>
    <t>ESL Teacher - Pineapple Talk</t>
  </si>
  <si>
    <t>Childrens Ministry</t>
  </si>
  <si>
    <t>Cruz, Kristine D.</t>
  </si>
  <si>
    <t>Cedrick Aron</t>
  </si>
  <si>
    <t>0995-491-6874</t>
  </si>
  <si>
    <t>cedrickcruz758@gmail.com</t>
  </si>
  <si>
    <t>12-26-19</t>
  </si>
  <si>
    <t>Senior High - Current</t>
  </si>
  <si>
    <t>Baguio City High School</t>
  </si>
  <si>
    <t>Photography, Digital Creatives</t>
  </si>
  <si>
    <t>Trisha Joyce</t>
  </si>
  <si>
    <t>Blk 9 16</t>
  </si>
  <si>
    <t>0966-917-7140</t>
  </si>
  <si>
    <t>tisadacanay29@gmail.com</t>
  </si>
  <si>
    <t>Dacanay, Lanie</t>
  </si>
  <si>
    <t>4th year College</t>
  </si>
  <si>
    <t>Arianah Venisse</t>
  </si>
  <si>
    <t>0927-211-1783</t>
  </si>
  <si>
    <t>arianahdacanay05@gmail.com</t>
  </si>
  <si>
    <t>Gymnastics</t>
  </si>
  <si>
    <t>Lindsay</t>
  </si>
  <si>
    <t>Sherman AJ</t>
  </si>
  <si>
    <t>0985-200-1318</t>
  </si>
  <si>
    <t>shermanaj2008@gmail.com</t>
  </si>
  <si>
    <t>Daiwey, Joel T.</t>
  </si>
  <si>
    <t>Daiwey, Aida C.</t>
  </si>
  <si>
    <t>February 2022</t>
  </si>
  <si>
    <t>High School - Current</t>
  </si>
  <si>
    <t>BCNScienceHS</t>
  </si>
  <si>
    <t>Youth Environment &amp; Sustainability Org.</t>
  </si>
  <si>
    <t>Teaching, Singing, Playing Musical Instruments, Arts &amp; Deco, Photography</t>
  </si>
  <si>
    <t xml:space="preserve">Daiwey, Aida </t>
  </si>
  <si>
    <t>0919-563-6945</t>
  </si>
  <si>
    <t>Havilah Leigh</t>
  </si>
  <si>
    <t>0938-611-7400</t>
  </si>
  <si>
    <t>havileigh.daiwey@gmail.com</t>
  </si>
  <si>
    <t>BSN</t>
  </si>
  <si>
    <t>Sunday School</t>
  </si>
  <si>
    <t>Daliyong</t>
  </si>
  <si>
    <t>Marvie</t>
  </si>
  <si>
    <t>Purok 11</t>
  </si>
  <si>
    <t>Bulanao Tabuk City Kalinga</t>
  </si>
  <si>
    <t>0953-699-5863</t>
  </si>
  <si>
    <t>daliyongmarvie27fd@gmail.com</t>
  </si>
  <si>
    <t>Tabuk City, Kalinga</t>
  </si>
  <si>
    <t>Daliyong, Edwin</t>
  </si>
  <si>
    <t>Daliyong, Lucina</t>
  </si>
  <si>
    <t>Sunrise Tabuk Church</t>
  </si>
  <si>
    <t>Rev. Ronald Allan Lubrin</t>
  </si>
  <si>
    <t>Daliyong, Lucina C.</t>
  </si>
  <si>
    <t>Purok 6 Hilltop Bulanao, Tabuk City, Kalinga</t>
  </si>
  <si>
    <t>0965-311-9260</t>
  </si>
  <si>
    <t>Joshua Thans</t>
  </si>
  <si>
    <t>Hiede Cattleyah</t>
  </si>
  <si>
    <t>Blk 1 Lot 46</t>
  </si>
  <si>
    <t>hiedecattleyahdangla@gmail.com</t>
  </si>
  <si>
    <t>Camp 1 Kennon, Tuba</t>
  </si>
  <si>
    <t>Phil. Institute of Civil Eng. - Member</t>
  </si>
  <si>
    <t>S.A. - U.C.</t>
  </si>
  <si>
    <t>Media, Childrens Ministry</t>
  </si>
  <si>
    <t>Kleinny May</t>
  </si>
  <si>
    <t>0963-9516424</t>
  </si>
  <si>
    <t>kleinnydaskeo@gmail.com</t>
  </si>
  <si>
    <t>Daskeo, Klient Patrick F.</t>
  </si>
  <si>
    <t>Daskeo, May G.</t>
  </si>
  <si>
    <t>2022</t>
  </si>
  <si>
    <t>Elementary - Current</t>
  </si>
  <si>
    <t>Pinsao Elementary School</t>
  </si>
  <si>
    <t>Khyzer Clark</t>
  </si>
  <si>
    <t>De Ausen</t>
  </si>
  <si>
    <t>Claude</t>
  </si>
  <si>
    <t>Sandy</t>
  </si>
  <si>
    <t>Grant</t>
  </si>
  <si>
    <t>Faith</t>
  </si>
  <si>
    <t>Dela Cruz</t>
  </si>
  <si>
    <t>Dani</t>
  </si>
  <si>
    <t>Jessamin</t>
  </si>
  <si>
    <t>Khaizer</t>
  </si>
  <si>
    <t>Dimasangca</t>
  </si>
  <si>
    <t>Fajad</t>
  </si>
  <si>
    <t>Abraham</t>
  </si>
  <si>
    <t>Purok 5</t>
  </si>
  <si>
    <t>Sto. Rosario Valley</t>
  </si>
  <si>
    <t>Sagapa Central Tadian Mt Province</t>
  </si>
  <si>
    <t>0906-203-4964</t>
  </si>
  <si>
    <t>sevenfour18@gmail.com</t>
  </si>
  <si>
    <t>Doligas, Basilio S.</t>
  </si>
  <si>
    <t>Doligas, Yolanda G.</t>
  </si>
  <si>
    <t>Faculty - U.C.</t>
  </si>
  <si>
    <t>Doligas, Prince G.</t>
  </si>
  <si>
    <t>Balili, La Trinidad</t>
  </si>
  <si>
    <t>0947-736-2629</t>
  </si>
  <si>
    <t>Kemuel</t>
  </si>
  <si>
    <t>Poblacion Tadian Mt. Province</t>
  </si>
  <si>
    <t>0967-021-9292</t>
  </si>
  <si>
    <t>kemueldoligas@gmail.com</t>
  </si>
  <si>
    <t>Lepanto</t>
  </si>
  <si>
    <t>UPC Lepanto</t>
  </si>
  <si>
    <t>Ptr. Joel Morales</t>
  </si>
  <si>
    <t xml:space="preserve">Currently enrolled - College </t>
  </si>
  <si>
    <t>ROTC</t>
  </si>
  <si>
    <t>Lyza Mae</t>
  </si>
  <si>
    <t>Lovely</t>
  </si>
  <si>
    <t>Dumaniel</t>
  </si>
  <si>
    <t>Nilda</t>
  </si>
  <si>
    <t>Capiz, Roxas City</t>
  </si>
  <si>
    <t>0961-664-9886</t>
  </si>
  <si>
    <t>nilda.19dumaniel@gmail.com</t>
  </si>
  <si>
    <t>Dumaniel, Joseph</t>
  </si>
  <si>
    <t>Dumaniel, Nida</t>
  </si>
  <si>
    <t>The Good News Church</t>
  </si>
  <si>
    <t>Ptr. Joseph Vargas</t>
  </si>
  <si>
    <t>Feliciano</t>
  </si>
  <si>
    <t>Gideon</t>
  </si>
  <si>
    <t>23 Purok 8</t>
  </si>
  <si>
    <t>0910-410-5978</t>
  </si>
  <si>
    <t>feliciano.gidoen1012@gmail.com</t>
  </si>
  <si>
    <t>BSED Math, MAED Math</t>
  </si>
  <si>
    <t>Medical Records Clerk - SLU SHMC</t>
  </si>
  <si>
    <t>Volleyball, Basketball, Badminton, Chess/Dama</t>
  </si>
  <si>
    <t>Geraldine</t>
  </si>
  <si>
    <t>23 J. Smith Drive</t>
  </si>
  <si>
    <t>Lomon Kapangan, Benguet</t>
  </si>
  <si>
    <t>0939-258-3813</t>
  </si>
  <si>
    <t>greendail31@gmail.com</t>
  </si>
  <si>
    <t>Feliciano, Inciong</t>
  </si>
  <si>
    <t>Pagnas, Felisa</t>
  </si>
  <si>
    <t>May 2013</t>
  </si>
  <si>
    <t>Admin - Leadergraphics</t>
  </si>
  <si>
    <t>Saingan, Genevieve</t>
  </si>
  <si>
    <t>Tadiangan Tuba, benguet</t>
  </si>
  <si>
    <t>0938-808-0581</t>
  </si>
  <si>
    <t>Naphtali</t>
  </si>
  <si>
    <t>Yael</t>
  </si>
  <si>
    <t>B2 Lower</t>
  </si>
  <si>
    <t>Felipe, Bernard</t>
  </si>
  <si>
    <t>Felipe, Vilma</t>
  </si>
  <si>
    <t>Calvary Tabernacle Baguio</t>
  </si>
  <si>
    <t>Ptr. Eugene Banez</t>
  </si>
  <si>
    <t>Baguio Shiloam Christian Academy</t>
  </si>
  <si>
    <t>Guitar</t>
  </si>
  <si>
    <t>Football</t>
  </si>
  <si>
    <t>Ferreras</t>
  </si>
  <si>
    <t>Raymond</t>
  </si>
  <si>
    <t>Linelle</t>
  </si>
  <si>
    <t>0991-365-7312</t>
  </si>
  <si>
    <t>linellegarciakm12@gmail.com</t>
  </si>
  <si>
    <t>Garcia, Manuel G.</t>
  </si>
  <si>
    <t>Garcia, Carlita B.</t>
  </si>
  <si>
    <t>Senior High School - Graduating</t>
  </si>
  <si>
    <t>B.S.U.</t>
  </si>
  <si>
    <t>Music, Childrens Ministries</t>
  </si>
  <si>
    <t>Teaching, Photography, Communication</t>
  </si>
  <si>
    <t>Volleyball, Badminton, Softball</t>
  </si>
  <si>
    <t>Aunt</t>
  </si>
  <si>
    <t>Lemuel</t>
  </si>
  <si>
    <t>Ivan</t>
  </si>
  <si>
    <t>Cleo Jean</t>
  </si>
  <si>
    <t>Belle</t>
  </si>
  <si>
    <t>Alvin Noel</t>
  </si>
  <si>
    <t>16 Adarna St</t>
  </si>
  <si>
    <t>Dizon Subdivision</t>
  </si>
  <si>
    <t>0946-624-4690</t>
  </si>
  <si>
    <t>gayados.alvinnoel@gmail.com</t>
  </si>
  <si>
    <t>Mt. Province</t>
  </si>
  <si>
    <t>Gayados, Alberto T.</t>
  </si>
  <si>
    <t>Gayados, Noli Del-o</t>
  </si>
  <si>
    <t>Instructor - SLU</t>
  </si>
  <si>
    <t>Sunday School, Media</t>
  </si>
  <si>
    <t>Gayados, Noli D.</t>
  </si>
  <si>
    <t>0910-832-1473</t>
  </si>
  <si>
    <t>Htwe</t>
  </si>
  <si>
    <t>Aiko</t>
  </si>
  <si>
    <t>Hughes</t>
  </si>
  <si>
    <t>Ryan</t>
  </si>
  <si>
    <t>100 Montebello Village</t>
  </si>
  <si>
    <t>Bakakeng Sur</t>
  </si>
  <si>
    <t>0927-150-9853</t>
  </si>
  <si>
    <t>hughesryan4213@gmail.com</t>
  </si>
  <si>
    <t>Honolulu, Hawaii</t>
  </si>
  <si>
    <t>Hughes, Philip T.</t>
  </si>
  <si>
    <t>Hughes, Rosalinda S.</t>
  </si>
  <si>
    <t>04-27-17</t>
  </si>
  <si>
    <t>The Sanctuary Narvacan</t>
  </si>
  <si>
    <t>Ptr. Norbert Prado</t>
  </si>
  <si>
    <t>Undergraduate Degree</t>
  </si>
  <si>
    <t>Marketing Mixers</t>
  </si>
  <si>
    <t>Ibal</t>
  </si>
  <si>
    <t>Lea</t>
  </si>
  <si>
    <t>Music, Children's Ministry, Sunday School</t>
  </si>
  <si>
    <t>Basketball, Scrabble</t>
  </si>
  <si>
    <t>Vieo Editing and Captionist</t>
  </si>
  <si>
    <t>Apatot San Esteban, Ilocos Sur</t>
  </si>
  <si>
    <t>0916-564-0505</t>
  </si>
  <si>
    <t>Kiddagan</t>
  </si>
  <si>
    <t>Ezekiel</t>
  </si>
  <si>
    <t>Saddle Ampucao Itogon Benguet</t>
  </si>
  <si>
    <t>0916-555-5840</t>
  </si>
  <si>
    <t>kiddezle@gmail.com</t>
  </si>
  <si>
    <t>Ampucao Itogon, Benguet</t>
  </si>
  <si>
    <t>Kiddagan, Jimmy A.</t>
  </si>
  <si>
    <t>Kiddagan, Francisca T.</t>
  </si>
  <si>
    <t>Automotive NCII</t>
  </si>
  <si>
    <t>BSBT College</t>
  </si>
  <si>
    <t>Apprentice - Tomay, L.T.</t>
  </si>
  <si>
    <t>Mason</t>
  </si>
  <si>
    <t>Kiddagan, Melanie</t>
  </si>
  <si>
    <t>Saddle, Ampucao</t>
  </si>
  <si>
    <t>0950-303-6013</t>
  </si>
  <si>
    <t>Kodiamat</t>
  </si>
  <si>
    <t>Chloe</t>
  </si>
  <si>
    <t>Tristan Jade</t>
  </si>
  <si>
    <t>Zian Yash</t>
  </si>
  <si>
    <t>Antamok, Loakan</t>
  </si>
  <si>
    <t>Antamok, Loakan, Itogon, Benguet</t>
  </si>
  <si>
    <t>0916-796-8743</t>
  </si>
  <si>
    <t>benguet</t>
  </si>
  <si>
    <t>Langgoy, Marvin B.</t>
  </si>
  <si>
    <t>Langgoy, Ranelda B.</t>
  </si>
  <si>
    <t>Grade 9</t>
  </si>
  <si>
    <t>AMPNMHS</t>
  </si>
  <si>
    <t>Angie</t>
  </si>
  <si>
    <t>Lee</t>
  </si>
  <si>
    <t>Krhystel Anne</t>
  </si>
  <si>
    <t>Juneafel Kate</t>
  </si>
  <si>
    <t>027 Purok 5</t>
  </si>
  <si>
    <t>0985-839-2231</t>
  </si>
  <si>
    <t>lipaenjuneafelkate24@gmail.com</t>
  </si>
  <si>
    <t>Lipaen, Jacinto D.</t>
  </si>
  <si>
    <t>Cutay, Cristina Gawec</t>
  </si>
  <si>
    <t>Childrens Ministry, Youth Media</t>
  </si>
  <si>
    <t>Lipaen, Cristina</t>
  </si>
  <si>
    <t>0939-928-4058</t>
  </si>
  <si>
    <t>Janine</t>
  </si>
  <si>
    <t>Aubrine Grace</t>
  </si>
  <si>
    <t>0946-056-2518</t>
  </si>
  <si>
    <t>aubrineg@gmail.com</t>
  </si>
  <si>
    <t>SPED Teacher - Northridge Academy</t>
  </si>
  <si>
    <t>Since 2012</t>
  </si>
  <si>
    <t>Since 2013</t>
  </si>
  <si>
    <t>Liwes</t>
  </si>
  <si>
    <t>Mary Jane</t>
  </si>
  <si>
    <t>Macayya</t>
  </si>
  <si>
    <t>Tom Jeff</t>
  </si>
  <si>
    <t>John Andrew</t>
  </si>
  <si>
    <t>Jacob Emmanuel</t>
  </si>
  <si>
    <t>0993-025-3926</t>
  </si>
  <si>
    <t>magojc315@gmail.com</t>
  </si>
  <si>
    <t>Mago, Genno P.</t>
  </si>
  <si>
    <t>Mago, Gina C.</t>
  </si>
  <si>
    <t>J.C. - To God be The Glory Int.</t>
  </si>
  <si>
    <t>SLU - SEA</t>
  </si>
  <si>
    <t>0917-797-4292</t>
  </si>
  <si>
    <t>Frederick</t>
  </si>
  <si>
    <t>Maguddayao</t>
  </si>
  <si>
    <t>Katrina</t>
  </si>
  <si>
    <t>Tuguegarao City Cagayan</t>
  </si>
  <si>
    <t>0966-644-5437</t>
  </si>
  <si>
    <t>maguddayaokatrina@gmail.com</t>
  </si>
  <si>
    <t>Cabagan, Isabella</t>
  </si>
  <si>
    <t>Maguddayao, Johnny</t>
  </si>
  <si>
    <t>Maguddayao, Maribel</t>
  </si>
  <si>
    <t>tuguegarao Evangelistic &amp; Apostolic Ministries (TEAM)</t>
  </si>
  <si>
    <t>Cagayan State University - Andrews Campus</t>
  </si>
  <si>
    <t>Branch Admin - Ancar Motors</t>
  </si>
  <si>
    <t>Maguddayao, Keith Andrea</t>
  </si>
  <si>
    <t>Libag Norte, Tuguegarao City, Cagayan</t>
  </si>
  <si>
    <t>Hezekiah</t>
  </si>
  <si>
    <t>Danielle</t>
  </si>
  <si>
    <t>Manadao</t>
  </si>
  <si>
    <t>Trent Jordan</t>
  </si>
  <si>
    <t>Florendo Village Bulanao Tabuk City Kalinga</t>
  </si>
  <si>
    <t>0907-165-9108</t>
  </si>
  <si>
    <t>trentjordan2503@gmail.com</t>
  </si>
  <si>
    <t>Manadao, Eusebio B.</t>
  </si>
  <si>
    <t>Manadao, Carolina L.</t>
  </si>
  <si>
    <t>Rev. Ronald Allan D. Lubrin</t>
  </si>
  <si>
    <t>Singing, Literary Composition, Arts &amp; Deco, Photography</t>
  </si>
  <si>
    <t>Manadao, Jeremiah Josh L.</t>
  </si>
  <si>
    <t>55 Cabinet Hill, B. C.</t>
  </si>
  <si>
    <t>0926-632-3178</t>
  </si>
  <si>
    <t>Jeremiah Josh</t>
  </si>
  <si>
    <t>heremiashose07@gmail.com</t>
  </si>
  <si>
    <t>Bulanao tabuk City, Kalinga</t>
  </si>
  <si>
    <t>0955-811-3721</t>
  </si>
  <si>
    <t>Kurt</t>
  </si>
  <si>
    <t>Demerie Joy</t>
  </si>
  <si>
    <t>I</t>
  </si>
  <si>
    <t>35 Gumamela Alley Purok 8</t>
  </si>
  <si>
    <t>Upper Asin Road</t>
  </si>
  <si>
    <t>djoymatias7@gmail.com</t>
  </si>
  <si>
    <t>Matia, Demetrio A.</t>
  </si>
  <si>
    <t>Matias, Remedios I.</t>
  </si>
  <si>
    <t>12-30-90</t>
  </si>
  <si>
    <t>Mejia</t>
  </si>
  <si>
    <t>Markgil</t>
  </si>
  <si>
    <t>Mendoza</t>
  </si>
  <si>
    <t>Geralyn</t>
  </si>
  <si>
    <t>0912-683-6851</t>
  </si>
  <si>
    <t>La Union</t>
  </si>
  <si>
    <t>Minog, Joven Jr. A.</t>
  </si>
  <si>
    <t>Minog, Lucena O.</t>
  </si>
  <si>
    <t>Minog, Lucena</t>
  </si>
  <si>
    <t>Ruth</t>
  </si>
  <si>
    <t>0920-610-8989</t>
  </si>
  <si>
    <t>yrrccn@gmail.com</t>
  </si>
  <si>
    <t>Orowan, Ben</t>
  </si>
  <si>
    <t>Orowan, Marlen Misa</t>
  </si>
  <si>
    <t>Grade 12</t>
  </si>
  <si>
    <t>Journalism - Editor</t>
  </si>
  <si>
    <t>Media</t>
  </si>
  <si>
    <t>Teaching, Literary Composition, Photography, Videography &amp; Editing</t>
  </si>
  <si>
    <t>Althea Faith</t>
  </si>
  <si>
    <t>Purok 2</t>
  </si>
  <si>
    <t>0961-721-8884</t>
  </si>
  <si>
    <t>misaf757@gmail.com</t>
  </si>
  <si>
    <t>Misa, Marcelo N.</t>
  </si>
  <si>
    <t>Misa, Elena C.</t>
  </si>
  <si>
    <t>Sunday School, Literature writing</t>
  </si>
  <si>
    <t>Badminton, Dama</t>
  </si>
  <si>
    <t>Misa, Marlen C.</t>
  </si>
  <si>
    <t>Woodsgate Subdivision, Camp 7, baguio City</t>
  </si>
  <si>
    <t>Morales</t>
  </si>
  <si>
    <t>Cloe Aloi</t>
  </si>
  <si>
    <t>Clea Reins</t>
  </si>
  <si>
    <t>Dominican Hill</t>
  </si>
  <si>
    <t>0967-38/4-8286</t>
  </si>
  <si>
    <t>Morales, Ricardo</t>
  </si>
  <si>
    <t>Morales, Rosemarie</t>
  </si>
  <si>
    <t>2015</t>
  </si>
  <si>
    <t>5 +</t>
  </si>
  <si>
    <t>0966-081-2842</t>
  </si>
  <si>
    <t>Jairus</t>
  </si>
  <si>
    <t>N</t>
  </si>
  <si>
    <t>Morales, Joel</t>
  </si>
  <si>
    <t>Morales, Vilma</t>
  </si>
  <si>
    <t>Playing Musical Instruments, Photography</t>
  </si>
  <si>
    <t>Volleyball, Basketball, Badminton</t>
  </si>
  <si>
    <t>Morales, Joevie</t>
  </si>
  <si>
    <t>Sherwin</t>
  </si>
  <si>
    <t>LB 149-A</t>
  </si>
  <si>
    <t>0995-012-5743</t>
  </si>
  <si>
    <t>ruthnaimes2@gmail.com</t>
  </si>
  <si>
    <t>2012</t>
  </si>
  <si>
    <t>Geno Rey</t>
  </si>
  <si>
    <t>Ngaosi</t>
  </si>
  <si>
    <t>Chenkie</t>
  </si>
  <si>
    <t>Nollan</t>
  </si>
  <si>
    <t>Liecie May</t>
  </si>
  <si>
    <t>Puerto princesa, Palawan</t>
  </si>
  <si>
    <t>0975-679-0546</t>
  </si>
  <si>
    <t>nolllanlieciemay@gmail.com</t>
  </si>
  <si>
    <t>Palawam</t>
  </si>
  <si>
    <t>Nollan, Manuel B.</t>
  </si>
  <si>
    <t>Nollan, Ma. Riza D.</t>
  </si>
  <si>
    <t>Social Health Insurance Staff (POCC - SLU Cancer Center)</t>
  </si>
  <si>
    <t>Ben</t>
  </si>
  <si>
    <t>Kurt Rhanz Gabryl</t>
  </si>
  <si>
    <t>54 A Dapiting</t>
  </si>
  <si>
    <t>San Jose School of La Trinidad</t>
  </si>
  <si>
    <t>Class Officer</t>
  </si>
  <si>
    <t>Padupad</t>
  </si>
  <si>
    <t>Sharon</t>
  </si>
  <si>
    <t>Leony</t>
  </si>
  <si>
    <t>Patchang</t>
  </si>
  <si>
    <t>Kyla</t>
  </si>
  <si>
    <t>Lower West Monticello</t>
  </si>
  <si>
    <t>Lepanto Paco Mankayan Benguet</t>
  </si>
  <si>
    <t>0945-694-6840</t>
  </si>
  <si>
    <t>patchangkyla8@gmail.com</t>
  </si>
  <si>
    <t>Patchang, Arvin</t>
  </si>
  <si>
    <t>Patchang, Bernadette</t>
  </si>
  <si>
    <t>Senior High School Graduate</t>
  </si>
  <si>
    <t>Data Center College of the Philippines</t>
  </si>
  <si>
    <t>Patchang, bernadette</t>
  </si>
  <si>
    <t>Lepanto, Benguet</t>
  </si>
  <si>
    <t>0927-265-4014</t>
  </si>
  <si>
    <t>Jimuel John</t>
  </si>
  <si>
    <t>1 Lamtang</t>
  </si>
  <si>
    <t>Lamtang, La Trinidad</t>
  </si>
  <si>
    <t>0927-961-5680</t>
  </si>
  <si>
    <t>jjpayan08@gmail.com</t>
  </si>
  <si>
    <t>Pay-an, Joel I.</t>
  </si>
  <si>
    <t>Pay-an, Elizabeth C.</t>
  </si>
  <si>
    <t>Senior High School</t>
  </si>
  <si>
    <t>Irisan NHS</t>
  </si>
  <si>
    <t>Comm Arts Club PIO; Journalism Writer</t>
  </si>
  <si>
    <t xml:space="preserve">Media </t>
  </si>
  <si>
    <t>Pino</t>
  </si>
  <si>
    <t>Shieba</t>
  </si>
  <si>
    <t>Purok 2 Bayugan 3 Rosario Agusan Del Sur</t>
  </si>
  <si>
    <t>0951-030-6073</t>
  </si>
  <si>
    <t>imshieba@gmail.com</t>
  </si>
  <si>
    <t>Agusan Del Sur</t>
  </si>
  <si>
    <t>Pino, Peter L.</t>
  </si>
  <si>
    <t>Pino, Alen C.</t>
  </si>
  <si>
    <t>Bayugan 3 Rosario, Agusan Del Sur</t>
  </si>
  <si>
    <t>Rev. Peter L. Pino</t>
  </si>
  <si>
    <t>SWO II / DSWD - Bokawkan, B. C.</t>
  </si>
  <si>
    <t>Childrens Ministry, Ushering, Bible Quizzing, Campus Ministry, Music, Bible Teacher</t>
  </si>
  <si>
    <t>Music, Evangelism</t>
  </si>
  <si>
    <t>Teaching, Singing, Literary Composition, Photography, Writing Poems</t>
  </si>
  <si>
    <t>Many times</t>
  </si>
  <si>
    <t>0963-969-6145</t>
  </si>
  <si>
    <t>Ramon Christopher</t>
  </si>
  <si>
    <t>266 Lower Cypress</t>
  </si>
  <si>
    <t>0951-328-8334</t>
  </si>
  <si>
    <t>rcprado111@gmail.com</t>
  </si>
  <si>
    <t>Prado, Ramon E.</t>
  </si>
  <si>
    <t>Prado, Phebe G.</t>
  </si>
  <si>
    <t>Photo Editing, Graphic Designs</t>
  </si>
  <si>
    <t>0963-246-6485</t>
  </si>
  <si>
    <t>2nd Year College</t>
  </si>
  <si>
    <t>B.C.U.</t>
  </si>
  <si>
    <t xml:space="preserve">Supervisor - Camp John Hay </t>
  </si>
  <si>
    <t>Music, ushering</t>
  </si>
  <si>
    <t>Emmanuel</t>
  </si>
  <si>
    <t>0997-227-5486</t>
  </si>
  <si>
    <t>emmanprado02@gmail.com</t>
  </si>
  <si>
    <t>Mr. Dental Supply - All Around Staff</t>
  </si>
  <si>
    <t>Painting, Barber</t>
  </si>
  <si>
    <t>Alexis</t>
  </si>
  <si>
    <t>G.</t>
  </si>
  <si>
    <t>Lower Cypress</t>
  </si>
  <si>
    <t>pradoalexis998@gmail.com</t>
  </si>
  <si>
    <t>Jan Iver</t>
  </si>
  <si>
    <t>0962-264-0112</t>
  </si>
  <si>
    <t>College - Current</t>
  </si>
  <si>
    <t>Gwyneth Janielle</t>
  </si>
  <si>
    <t>Ambiong Riverside L.T.</t>
  </si>
  <si>
    <t>quevedogwyneth03@gmail.com</t>
  </si>
  <si>
    <t>Bragas, Mervin B.</t>
  </si>
  <si>
    <t>Quevedo, Gemyma R.</t>
  </si>
  <si>
    <t>Grade 11</t>
  </si>
  <si>
    <t>STI College</t>
  </si>
  <si>
    <t>Mira Grace</t>
  </si>
  <si>
    <t>0912-400-9483</t>
  </si>
  <si>
    <t>miraquintero@gmail.com</t>
  </si>
  <si>
    <t>Edison B. Quintero Sr.</t>
  </si>
  <si>
    <t>Alicia T. Quintero</t>
  </si>
  <si>
    <t>November 2022</t>
  </si>
  <si>
    <t>Sto. Tomas NHS</t>
  </si>
  <si>
    <t>Quintero, Alicia T.</t>
  </si>
  <si>
    <t>0912-249-7331</t>
  </si>
  <si>
    <t>Edison Jr</t>
  </si>
  <si>
    <t>Rafael</t>
  </si>
  <si>
    <t>Yamiela Andrei</t>
  </si>
  <si>
    <t>FC323 2nd Road</t>
  </si>
  <si>
    <t>yamielakhaleen@gmail.com</t>
  </si>
  <si>
    <t>Rafael, Ray Antoni V.</t>
  </si>
  <si>
    <t>Boteng, Angeline D.</t>
  </si>
  <si>
    <t>Kings College of the Phils</t>
  </si>
  <si>
    <t>Jasem</t>
  </si>
  <si>
    <t>James</t>
  </si>
  <si>
    <t>Ragunton</t>
  </si>
  <si>
    <t>Jemimah</t>
  </si>
  <si>
    <t>37-B Maxicar Village, Sufo Kessil St.</t>
  </si>
  <si>
    <t>0945-732-7739</t>
  </si>
  <si>
    <t>mimahragunton@gmail.com</t>
  </si>
  <si>
    <t>Turod, Narvacan, Ilocos Sur</t>
  </si>
  <si>
    <t>Ragunton, Faustino Jr.</t>
  </si>
  <si>
    <t>Ragunton, Gina</t>
  </si>
  <si>
    <t>Narvacan Church</t>
  </si>
  <si>
    <t>ISPSC</t>
  </si>
  <si>
    <t>CSR - Foundever Baguio</t>
  </si>
  <si>
    <t>Sunday School, Ushering, Back Up Singer</t>
  </si>
  <si>
    <t>Since 2011</t>
  </si>
  <si>
    <t>0935-645-7863</t>
  </si>
  <si>
    <t>Rato</t>
  </si>
  <si>
    <t>Regine</t>
  </si>
  <si>
    <t>Regoso</t>
  </si>
  <si>
    <t>Eriberto</t>
  </si>
  <si>
    <t>0939-915-4272</t>
  </si>
  <si>
    <t>otrebiregoso07@gmail.com</t>
  </si>
  <si>
    <t>Regoso, Eriberto D. Sr.</t>
  </si>
  <si>
    <t>Regoso, Marcelina</t>
  </si>
  <si>
    <t>Assembly Tech - MOOG</t>
  </si>
  <si>
    <t>Music, BQM, Media</t>
  </si>
  <si>
    <t>Sacla</t>
  </si>
  <si>
    <t>Kzy</t>
  </si>
  <si>
    <t>Salicob</t>
  </si>
  <si>
    <t>Jasmine</t>
  </si>
  <si>
    <t>Liquette</t>
  </si>
  <si>
    <t>Solis</t>
  </si>
  <si>
    <t>Jonabel Ann</t>
  </si>
  <si>
    <t>0915-021-7862</t>
  </si>
  <si>
    <t>a.jsolis37@gmail.com</t>
  </si>
  <si>
    <t>Solis, Benjamin U.</t>
  </si>
  <si>
    <t>Solis, Dyna A.</t>
  </si>
  <si>
    <t>Accounts Payable Officer - Clear Admin People (TOTC Aus)</t>
  </si>
  <si>
    <t>Childrens Ministry, Discipleship, Media, Youth Treasurer</t>
  </si>
  <si>
    <t>Volleyball, Chess/Dama, Bowling</t>
  </si>
  <si>
    <t>10 +</t>
  </si>
  <si>
    <t>0966-260-6942</t>
  </si>
  <si>
    <t>Jenessa Faith</t>
  </si>
  <si>
    <t>0927-164-2855</t>
  </si>
  <si>
    <t>esangandrada@gmail.com</t>
  </si>
  <si>
    <t>Ptr. Benjamin Solis</t>
  </si>
  <si>
    <t>BSU - Masters</t>
  </si>
  <si>
    <t>Colleger Instructor - UB</t>
  </si>
  <si>
    <t>Teachng, Singing</t>
  </si>
  <si>
    <t>7 +</t>
  </si>
  <si>
    <t>Soposop</t>
  </si>
  <si>
    <t>April Joy</t>
  </si>
  <si>
    <t>0951-245-2437</t>
  </si>
  <si>
    <t>aprilsoposop@gmail.com</t>
  </si>
  <si>
    <t>Soposop, Bingson</t>
  </si>
  <si>
    <t>Soposop, Sharon</t>
  </si>
  <si>
    <t>BSU</t>
  </si>
  <si>
    <t>Music; Sunday School; Ushering; Choir; Campus Ministry</t>
  </si>
  <si>
    <t>Teaching; Singing; Playing Musical Instruments; Arts &amp; Deco; Photograpy</t>
  </si>
  <si>
    <t>Volleyball; Basketball; Badminton; Chess; Dama</t>
  </si>
  <si>
    <t>Painting; Cooking; Tailoring/Dressmaking</t>
  </si>
  <si>
    <t>Soposop, Frederick</t>
  </si>
  <si>
    <t>Kias, Baguio</t>
  </si>
  <si>
    <t>0967-492-5612</t>
  </si>
  <si>
    <t>Clarissa</t>
  </si>
  <si>
    <t>Chalisa Jasmine</t>
  </si>
  <si>
    <t>Mykaela</t>
  </si>
  <si>
    <t>0953-083-1577</t>
  </si>
  <si>
    <t>Talbo, Michael D.</t>
  </si>
  <si>
    <t>Talbo, Milrose H.</t>
  </si>
  <si>
    <t>BCNHS</t>
  </si>
  <si>
    <t>Singing, Playing Musical Instruments, Photography</t>
  </si>
  <si>
    <t>Aurony John</t>
  </si>
  <si>
    <t>Arabea Bless</t>
  </si>
  <si>
    <t>8 Avelino St</t>
  </si>
  <si>
    <t>0999-574-5811</t>
  </si>
  <si>
    <t>arbytaloban05@gmail.com</t>
  </si>
  <si>
    <t>Taloban, Antonio R. Jr.</t>
  </si>
  <si>
    <t>Taloban, Aurora M.</t>
  </si>
  <si>
    <t>Music, BQM, Discipleship Class Teacher</t>
  </si>
  <si>
    <t>Taloban Aurora M.</t>
  </si>
  <si>
    <t>Alechk</t>
  </si>
  <si>
    <t>348 Purok 7</t>
  </si>
  <si>
    <t>0994-733-2985</t>
  </si>
  <si>
    <t>tamoalechk@gmail.com</t>
  </si>
  <si>
    <t>Tamo, Allan Edward O.</t>
  </si>
  <si>
    <t>Temo, Kathelene T.</t>
  </si>
  <si>
    <t>December 2022</t>
  </si>
  <si>
    <t>Ushering, media Team</t>
  </si>
  <si>
    <t>Tamo, Kathelene T.</t>
  </si>
  <si>
    <t>Tangalin</t>
  </si>
  <si>
    <t>Czarina Katherine</t>
  </si>
  <si>
    <t>Lozano</t>
  </si>
  <si>
    <t>Poklis Road Paltingan</t>
  </si>
  <si>
    <t>Maria Aurora, Aurora</t>
  </si>
  <si>
    <t>0948-939-9458</t>
  </si>
  <si>
    <t>cktangalin207@gmail.com</t>
  </si>
  <si>
    <t>Cabanatuan City</t>
  </si>
  <si>
    <t>Tangalin, Rodilito D.</t>
  </si>
  <si>
    <t>Lozano, Julita F.</t>
  </si>
  <si>
    <t>P. Araullo University - Main</t>
  </si>
  <si>
    <t>HTM - Officer</t>
  </si>
  <si>
    <t>Literary Composition, Arts &amp; Deco, Photography</t>
  </si>
  <si>
    <t>Volleyball, Badminton, Game of the Generals</t>
  </si>
  <si>
    <t>Apilada, Arman Moises</t>
  </si>
  <si>
    <t>Paltingan Ambiong, La trinidad</t>
  </si>
  <si>
    <t>Boyfriend</t>
  </si>
  <si>
    <t>0939-790-2052</t>
  </si>
  <si>
    <t>Rafael Jemiah</t>
  </si>
  <si>
    <t>154 Purok Tondo</t>
  </si>
  <si>
    <t>Sto. Niño</t>
  </si>
  <si>
    <t>Sablan Benguet</t>
  </si>
  <si>
    <t>0963-389-9215</t>
  </si>
  <si>
    <t>rjtapnio23@gmail.com</t>
  </si>
  <si>
    <t>Tapnio, Leonard Raymond</t>
  </si>
  <si>
    <t>Tapnio, Jeniffer P.</t>
  </si>
  <si>
    <t>Grade 10</t>
  </si>
  <si>
    <t>Magsaysay NHS</t>
  </si>
  <si>
    <t>Tayaban</t>
  </si>
  <si>
    <t>Guiana</t>
  </si>
  <si>
    <t>Lower Magsaysay</t>
  </si>
  <si>
    <t>Buenavista Maddela Quirino</t>
  </si>
  <si>
    <t>0976-321-9760</t>
  </si>
  <si>
    <t>guianatayaban1@gmail.com</t>
  </si>
  <si>
    <t>Maddela, Quirino</t>
  </si>
  <si>
    <t>Tayaban, Mario</t>
  </si>
  <si>
    <t>Tayaban, Jacqueline</t>
  </si>
  <si>
    <t>Ptra. Jocelyn Prieto Andres</t>
  </si>
  <si>
    <t>Buenavista Maddela, Quirino</t>
  </si>
  <si>
    <t>0975-250-1875</t>
  </si>
  <si>
    <t>Terrible</t>
  </si>
  <si>
    <t>Ashley</t>
  </si>
  <si>
    <t>Tinacba</t>
  </si>
  <si>
    <t>Christopher Steve</t>
  </si>
  <si>
    <t>Hingyou Ifugao</t>
  </si>
  <si>
    <t>0915-518-6332</t>
  </si>
  <si>
    <t>tinacbaclarence@gmail.com</t>
  </si>
  <si>
    <t>Tinacba, Clarence</t>
  </si>
  <si>
    <t>Tinacba, Amelia</t>
  </si>
  <si>
    <t>December 20120</t>
  </si>
  <si>
    <t>UPC Mamolditan</t>
  </si>
  <si>
    <t>Ptr. Noemi Rodriguez</t>
  </si>
  <si>
    <t>DOH</t>
  </si>
  <si>
    <t>Tinacba, Amelia G.</t>
  </si>
  <si>
    <t>0905-187-6673</t>
  </si>
  <si>
    <t>Tindo</t>
  </si>
  <si>
    <t>Melvin Josh</t>
  </si>
  <si>
    <t>Sto. Tomas Apugan</t>
  </si>
  <si>
    <t>melvintindo21@gmail.com</t>
  </si>
  <si>
    <t>Las Piñas</t>
  </si>
  <si>
    <t>Tindo, Alvin</t>
  </si>
  <si>
    <t>UPC Queens Row Church Bacoor Cavite</t>
  </si>
  <si>
    <t>Ptr. Eliezer Dela Cruz</t>
  </si>
  <si>
    <t>Malbido, Aling Tindo</t>
  </si>
  <si>
    <t>0908-130-6417</t>
  </si>
  <si>
    <t>0960-871-6116</t>
  </si>
  <si>
    <t>marvintindo01@gmail.com</t>
  </si>
  <si>
    <t>Rodalyn</t>
  </si>
  <si>
    <t>Torres</t>
  </si>
  <si>
    <t>Kenneth</t>
  </si>
  <si>
    <t>Kathleen</t>
  </si>
  <si>
    <t>Fe</t>
  </si>
  <si>
    <t>Aira May</t>
  </si>
  <si>
    <t>0927-016-2670</t>
  </si>
  <si>
    <t>Wakit, Raul</t>
  </si>
  <si>
    <t>Wakit, Loncia</t>
  </si>
  <si>
    <t>Alejo M. Pacalso Memorial Nat'l H.S.</t>
  </si>
  <si>
    <t>Playing Musical instruments</t>
  </si>
  <si>
    <t>0938-141-1273</t>
  </si>
  <si>
    <t>Wanas</t>
  </si>
  <si>
    <t>Leah-mar</t>
  </si>
  <si>
    <t>Gracelyn</t>
  </si>
  <si>
    <t>Matt Rodjun</t>
  </si>
  <si>
    <t>0928-299-3620</t>
  </si>
  <si>
    <t>Wasian, Lory Jane</t>
  </si>
  <si>
    <t>None yet</t>
  </si>
  <si>
    <t>Jairo Tristan</t>
  </si>
  <si>
    <t>Way-yas</t>
  </si>
  <si>
    <t>Urany Marie</t>
  </si>
  <si>
    <t>28 Private Road</t>
  </si>
  <si>
    <t>Magsaysay Avenue</t>
  </si>
  <si>
    <t>Tucucan Bontoc Mt. Province</t>
  </si>
  <si>
    <t>0921-169-0186</t>
  </si>
  <si>
    <t>ynarueiram@gmail.com</t>
  </si>
  <si>
    <t>Bontoc, Mt. Province</t>
  </si>
  <si>
    <t>Way-yas, Cornelio Sr.</t>
  </si>
  <si>
    <t>Way-yas, Patrina</t>
  </si>
  <si>
    <t>December 1995</t>
  </si>
  <si>
    <t>Roman Catholic, Anglican</t>
  </si>
  <si>
    <t>College Graduate, Bible School Graduate - Glasgow Scotland UPCI</t>
  </si>
  <si>
    <t>Clinical Instructor - UC</t>
  </si>
  <si>
    <t>Prayer, Bible Study</t>
  </si>
  <si>
    <t>Same as Prov. Address</t>
  </si>
  <si>
    <t>father</t>
  </si>
  <si>
    <t>0935-141-2519</t>
  </si>
  <si>
    <t>Ephraim</t>
  </si>
  <si>
    <t>Krisha Angelica</t>
  </si>
  <si>
    <t>33 Lilac Alley</t>
  </si>
  <si>
    <t>0949-775-5269</t>
  </si>
  <si>
    <t>krishaangelica19@gmail.com</t>
  </si>
  <si>
    <t>Zapata, Rando B.</t>
  </si>
  <si>
    <t>Zapata, Florencia C.</t>
  </si>
  <si>
    <t>BS Biology Graduate</t>
  </si>
  <si>
    <t>U.P. Baguio / Post Graduate - SLU School of Medicine</t>
  </si>
  <si>
    <t>John Ezekiel</t>
  </si>
  <si>
    <t>CHILDREN'S MINISTRY</t>
  </si>
  <si>
    <t>Grade level</t>
  </si>
  <si>
    <t>Health Information</t>
  </si>
  <si>
    <t>Allergies</t>
  </si>
  <si>
    <t>Medical Conditions</t>
  </si>
  <si>
    <t>Ministries you like to be involved in</t>
  </si>
  <si>
    <t>Interests and Hobbies</t>
  </si>
  <si>
    <t>Favorite Activities</t>
  </si>
  <si>
    <t>Favorite Sports</t>
  </si>
  <si>
    <t>Special Skills or Talents</t>
  </si>
  <si>
    <t>Aguinaldo</t>
  </si>
  <si>
    <t>Raiven Ezekel</t>
  </si>
  <si>
    <t>354 Purok 1</t>
  </si>
  <si>
    <t>0991-365-5743</t>
  </si>
  <si>
    <t>Aguinaldo, John Philip</t>
  </si>
  <si>
    <t>Larida, Ma. Concepcion</t>
  </si>
  <si>
    <t>Mabini Elementary School</t>
  </si>
  <si>
    <t>Drawing, Singing</t>
  </si>
  <si>
    <t>Swimming</t>
  </si>
  <si>
    <t>Singing, Dancing, Eating</t>
  </si>
  <si>
    <t>Larida, Maria</t>
  </si>
  <si>
    <t>354 Purok 1, Pinsao Pilot Project</t>
  </si>
  <si>
    <t>0950-525-5114</t>
  </si>
  <si>
    <t>Raveena Scarlet</t>
  </si>
  <si>
    <t>Grade 1</t>
  </si>
  <si>
    <t>Amistad, Joseph Sinesin H.</t>
  </si>
  <si>
    <t>Grade 6</t>
  </si>
  <si>
    <t>Quirino Elementary School</t>
  </si>
  <si>
    <t>Reading</t>
  </si>
  <si>
    <t>Badminton, Table Tennis</t>
  </si>
  <si>
    <t>7 Purok 1, Irisan, Baguio City</t>
  </si>
  <si>
    <t>Lucas</t>
  </si>
  <si>
    <t>Reviel Arcai</t>
  </si>
  <si>
    <t>8 De Jesus St</t>
  </si>
  <si>
    <t>0236 Silangan St. Bayog Los Banos, Laguna</t>
  </si>
  <si>
    <t>Laguna</t>
  </si>
  <si>
    <t>Aragon, Marc Andrew Rai</t>
  </si>
  <si>
    <t>Doña Aurora Elementary School</t>
  </si>
  <si>
    <t>Music Ministry, Bible Quizzing</t>
  </si>
  <si>
    <t>Watching</t>
  </si>
  <si>
    <t>Soccer</t>
  </si>
  <si>
    <t>8 De Jesus St Aurora Hill</t>
  </si>
  <si>
    <t>Vienna Brylle</t>
  </si>
  <si>
    <t>048 B Boted</t>
  </si>
  <si>
    <t>Bacsa, Hyneth Gwen</t>
  </si>
  <si>
    <t>048 B Boted Tawang, La Trinidad</t>
  </si>
  <si>
    <t>Xyrelle Vhien</t>
  </si>
  <si>
    <t>Kizzayha Mayline</t>
  </si>
  <si>
    <t>Bambao, Angel Sr.</t>
  </si>
  <si>
    <t>SLU</t>
  </si>
  <si>
    <t>Arts and croachet</t>
  </si>
  <si>
    <t>15 Balacbac Central, Sto. Tomas Proper</t>
  </si>
  <si>
    <t>Jezreel Genrev</t>
  </si>
  <si>
    <t>Lucban Elementary School Science Class</t>
  </si>
  <si>
    <t>Gym Workouts</t>
  </si>
  <si>
    <t>Playing Chess</t>
  </si>
  <si>
    <t>Chess, Soccer</t>
  </si>
  <si>
    <t>Drums</t>
  </si>
  <si>
    <t>123 Blk 3 Middle Quirino Hill, Baguio City</t>
  </si>
  <si>
    <t>Castillo</t>
  </si>
  <si>
    <t>Princess Lhianne</t>
  </si>
  <si>
    <t>Blk 82 Lot 116 Area D, Sapang Palay, San Jose Del Monte Bulacan City</t>
  </si>
  <si>
    <t>0955-318-8813</t>
  </si>
  <si>
    <t>Bulacan</t>
  </si>
  <si>
    <t>Castillo, Antohino</t>
  </si>
  <si>
    <t>Belleza, Rosie</t>
  </si>
  <si>
    <t>Easter College School</t>
  </si>
  <si>
    <t>53 Badihoy St Guisad, Surong</t>
  </si>
  <si>
    <t>Prince Jedi</t>
  </si>
  <si>
    <t>Castro, Jewel</t>
  </si>
  <si>
    <t>Albuera, Dian</t>
  </si>
  <si>
    <t>Pre-kindergarten</t>
  </si>
  <si>
    <t>Cypress Christian School</t>
  </si>
  <si>
    <t>G6PD</t>
  </si>
  <si>
    <t>Uncle</t>
  </si>
  <si>
    <t>P2 - 224</t>
  </si>
  <si>
    <t>Roman Catholic | Anglican</t>
  </si>
  <si>
    <t>Baguio Central School</t>
  </si>
  <si>
    <t>P2 - 224 Poliwes, Kn. Rd., Baguio City</t>
  </si>
  <si>
    <t>Jazzy</t>
  </si>
  <si>
    <t>Jharen</t>
  </si>
  <si>
    <t>Coyasan, Mary Joe</t>
  </si>
  <si>
    <t>Grade 4</t>
  </si>
  <si>
    <t>Ambiong Elementary School</t>
  </si>
  <si>
    <t>Basketball, Biking, Watching, Cooking, Drawing</t>
  </si>
  <si>
    <t>AB006 Ambiong, La Trinidad</t>
  </si>
  <si>
    <t>Marl Jakob</t>
  </si>
  <si>
    <t>0906-3785711</t>
  </si>
  <si>
    <t>Rebekah Faith</t>
  </si>
  <si>
    <r>
      <rPr>
        <b/>
        <sz val="11"/>
        <color theme="1"/>
        <rFont val="Calibri"/>
        <charset val="134"/>
      </rPr>
      <t xml:space="preserve">Age bracket </t>
    </r>
    <r>
      <rPr>
        <b/>
        <sz val="11"/>
        <color rgb="FFFF0000"/>
        <rFont val="Calibri"/>
        <charset val="134"/>
      </rPr>
      <t>(to check)</t>
    </r>
  </si>
  <si>
    <t>Galasgas</t>
  </si>
  <si>
    <t>Yzhexiel Zyric</t>
  </si>
  <si>
    <t>FC 323 2nd Rd</t>
  </si>
  <si>
    <t>Galasgas, Mark Noel</t>
  </si>
  <si>
    <t>BSU-ELS</t>
  </si>
  <si>
    <t>Music Ministry</t>
  </si>
  <si>
    <t>FC 323 2nd Rd, Central Balili, La Trinidad</t>
  </si>
  <si>
    <t>Toddlers 1: 4-5 y/o</t>
  </si>
  <si>
    <t>Aiko Gwyneth</t>
  </si>
  <si>
    <t>gumpalaikogwyneth@gmail.com</t>
  </si>
  <si>
    <t>Gumpal, Nicko Rey T.</t>
  </si>
  <si>
    <t>Gumpal, Aimee C.</t>
  </si>
  <si>
    <t>Kindergarten</t>
  </si>
  <si>
    <t>Berkeley School</t>
  </si>
  <si>
    <t>Under Observation</t>
  </si>
  <si>
    <t>Arts and Crafts, Painting</t>
  </si>
  <si>
    <t>70 Magsaysay Private Road, Baguio City</t>
  </si>
  <si>
    <t>Toddlers 2: 6-7y/o</t>
  </si>
  <si>
    <t>Allen James</t>
  </si>
  <si>
    <t>Kiaki, Joerdan</t>
  </si>
  <si>
    <t>Kiaki, Ma. Luningning D.</t>
  </si>
  <si>
    <t>Josefa Elementary School</t>
  </si>
  <si>
    <t>Asthma</t>
  </si>
  <si>
    <t>14 Purok 24 San Carlos Heights, Baguio City</t>
  </si>
  <si>
    <t>Beginners 1: 8-9 y/o</t>
  </si>
  <si>
    <t>Paul Jordan</t>
  </si>
  <si>
    <t>Kindergarten 2</t>
  </si>
  <si>
    <t>King Kids Christian Academy</t>
  </si>
  <si>
    <t>Dance</t>
  </si>
  <si>
    <t>Beginners 2: 9-10 y/o</t>
  </si>
  <si>
    <t>Kaela Margarette</t>
  </si>
  <si>
    <t>Pacsi, Randy Q.</t>
  </si>
  <si>
    <t>Pacsi, Maricel R.</t>
  </si>
  <si>
    <t>Don Pulas, Elementary School - Alapang</t>
  </si>
  <si>
    <t>Playing with Friends</t>
  </si>
  <si>
    <t xml:space="preserve">54A Dapiting, Alapang, La Trinidad </t>
  </si>
  <si>
    <t>Primary: 11-12 y/o</t>
  </si>
  <si>
    <t>Ezekiel Shem</t>
  </si>
  <si>
    <t>Prado, Reymond G.</t>
  </si>
  <si>
    <t>Prado, Jeazell</t>
  </si>
  <si>
    <t>Quezon Hill Elementary School</t>
  </si>
  <si>
    <t>Near Sighted</t>
  </si>
  <si>
    <t>Singing, Video Games</t>
  </si>
  <si>
    <t>Word Puzzles</t>
  </si>
  <si>
    <t>Skating, Basketball</t>
  </si>
  <si>
    <t>076 Lamug St Purok 25, Irisan, Baguio City</t>
  </si>
  <si>
    <t>Ceanne Marc</t>
  </si>
  <si>
    <t>AP 31 Sitio Paltingan</t>
  </si>
  <si>
    <t>Pulicay, Janice A.</t>
  </si>
  <si>
    <t>Sunday School, Bible Quizzing</t>
  </si>
  <si>
    <t>Reading, Playing Badminton</t>
  </si>
  <si>
    <t>AP 31 Sitio Paltingan, Ambiong, La Trinidad</t>
  </si>
  <si>
    <t>Princess Khina</t>
  </si>
  <si>
    <t>Apugan, Sto. Tomas</t>
  </si>
  <si>
    <t>0954-270-4941</t>
  </si>
  <si>
    <t>Apugan Sto. Tomas Elementary School</t>
  </si>
  <si>
    <t>Prayer Network</t>
  </si>
  <si>
    <t>0926-096-026</t>
  </si>
  <si>
    <t>Romeo</t>
  </si>
  <si>
    <t>Sean Thyrinz</t>
  </si>
  <si>
    <t xml:space="preserve">Purok 3 </t>
  </si>
  <si>
    <t>Quirino Province</t>
  </si>
  <si>
    <t>Romero, Jether Dan</t>
  </si>
  <si>
    <t>Romero, Lanie Palma</t>
  </si>
  <si>
    <t>Gibraltar Elementary School</t>
  </si>
  <si>
    <t>Romero, Margie</t>
  </si>
  <si>
    <t>Grandmother</t>
  </si>
  <si>
    <t>Leandrei Zhayne Zenkai</t>
  </si>
  <si>
    <t>L-B11 Rocky Side 1</t>
  </si>
  <si>
    <t>358 Goldfield Poblacion Itogon Benguet</t>
  </si>
  <si>
    <t>L-B11 Rocky Side 1, Lubas, La Trinidad</t>
  </si>
  <si>
    <t>Khezziah Enica</t>
  </si>
  <si>
    <t>yengcaragay46@gmail.com</t>
  </si>
  <si>
    <t>All!!!</t>
  </si>
  <si>
    <t>Drawing, Painting</t>
  </si>
  <si>
    <t>CALVARY TABERNACLE CHURCH</t>
  </si>
  <si>
    <t>SUNDAY ATTENDANCE</t>
  </si>
  <si>
    <r>
      <rPr>
        <b/>
        <sz val="12"/>
        <color rgb="FFFF0000"/>
        <rFont val="Aptos Narrow"/>
        <charset val="134"/>
      </rPr>
      <t xml:space="preserve">Type </t>
    </r>
    <r>
      <rPr>
        <b/>
        <u/>
        <sz val="12"/>
        <color rgb="FFFF0000"/>
        <rFont val="Aptos Narrow"/>
        <charset val="134"/>
      </rPr>
      <t>capital "P"</t>
    </r>
    <r>
      <rPr>
        <b/>
        <sz val="12"/>
        <color rgb="FFFF0000"/>
        <rFont val="Aptos Narrow"/>
        <charset val="134"/>
      </rPr>
      <t xml:space="preserve"> for PRESENT</t>
    </r>
  </si>
  <si>
    <t>JULY</t>
  </si>
  <si>
    <t>AUGUST</t>
  </si>
  <si>
    <t>SEPTEMBER</t>
  </si>
  <si>
    <t>OCTOBER</t>
  </si>
  <si>
    <t>NOVEMBER</t>
  </si>
  <si>
    <t>DECEMEBER</t>
  </si>
  <si>
    <t>FAMILY</t>
  </si>
  <si>
    <t>DEPARTMENT</t>
  </si>
  <si>
    <t>NAME</t>
  </si>
  <si>
    <t>TOTAL</t>
  </si>
  <si>
    <t>NUMBER OF ATTENDANCE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</si>
  <si>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</si>
  <si>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</si>
  <si>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</si>
  <si>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</si>
  <si>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</si>
  <si>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</si>
  <si>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</si>
  <si>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</si>
  <si>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</si>
  <si>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</si>
  <si>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</si>
  <si>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</si>
  <si>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</si>
  <si>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</si>
  <si>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</si>
  <si>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</si>
  <si>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</si>
  <si>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</si>
  <si>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</si>
  <si>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</si>
  <si>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</si>
  <si>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</si>
  <si>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</si>
  <si>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</si>
  <si>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</si>
  <si>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</si>
  <si>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</si>
  <si>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</si>
  <si>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</si>
  <si>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</si>
  <si>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Abad, Joan</t>
  </si>
  <si>
    <t>Abenez, Stephanie</t>
  </si>
  <si>
    <t>Abuan 2</t>
  </si>
  <si>
    <t>Abuan, Christine</t>
  </si>
  <si>
    <t>Abuan 1</t>
  </si>
  <si>
    <t>Abuan, Maria Fe</t>
  </si>
  <si>
    <t>Abuan, Ricardo</t>
  </si>
  <si>
    <t>Adame, Esther</t>
  </si>
  <si>
    <t>YM</t>
  </si>
  <si>
    <t>Agpalo, Charles</t>
  </si>
  <si>
    <t>CM</t>
  </si>
  <si>
    <t>Aguinaldo, Raiven Ezekel</t>
  </si>
  <si>
    <t>Aguinaldo, Raveena Scarlet</t>
  </si>
  <si>
    <t>Akiapat 1</t>
  </si>
  <si>
    <t>Akiapat, Felipa</t>
  </si>
  <si>
    <t>Akiapat, Femy</t>
  </si>
  <si>
    <t>Alarcio 2</t>
  </si>
  <si>
    <t>Alarcio, Adrian</t>
  </si>
  <si>
    <t>Alarcio 1</t>
  </si>
  <si>
    <t>Alarcio, Kaye Cee</t>
  </si>
  <si>
    <t>Albing 1</t>
  </si>
  <si>
    <t>Albing, Alpha May</t>
  </si>
  <si>
    <t>Albing, Amela Grace</t>
  </si>
  <si>
    <t>Alcantara, Axel</t>
  </si>
  <si>
    <t>Alcoriza, Clarisse</t>
  </si>
  <si>
    <t>Alcoriza 1</t>
  </si>
  <si>
    <t>Alcoriza, Jocelyn</t>
  </si>
  <si>
    <t>Alcoriza 2</t>
  </si>
  <si>
    <t>Alcoriza, Renalyn</t>
  </si>
  <si>
    <t>Aleo 1</t>
  </si>
  <si>
    <t>Aleo, Nena</t>
  </si>
  <si>
    <t>BEAM</t>
  </si>
  <si>
    <t>Alfonso, Abia</t>
  </si>
  <si>
    <t>Alfornon, Bobby</t>
  </si>
  <si>
    <t>Alister, Jun</t>
  </si>
  <si>
    <t>Amistad 3</t>
  </si>
  <si>
    <t>Amistad, Elisha</t>
  </si>
  <si>
    <t>Amistad 2</t>
  </si>
  <si>
    <t>Amistad, Hadassah Olive</t>
  </si>
  <si>
    <t>Amistad, Judah</t>
  </si>
  <si>
    <t>Amistad, Lucas</t>
  </si>
  <si>
    <t>Amplogio 1</t>
  </si>
  <si>
    <t>Amplogio, Gina</t>
  </si>
  <si>
    <t>Amplogio 2</t>
  </si>
  <si>
    <t>Amplogio, Harvey</t>
  </si>
  <si>
    <t>Amplogio, Zhoilo</t>
  </si>
  <si>
    <t>Andrada, Lolita</t>
  </si>
  <si>
    <t>Ano 1</t>
  </si>
  <si>
    <t>Ano, Emiliana</t>
  </si>
  <si>
    <t>Anonuevo, Jun</t>
  </si>
  <si>
    <t>Antonio, Arjelyn</t>
  </si>
  <si>
    <t>Antonio 2</t>
  </si>
  <si>
    <t>Antonio, Froxh Zion</t>
  </si>
  <si>
    <t>Antonio, Isen</t>
  </si>
  <si>
    <t>Antonio, Jolie Mae</t>
  </si>
  <si>
    <t>Apilada 2</t>
  </si>
  <si>
    <t>Apilada, Arbie</t>
  </si>
  <si>
    <t>Apilada, Arman Angelo</t>
  </si>
  <si>
    <t>Apilada 1</t>
  </si>
  <si>
    <t>Apilada 3</t>
  </si>
  <si>
    <t>Apilada, Jairah May</t>
  </si>
  <si>
    <t>Apolinario, Troy Kenneth</t>
  </si>
  <si>
    <t>Aquino, Lyra</t>
  </si>
  <si>
    <t>Aragon 1</t>
  </si>
  <si>
    <t>Aragon, Marc Andrew Reli</t>
  </si>
  <si>
    <t>Aragon 2</t>
  </si>
  <si>
    <t>Aragon, Reviel Arcai</t>
  </si>
  <si>
    <t>Arcangel, Delia</t>
  </si>
  <si>
    <t>Ating 1</t>
  </si>
  <si>
    <t>Ating, Dwight Paul</t>
  </si>
  <si>
    <t xml:space="preserve">Ating, Grace </t>
  </si>
  <si>
    <t>Augustin, Aprilyn</t>
  </si>
  <si>
    <t>Augusto, Guillian</t>
  </si>
  <si>
    <t>Ayson, Cora</t>
  </si>
  <si>
    <t>Ayungo 1</t>
  </si>
  <si>
    <t>Ayungo, Ailene</t>
  </si>
  <si>
    <t>Ayungo 2</t>
  </si>
  <si>
    <t>Ayungo, Martin Aileslee III</t>
  </si>
  <si>
    <t>Ayungo, Martin Jr</t>
  </si>
  <si>
    <t>Azores 1</t>
  </si>
  <si>
    <t>Azores, Ronald</t>
  </si>
  <si>
    <t>Bac-a-ao, Kil</t>
  </si>
  <si>
    <t>Bacsa 1</t>
  </si>
  <si>
    <t>Badilla , Vienna Brylle</t>
  </si>
  <si>
    <t>Badilla, Xyrelle Vhien</t>
  </si>
  <si>
    <t>Balbino, Beverly</t>
  </si>
  <si>
    <t>Baldoz, King Stevenlee</t>
  </si>
  <si>
    <t>Balinggan 4</t>
  </si>
  <si>
    <t>Balinggan, Deborah</t>
  </si>
  <si>
    <t>Balinggan 3</t>
  </si>
  <si>
    <t>Balinggan, Gabrielle Troi</t>
  </si>
  <si>
    <t>Balinggan, Jadden Tredway</t>
  </si>
  <si>
    <t>Balinggan 2</t>
  </si>
  <si>
    <t>Balinggan, Jubilee</t>
  </si>
  <si>
    <t>Balinggan 1</t>
  </si>
  <si>
    <t>Balinggan, Zuri</t>
  </si>
  <si>
    <t>Balneg, Queen Crystalie</t>
  </si>
  <si>
    <t>Bambao, Angel Jr</t>
  </si>
  <si>
    <t>Bambao, Kizzayha Mayline</t>
  </si>
  <si>
    <t>Bambao, Kristine Chloe</t>
  </si>
  <si>
    <t>Banaag, Aldgeryne Faith</t>
  </si>
  <si>
    <t>Banaag, Daniel</t>
  </si>
  <si>
    <t>Banaag, Geraldine Marijoe</t>
  </si>
  <si>
    <t>Banaag, Zechariah</t>
  </si>
  <si>
    <t>Bañares, Alicia Hafalla</t>
  </si>
  <si>
    <t>Bañez, Eugene</t>
  </si>
  <si>
    <t>Bañez, Journey Ryan</t>
  </si>
  <si>
    <t>Bañez, Lucina</t>
  </si>
  <si>
    <t>Bangibang, Mila</t>
  </si>
  <si>
    <t>Bas-ilan, Benita</t>
  </si>
  <si>
    <t>Basilio, Geryl Ann</t>
  </si>
  <si>
    <t>Basilio, Gylrihs Gem</t>
  </si>
  <si>
    <t>Batacan, Diane</t>
  </si>
  <si>
    <t>Batalao, Jonathan</t>
  </si>
  <si>
    <t>Batalao, Nathaniel</t>
  </si>
  <si>
    <t>Bayatin, Julian</t>
  </si>
  <si>
    <t>Bayla, Camille</t>
  </si>
  <si>
    <t>Bayla, Denise</t>
  </si>
  <si>
    <t>Bayla, Elizabeth</t>
  </si>
  <si>
    <t>Bayla, Kirtsten Diamond</t>
  </si>
  <si>
    <t>Bayla, Liam</t>
  </si>
  <si>
    <t>Bayla, Nadia</t>
  </si>
  <si>
    <t>Bayrante, Ramon</t>
  </si>
  <si>
    <t>Bentod, Kharen</t>
  </si>
  <si>
    <t>Bentrez , Isacc</t>
  </si>
  <si>
    <t>Bentrez, Jacqueline</t>
  </si>
  <si>
    <t>Bentrez, Jezreel Genrev</t>
  </si>
  <si>
    <t>Bokket, Hannah</t>
  </si>
  <si>
    <t>Bokket, Maria Rita</t>
  </si>
  <si>
    <t>Bokket, Mark</t>
  </si>
  <si>
    <t>Bokket, Nathaniel</t>
  </si>
  <si>
    <t>Bonilla, Joshua</t>
  </si>
  <si>
    <t>Bonilla, Mark Rener</t>
  </si>
  <si>
    <t>Bosque, Ara Mae</t>
  </si>
  <si>
    <t>Boteng, Judylyn</t>
  </si>
  <si>
    <t>Boteng, Zandra</t>
  </si>
  <si>
    <t>Briones, Jonel</t>
  </si>
  <si>
    <t>Broqueza, Maylene Miles</t>
  </si>
  <si>
    <t>Buan, Abigail</t>
  </si>
  <si>
    <t>Buan, Samantha Joseph</t>
  </si>
  <si>
    <t>Buhong, Melody</t>
  </si>
  <si>
    <t>Bulalin, Lita</t>
  </si>
  <si>
    <t>Bunno, Ronald</t>
  </si>
  <si>
    <t>Buya, Bantas</t>
  </si>
  <si>
    <t>Buya, Gleaelle</t>
  </si>
  <si>
    <t>Cabalsi, Marnick</t>
  </si>
  <si>
    <t>Cabay, Chansen Dave</t>
  </si>
  <si>
    <t>Cabay, Fermina</t>
  </si>
  <si>
    <t>Cabubas, Alma</t>
  </si>
  <si>
    <t>Cadiay, Bernard</t>
  </si>
  <si>
    <t>Cadiay, Merriam</t>
  </si>
  <si>
    <t>Cadiay, Vivian</t>
  </si>
  <si>
    <t>Cagablsi, Marivick</t>
  </si>
  <si>
    <t>Cajigal, Rogelio</t>
  </si>
  <si>
    <t>Calias, Pilora</t>
  </si>
  <si>
    <t>Calimlim 2</t>
  </si>
  <si>
    <t>Calimlim, Cayleb Jhan</t>
  </si>
  <si>
    <t>Calimlim, Courtney</t>
  </si>
  <si>
    <t>Calimlim 1</t>
  </si>
  <si>
    <t>Calimlim, Jamielyn</t>
  </si>
  <si>
    <t>Calimlim, Jared</t>
  </si>
  <si>
    <t>Calixto 2</t>
  </si>
  <si>
    <t>Calixto, Dean</t>
  </si>
  <si>
    <t>Calong, Yuan Tazar</t>
  </si>
  <si>
    <t>Camodag , Athena</t>
  </si>
  <si>
    <t>Camodag , Audie</t>
  </si>
  <si>
    <t>Camodag, Glory Anne</t>
  </si>
  <si>
    <t>Camodag, Jonathan</t>
  </si>
  <si>
    <t>Camodag, Juliet</t>
  </si>
  <si>
    <t>Camora, Grace</t>
  </si>
  <si>
    <t>Camora, Jamie</t>
  </si>
  <si>
    <t>Camora, Marlyn</t>
  </si>
  <si>
    <t>Camora, Samuel</t>
  </si>
  <si>
    <t>Cano, Rena</t>
  </si>
  <si>
    <t>Cano, Rhiley Marcus</t>
  </si>
  <si>
    <t>Cansejo, Jeremy</t>
  </si>
  <si>
    <t>Caragay, Cita</t>
  </si>
  <si>
    <t>Caragay, Erla</t>
  </si>
  <si>
    <t>Caragay, Kate Ann</t>
  </si>
  <si>
    <t>Caragay, Kimberly</t>
  </si>
  <si>
    <t>Caragay, Matt Jacob</t>
  </si>
  <si>
    <t>Caragay, Xyriel</t>
  </si>
  <si>
    <t>Caragay,Zachary</t>
  </si>
  <si>
    <t>Cariño, Emelita</t>
  </si>
  <si>
    <t>Carpio, Zander</t>
  </si>
  <si>
    <t>Castillejo, Jeehan Jane</t>
  </si>
  <si>
    <t>Castillo, Princess Lhianne</t>
  </si>
  <si>
    <t>Castro, Harell Ethan Augh</t>
  </si>
  <si>
    <t>Castro, Harnelle</t>
  </si>
  <si>
    <t>Castro, Henzy Giovan</t>
  </si>
  <si>
    <t>Castro, Lysette Anne</t>
  </si>
  <si>
    <t>Castro, Oliver</t>
  </si>
  <si>
    <t>Castro, Prince Jedi</t>
  </si>
  <si>
    <t>Castro, Simplicio Jr</t>
  </si>
  <si>
    <t>Catacutan, Jurina</t>
  </si>
  <si>
    <t>Cawas, Tessie</t>
  </si>
  <si>
    <t>Cayandag, James</t>
  </si>
  <si>
    <t>Cayandag, Jazzy</t>
  </si>
  <si>
    <t>Copes, Vonlouise E.</t>
  </si>
  <si>
    <t>Coraza, Jean</t>
  </si>
  <si>
    <t>Coyasan 2</t>
  </si>
  <si>
    <t>Coyasan, Jhake Rhey</t>
  </si>
  <si>
    <t>Coyasan, Jharen</t>
  </si>
  <si>
    <t xml:space="preserve">Coyasan, Jhed </t>
  </si>
  <si>
    <t>Coyasan, Sonia</t>
  </si>
  <si>
    <t>Cristobal, Daniel</t>
  </si>
  <si>
    <t>Cruz, Aron</t>
  </si>
  <si>
    <t>Cruz, Cedrick Aron</t>
  </si>
  <si>
    <t>Cruz, Juanita</t>
  </si>
  <si>
    <t>Cruz, Krisha Camille</t>
  </si>
  <si>
    <t>Cutay, Diana Jane</t>
  </si>
  <si>
    <t>Cutay, Freda</t>
  </si>
  <si>
    <t>Cutay, Johanna Faith</t>
  </si>
  <si>
    <t>Cutay, John Mark</t>
  </si>
  <si>
    <t>Cutay, Regina</t>
  </si>
  <si>
    <t>Cutay, Timothy</t>
  </si>
  <si>
    <t>Cutay, Yohan</t>
  </si>
  <si>
    <t>Cutay, Yumi</t>
  </si>
  <si>
    <t>Dacanay, Arianah Venisse</t>
  </si>
  <si>
    <t>Dacanay, Trisha Joyce</t>
  </si>
  <si>
    <t>Dagupen, Lindsay</t>
  </si>
  <si>
    <t>Daiwey, Babet</t>
  </si>
  <si>
    <t>Daiwey, Devotee</t>
  </si>
  <si>
    <t>Daiwey, Havilah Leigh</t>
  </si>
  <si>
    <t>Daiwey, Joel</t>
  </si>
  <si>
    <t>Daiwey, Sherman AJ</t>
  </si>
  <si>
    <t>Dalag, Rochelle</t>
  </si>
  <si>
    <t>Dalagan, Dennis</t>
  </si>
  <si>
    <t>Dalisan, Jenifer Apple</t>
  </si>
  <si>
    <t>Daliyong, Marvie</t>
  </si>
  <si>
    <t>Danganon, Analyn</t>
  </si>
  <si>
    <t>Dangla, Constancio Jr</t>
  </si>
  <si>
    <t>Daniares, Alecia</t>
  </si>
  <si>
    <t>Daskeo, Keziah</t>
  </si>
  <si>
    <t>Daskeo, Khyzer Clark</t>
  </si>
  <si>
    <t>Daskeo, Kleinny May</t>
  </si>
  <si>
    <t>Datuin, Joan</t>
  </si>
  <si>
    <t>Datuin, Kenzo</t>
  </si>
  <si>
    <t>Datuin, Ron</t>
  </si>
  <si>
    <t>Datuin, Ronald</t>
  </si>
  <si>
    <t>Datuin, Yohan</t>
  </si>
  <si>
    <t>De Ausen, Claude</t>
  </si>
  <si>
    <t>De Ausen, Jennifer</t>
  </si>
  <si>
    <t>De Castro, Rebekah Faith</t>
  </si>
  <si>
    <t>De Guzman , Randy</t>
  </si>
  <si>
    <t>De Guzman, Faith</t>
  </si>
  <si>
    <t>De Guzman, Grant</t>
  </si>
  <si>
    <t>Del Pilar, Joufer</t>
  </si>
  <si>
    <t>Del Pilar, Mauler</t>
  </si>
  <si>
    <t>Dela Cruz, Dani</t>
  </si>
  <si>
    <t>Dela Peña, Imelda</t>
  </si>
  <si>
    <t>Delin, Josea</t>
  </si>
  <si>
    <t>Delos Trinos, Jessamin</t>
  </si>
  <si>
    <t>Delos Trinos, Julieta</t>
  </si>
  <si>
    <t>Devera, Junar</t>
  </si>
  <si>
    <t>Diamsay, Alma</t>
  </si>
  <si>
    <t>Diamsay, Jake</t>
  </si>
  <si>
    <t>Diamsay, Joe Khaled</t>
  </si>
  <si>
    <t>Diamsay, Khaizer</t>
  </si>
  <si>
    <t>Diamsay, Krisha</t>
  </si>
  <si>
    <t>Diamsay, Matthew</t>
  </si>
  <si>
    <t>Dimasangca, Fajad</t>
  </si>
  <si>
    <t>Doligas, Kemuel G.</t>
  </si>
  <si>
    <t>Doligas, Kimberly</t>
  </si>
  <si>
    <t>Domigsi, Lyza Mae</t>
  </si>
  <si>
    <t>Domigsi, Rosemarie</t>
  </si>
  <si>
    <t>Donaire, Lovely</t>
  </si>
  <si>
    <t>Donaire, Romelie</t>
  </si>
  <si>
    <t>Dongpoen, Daryl</t>
  </si>
  <si>
    <t>Dongpoen, Zeny</t>
  </si>
  <si>
    <t>Dulnuan, Crislin</t>
  </si>
  <si>
    <t>Dulnuan, Helen</t>
  </si>
  <si>
    <t>Dumaniel, Josie</t>
  </si>
  <si>
    <t>Dumaniel, Nilda</t>
  </si>
  <si>
    <t>Dumayag, Reniel</t>
  </si>
  <si>
    <t>Dy, Jamaica</t>
  </si>
  <si>
    <t>Dy, Mary Antonette</t>
  </si>
  <si>
    <t>Embo, Eileen</t>
  </si>
  <si>
    <t>Eraldo, Federico</t>
  </si>
  <si>
    <t>Eraldo, Irish</t>
  </si>
  <si>
    <t>Espares, Jasper</t>
  </si>
  <si>
    <t>Esteban, Clint</t>
  </si>
  <si>
    <t>Esteban, Teresita</t>
  </si>
  <si>
    <t>Estepa, Anne Marie</t>
  </si>
  <si>
    <t>Estipular, Oscar Sr</t>
  </si>
  <si>
    <t>Fabito, Ma. Christina</t>
  </si>
  <si>
    <t>Feliciano, Geraldine</t>
  </si>
  <si>
    <t>Feliciano, Gideon</t>
  </si>
  <si>
    <t>Felipe, Gennie</t>
  </si>
  <si>
    <t>Felipe, Henry</t>
  </si>
  <si>
    <t>Felipe, Naphtali</t>
  </si>
  <si>
    <t>Felipe, Nathaniel</t>
  </si>
  <si>
    <t>Felipe, Yael</t>
  </si>
  <si>
    <t>Ferreras, Raymond</t>
  </si>
  <si>
    <t>Flores , Ziah</t>
  </si>
  <si>
    <t>Flores, Azalea</t>
  </si>
  <si>
    <t>Flores, Ma. Cecila</t>
  </si>
  <si>
    <t>Flores, Melody</t>
  </si>
  <si>
    <t>Foyagan, Daisy</t>
  </si>
  <si>
    <t xml:space="preserve">Galap, Daniela </t>
  </si>
  <si>
    <t>Galasgas, Yxianeil Zene</t>
  </si>
  <si>
    <t>Galasgas,Zyrc</t>
  </si>
  <si>
    <t>Galen Drake</t>
  </si>
  <si>
    <t>Galimba, Jordan</t>
  </si>
  <si>
    <t>Galimba, Lloyd</t>
  </si>
  <si>
    <t>PARC</t>
  </si>
  <si>
    <t>Gara, Catherine</t>
  </si>
  <si>
    <t>Gara, Nyl</t>
  </si>
  <si>
    <t>Gara, Zeth Nathan</t>
  </si>
  <si>
    <t>Garcia, Joseph</t>
  </si>
  <si>
    <t>Garcia, Judge</t>
  </si>
  <si>
    <t>Garcia, Lemuel</t>
  </si>
  <si>
    <t>Garcia, Linelle</t>
  </si>
  <si>
    <t>Garcia, Manuel</t>
  </si>
  <si>
    <t>Gayados, Alvin Noel</t>
  </si>
  <si>
    <t>Gayados, Belle Noraine</t>
  </si>
  <si>
    <t>Gayados, Cleo Jean</t>
  </si>
  <si>
    <t>Gayados, Ivan</t>
  </si>
  <si>
    <t>Gayados 1</t>
  </si>
  <si>
    <t>Gayados, Noli Nickey</t>
  </si>
  <si>
    <t>Gayo, Yllghe</t>
  </si>
  <si>
    <t>Gervacio, Yuree</t>
  </si>
  <si>
    <t>Gomac, Kiara</t>
  </si>
  <si>
    <t>Guiyab, Lanie</t>
  </si>
  <si>
    <t>Gumpal, Aiko Gwyneth</t>
  </si>
  <si>
    <t>Gumpal, Aimee</t>
  </si>
  <si>
    <t>Gumpal, Niko</t>
  </si>
  <si>
    <t>Htwe, Aiko</t>
  </si>
  <si>
    <t>Hughes, Ryan</t>
  </si>
  <si>
    <t>Ibal, Lea</t>
  </si>
  <si>
    <t>Ibañez, Julie Anne</t>
  </si>
  <si>
    <t>Ibanez, Roshu</t>
  </si>
  <si>
    <t>Joaquin, Domingo</t>
  </si>
  <si>
    <t>John Lucas</t>
  </si>
  <si>
    <t>Kalinggan, Grace</t>
  </si>
  <si>
    <t>Kazuyuki, Neomi Tituai</t>
  </si>
  <si>
    <t>Kiaki, Allen James</t>
  </si>
  <si>
    <t>Kiaki, Maria Luningning</t>
  </si>
  <si>
    <t>Kiaki, Paul Jordan</t>
  </si>
  <si>
    <t>Kiddagan, Ezekiel</t>
  </si>
  <si>
    <t>Kiddayon, ???</t>
  </si>
  <si>
    <t>Kidpalos, Angeline</t>
  </si>
  <si>
    <t>Kiwil, Dampo</t>
  </si>
  <si>
    <t>Kiwil, Jonie</t>
  </si>
  <si>
    <t>Kodiamat, Andrea</t>
  </si>
  <si>
    <t>Kodiamat, Chloe</t>
  </si>
  <si>
    <t>Kodiamat, Gwen</t>
  </si>
  <si>
    <t>Ladrido, Athynah Ruchie</t>
  </si>
  <si>
    <t>Ladrido, Austin Raphael</t>
  </si>
  <si>
    <t>Ladrido, Ruth</t>
  </si>
  <si>
    <t>Langgoy 1</t>
  </si>
  <si>
    <t>Langgoy, Marvin</t>
  </si>
  <si>
    <t>Langgoy, Ranelda</t>
  </si>
  <si>
    <t>Langgoy 2</t>
  </si>
  <si>
    <t>Langgoy, Zian</t>
  </si>
  <si>
    <t>Laraya, Angie</t>
  </si>
  <si>
    <t>Laraya, Merriam</t>
  </si>
  <si>
    <t>Laresma (Gervacio), Aikee</t>
  </si>
  <si>
    <t>Laresma (Gervacio), Yuree</t>
  </si>
  <si>
    <t xml:space="preserve">Laresma, Arlene </t>
  </si>
  <si>
    <t>Laresma, Zacc</t>
  </si>
  <si>
    <t>Laresma, Zhoreen</t>
  </si>
  <si>
    <t>Laresma, Zoee</t>
  </si>
  <si>
    <t>Larida, Gegie</t>
  </si>
  <si>
    <t>Lasay, Rafuncel</t>
  </si>
  <si>
    <t>Lean ???</t>
  </si>
  <si>
    <t>Lee, Krhystel Anne</t>
  </si>
  <si>
    <t>Liangpawen, Loretta</t>
  </si>
  <si>
    <t>Ligad, Janmear</t>
  </si>
  <si>
    <t>Lin, Gina</t>
  </si>
  <si>
    <t>Lipaen, Aubrine Grace</t>
  </si>
  <si>
    <t>Lipaen, Sonny</t>
  </si>
  <si>
    <t>Lipaen, Yolanda</t>
  </si>
  <si>
    <t>Liwana, Harvey</t>
  </si>
  <si>
    <t>Liwana, Julie Anne</t>
  </si>
  <si>
    <t>Liwana, Malley</t>
  </si>
  <si>
    <t>Liwana,Hailey</t>
  </si>
  <si>
    <t>Liwes, Elena</t>
  </si>
  <si>
    <t>Lomboy, Chelzy</t>
  </si>
  <si>
    <t>Lomibao, Alejandro</t>
  </si>
  <si>
    <t>Lomibao, Mary Jane</t>
  </si>
  <si>
    <t>Longan, Shalom Joy</t>
  </si>
  <si>
    <t>H300</t>
  </si>
  <si>
    <t>Lopez, Maureen</t>
  </si>
  <si>
    <t>Lopez, Natalie</t>
  </si>
  <si>
    <t>Lopez, Rolly</t>
  </si>
  <si>
    <t>Lopez, Romel</t>
  </si>
  <si>
    <t>Lumiequio, Jay-ar</t>
  </si>
  <si>
    <t>Lumingis, Mar</t>
  </si>
  <si>
    <t>Mabalot, Flor</t>
  </si>
  <si>
    <t>Mabanglo, Jocelyn</t>
  </si>
  <si>
    <t>Mabanglo, Mary</t>
  </si>
  <si>
    <t>Mabanglo, Michael</t>
  </si>
  <si>
    <t>Macapugas, Rebecca</t>
  </si>
  <si>
    <t>Macapugas, Teresita</t>
  </si>
  <si>
    <t>Macayan, Elpidio</t>
  </si>
  <si>
    <t>Macayya, Tom Jeff</t>
  </si>
  <si>
    <t>Madon-ep, Naty</t>
  </si>
  <si>
    <t>Magamao, Jingle</t>
  </si>
  <si>
    <t>Mago, Frederick</t>
  </si>
  <si>
    <t>Mago, Gina</t>
  </si>
  <si>
    <t>Mago, Jacob Emmanuel</t>
  </si>
  <si>
    <t>Mago, John Andrew</t>
  </si>
  <si>
    <t>Maguddayao, Katrina</t>
  </si>
  <si>
    <t>Maguling, Linda</t>
  </si>
  <si>
    <t>Mamac, Elizabeth</t>
  </si>
  <si>
    <t>Mamaril, Anie</t>
  </si>
  <si>
    <t>Mamaril, Danielle</t>
  </si>
  <si>
    <t>Mamaril, Hezekiah</t>
  </si>
  <si>
    <t>Manadao, Eusebio</t>
  </si>
  <si>
    <t>Manadao, Jeremiah Josh</t>
  </si>
  <si>
    <t>Manadao, Ma. Jennica</t>
  </si>
  <si>
    <t>Manadao, Trent Jordan</t>
  </si>
  <si>
    <t>Manao, Brenelyne</t>
  </si>
  <si>
    <t>Mangili, Evelyn</t>
  </si>
  <si>
    <t>Mangili, Kurt</t>
  </si>
  <si>
    <t>Martillana, Harold</t>
  </si>
  <si>
    <t>Martin,Jestony</t>
  </si>
  <si>
    <t>Masegman, Dinah</t>
  </si>
  <si>
    <t>Mata, Alfredo</t>
  </si>
  <si>
    <t>Mata, Arlen</t>
  </si>
  <si>
    <t>Matias, Demerie Joy</t>
  </si>
  <si>
    <t>Mejia, Markgil</t>
  </si>
  <si>
    <t>Mendoza, Michael</t>
  </si>
  <si>
    <t>Mendoza,Courtney</t>
  </si>
  <si>
    <t>Mindanco, Abegail</t>
  </si>
  <si>
    <t>Misa children ???</t>
  </si>
  <si>
    <t>Misa, Althea Faith</t>
  </si>
  <si>
    <t>Misa, Elena</t>
  </si>
  <si>
    <t>Misa, Emmanuel</t>
  </si>
  <si>
    <t>Misa, Janice</t>
  </si>
  <si>
    <t>Misa, Nathaniel</t>
  </si>
  <si>
    <t>Moran, Aniceta</t>
  </si>
  <si>
    <t>Moran, Sherwin</t>
  </si>
  <si>
    <t>Mugot, Edilyn</t>
  </si>
  <si>
    <t>Mugot, Evangelina</t>
  </si>
  <si>
    <t>Nacatab, Diane and children ???</t>
  </si>
  <si>
    <t>Naimes, Geno Rey</t>
  </si>
  <si>
    <t>Naimes, Ruth</t>
  </si>
  <si>
    <t>Narvas, Prexcy</t>
  </si>
  <si>
    <t>Narvasa, Qrwyn D.</t>
  </si>
  <si>
    <t>Navarro, Carissa</t>
  </si>
  <si>
    <t>Navarro, Deborah</t>
  </si>
  <si>
    <t>Ngaosi, Chenkie</t>
  </si>
  <si>
    <t>Nollan, Liecie May</t>
  </si>
  <si>
    <t>Ocampo, Aileene</t>
  </si>
  <si>
    <t>Ocampo, Duchess Hannah</t>
  </si>
  <si>
    <t>Ocampo, Ledi</t>
  </si>
  <si>
    <t>Olea, Karen Gay</t>
  </si>
  <si>
    <t>Omaoeng, Irene ??</t>
  </si>
  <si>
    <t>Omaoeng, Ireneo Jr</t>
  </si>
  <si>
    <t>Orcullo, Ellen</t>
  </si>
  <si>
    <t>Orowan, Marlyn</t>
  </si>
  <si>
    <t>Orowan, Ruth</t>
  </si>
  <si>
    <t>Ortiz, Nimrod</t>
  </si>
  <si>
    <t>Ortiz, Premitiva</t>
  </si>
  <si>
    <t>Pacsi, Kaela Margarette</t>
  </si>
  <si>
    <t>Pacsi, Kurt Rhanz Gabryl</t>
  </si>
  <si>
    <t>Padilla, Charlene</t>
  </si>
  <si>
    <t>Padupad, Leony</t>
  </si>
  <si>
    <t>Padupad, Sharon</t>
  </si>
  <si>
    <t>Paguyo, Faith</t>
  </si>
  <si>
    <t>Palomara, Crystel May</t>
  </si>
  <si>
    <t>Palomara, Gabrielle</t>
  </si>
  <si>
    <t>Palomara, Jovilyn</t>
  </si>
  <si>
    <t>Palomara, Ptr. Raynon</t>
  </si>
  <si>
    <t>Palomara, Ray Arden</t>
  </si>
  <si>
    <t>Palque, Nene</t>
  </si>
  <si>
    <t>Pascual, Den Den</t>
  </si>
  <si>
    <t>Pasi, Kaecee Pearl</t>
  </si>
  <si>
    <t>Perez, Allison</t>
  </si>
  <si>
    <t>Perico, Rachel</t>
  </si>
  <si>
    <t>Pino, Shieba</t>
  </si>
  <si>
    <t>Prado, Alexis</t>
  </si>
  <si>
    <t>Prado, Emmanuel</t>
  </si>
  <si>
    <t>Prado, Ezekiel Shem</t>
  </si>
  <si>
    <t>Prado, Jubilee</t>
  </si>
  <si>
    <t>Prado, Nathaniel</t>
  </si>
  <si>
    <t>Prado, Ramon Christopher</t>
  </si>
  <si>
    <t>Prado, Ramon Sr</t>
  </si>
  <si>
    <t>Pulicay, Ceanne</t>
  </si>
  <si>
    <t>Pulicay, Jan Iver</t>
  </si>
  <si>
    <t>Quevedo, Gemyma</t>
  </si>
  <si>
    <t>Quevedo, Gwyneth Janielle</t>
  </si>
  <si>
    <t>Quezon, Carleigh Jade</t>
  </si>
  <si>
    <t>Quezon, Chris John</t>
  </si>
  <si>
    <t>Quezon, Christina Thrina</t>
  </si>
  <si>
    <t>Quezon,Chairah Joy</t>
  </si>
  <si>
    <t>Quintero, Alice</t>
  </si>
  <si>
    <t>Quintero, Edison Jr</t>
  </si>
  <si>
    <t>Raciles, Camille</t>
  </si>
  <si>
    <t>Radaza, Joy</t>
  </si>
  <si>
    <t>Rafael, Yamiela Andrei</t>
  </si>
  <si>
    <t>Raguindin, James</t>
  </si>
  <si>
    <t>Raguindin, Matia</t>
  </si>
  <si>
    <t>Ragunton, Jemimah</t>
  </si>
  <si>
    <t>Rato, Regine</t>
  </si>
  <si>
    <t>Regoso 1</t>
  </si>
  <si>
    <t>Regoso, Eriberto</t>
  </si>
  <si>
    <t>Reyes, Manolo</t>
  </si>
  <si>
    <t>Ringor, Virginia</t>
  </si>
  <si>
    <t>Rivera, Princess Khina</t>
  </si>
  <si>
    <t>Rocutan, Jayvee</t>
  </si>
  <si>
    <t>Romeo, Sean Thyrinz</t>
  </si>
  <si>
    <t>Rosas, Jonan</t>
  </si>
  <si>
    <t>Ruga, Alipio</t>
  </si>
  <si>
    <t>Sacla, Kzy</t>
  </si>
  <si>
    <t>Salicob, Jasmine</t>
  </si>
  <si>
    <t>Salvador, Evelyn</t>
  </si>
  <si>
    <t>Sawad, Arthur</t>
  </si>
  <si>
    <t>AM</t>
  </si>
  <si>
    <t>Sawad, Charlie</t>
  </si>
  <si>
    <t>Sawad, CJ</t>
  </si>
  <si>
    <t>Sawad, Gloria</t>
  </si>
  <si>
    <t>Sawad, Grace</t>
  </si>
  <si>
    <t>Sawad, Jaycee</t>
  </si>
  <si>
    <t>Sawad, JC</t>
  </si>
  <si>
    <t>Sawad, Liquette</t>
  </si>
  <si>
    <t>Sawad, Mary Jane</t>
  </si>
  <si>
    <t>Sawad, Rachelle</t>
  </si>
  <si>
    <t>Sawati, Angel</t>
  </si>
  <si>
    <t>Sawati, Victor</t>
  </si>
  <si>
    <t>Sayan, Leandrei Zhayne Zenkai</t>
  </si>
  <si>
    <t>Sayan,Zhayne</t>
  </si>
  <si>
    <t>Segovia, Geralyn</t>
  </si>
  <si>
    <t>Sid-ay, Maribon</t>
  </si>
  <si>
    <t>Solis, Jenessa Faith</t>
  </si>
  <si>
    <t>Solis, Jonabel Ann</t>
  </si>
  <si>
    <t>Soriano, Esmeralda</t>
  </si>
  <si>
    <t>Tacbas, Chalisa Jasmine</t>
  </si>
  <si>
    <t>Tacbas, Clarissa</t>
  </si>
  <si>
    <t>Tacbas, Eloi</t>
  </si>
  <si>
    <t>Tacbas, Magdalena</t>
  </si>
  <si>
    <t>Tad-o , Felipe</t>
  </si>
  <si>
    <t>Tad-o, Juliana</t>
  </si>
  <si>
    <t>Tagudin, Amie</t>
  </si>
  <si>
    <t>Tagudin, Jordan</t>
  </si>
  <si>
    <t>Tagudin, Raffa</t>
  </si>
  <si>
    <t>Talbo, Milrose</t>
  </si>
  <si>
    <t>Talbo, Mykaela</t>
  </si>
  <si>
    <t>Talbo, Tony</t>
  </si>
  <si>
    <t>Taloban, Antonio Jr</t>
  </si>
  <si>
    <t>Taloban, Arabea Bless</t>
  </si>
  <si>
    <t>Taloban, Aurony John</t>
  </si>
  <si>
    <t>Taloban, Aurora</t>
  </si>
  <si>
    <t>Tamayo, Darwin</t>
  </si>
  <si>
    <t>Tamayo, Elijah</t>
  </si>
  <si>
    <t>Tamo, Alexzhia</t>
  </si>
  <si>
    <t>Tamo, Kathelene</t>
  </si>
  <si>
    <t>Tana, Trixie</t>
  </si>
  <si>
    <t>Tangalin, Czarina Katherine</t>
  </si>
  <si>
    <t>Tapnio, Jeniffer</t>
  </si>
  <si>
    <t>Tapnio, Lhianne Tracy</t>
  </si>
  <si>
    <t>Tapnio, Rachel</t>
  </si>
  <si>
    <t>Tapnio, Rafael Jemiah</t>
  </si>
  <si>
    <t>Tayab, Jonas G.</t>
  </si>
  <si>
    <t>Tayaban, Guiana</t>
  </si>
  <si>
    <t>Tinacba, Caleb</t>
  </si>
  <si>
    <t>Tinacba, Cayden</t>
  </si>
  <si>
    <t>Tinacba, Clyde</t>
  </si>
  <si>
    <t>Tinacba, Crisbon</t>
  </si>
  <si>
    <t>Tindo, Marvin</t>
  </si>
  <si>
    <t>Tindo, Melvin Josh</t>
  </si>
  <si>
    <t>Tiw-tiw, Danrea</t>
  </si>
  <si>
    <t>Tomas, Rodalyn</t>
  </si>
  <si>
    <t>Tomas, Rolly</t>
  </si>
  <si>
    <t>Torcedo, Estela</t>
  </si>
  <si>
    <t>Torcuato, Arnulfo</t>
  </si>
  <si>
    <t>Torreja, Joel</t>
  </si>
  <si>
    <t>Torreja, Sofia</t>
  </si>
  <si>
    <t>Torres, Kathleen</t>
  </si>
  <si>
    <t>Torres, Kenneth</t>
  </si>
  <si>
    <t>Torrgi, Elijah</t>
  </si>
  <si>
    <t>Torrgi, Job</t>
  </si>
  <si>
    <t>Torrgi, Joel</t>
  </si>
  <si>
    <t>Torrgi, Sierra</t>
  </si>
  <si>
    <t>Tubera, Thelma</t>
  </si>
  <si>
    <t>Ubaldo, Eduardo</t>
  </si>
  <si>
    <t>Valles, Ronces</t>
  </si>
  <si>
    <t>Valo,Clyde</t>
  </si>
  <si>
    <t>Viray, Kiel Honra</t>
  </si>
  <si>
    <t>Visaya, Arcelyn</t>
  </si>
  <si>
    <t>Wagang, Vilma</t>
  </si>
  <si>
    <t>Wakit, Agnes</t>
  </si>
  <si>
    <t>Wakit, Aira May</t>
  </si>
  <si>
    <t>Wakit, Benjamin</t>
  </si>
  <si>
    <t>Wakit, Fe</t>
  </si>
  <si>
    <t>Wakit, Zenaida</t>
  </si>
  <si>
    <t>Wanas, Gracelyn</t>
  </si>
  <si>
    <t>Wanas, Leah-mar</t>
  </si>
  <si>
    <t>Wasian, Matthew</t>
  </si>
  <si>
    <t>Wasian, Roger</t>
  </si>
  <si>
    <t>Way-yas, Urany Marie</t>
  </si>
  <si>
    <t>Wong, Benjamin Jr</t>
  </si>
  <si>
    <t>Wong, Ephraim</t>
  </si>
  <si>
    <t>Wong, Reggie</t>
  </si>
  <si>
    <t>Zapata, John Ezekiel</t>
  </si>
  <si>
    <t>Zapata, Khezziah Enica</t>
  </si>
  <si>
    <t>Zapata, Krisha Angelica</t>
  </si>
  <si>
    <t>Zarate, Jennilyn</t>
  </si>
  <si>
    <t>Zarate, Roderick</t>
  </si>
  <si>
    <t>Zuminges, German</t>
  </si>
  <si>
    <t>CLICK + TO UNHIDE</t>
  </si>
  <si>
    <t>VISITORS ATTENDANCE | HARVEST 300</t>
  </si>
  <si>
    <t>Count per filter (FN)</t>
  </si>
  <si>
    <t>#</t>
  </si>
  <si>
    <t>DATE ATTENDED</t>
  </si>
  <si>
    <t>DEPT</t>
  </si>
  <si>
    <t>LAST NAME</t>
  </si>
  <si>
    <t>FIRST NAME</t>
  </si>
  <si>
    <t>MIDDLE INITIAL</t>
  </si>
  <si>
    <t>GENDER</t>
  </si>
  <si>
    <t>STREET</t>
  </si>
  <si>
    <t>CITY ADDRESS</t>
  </si>
  <si>
    <t>PROVINCIAL ADDRESS</t>
  </si>
  <si>
    <t>CONTACT NUMBER</t>
  </si>
  <si>
    <t>EMAIL</t>
  </si>
  <si>
    <t>BIRTHDATE</t>
  </si>
  <si>
    <t>AGE</t>
  </si>
  <si>
    <t>BIRTHPLACE</t>
  </si>
  <si>
    <t>FATHER</t>
  </si>
  <si>
    <t>MOTHER</t>
  </si>
  <si>
    <t>GUEST OF (LAST, FIRST)</t>
  </si>
  <si>
    <t>INTERESTED IN BIBLE STUDY?</t>
  </si>
  <si>
    <t>AVAILABLE DAY/S</t>
  </si>
  <si>
    <t>AVAILABLE TIME</t>
  </si>
  <si>
    <t>START DATE</t>
  </si>
  <si>
    <t>ASSIGNED BIBLE STUDY TO</t>
  </si>
  <si>
    <t>CONTACT PERSON</t>
  </si>
  <si>
    <t>ADDRESS</t>
  </si>
  <si>
    <t>RELATIONSHIP</t>
  </si>
  <si>
    <t>CONTACT NUMBER2</t>
  </si>
  <si>
    <t>5</t>
  </si>
  <si>
    <t>12</t>
  </si>
  <si>
    <t>19</t>
  </si>
  <si>
    <t>26</t>
  </si>
  <si>
    <t>2</t>
  </si>
  <si>
    <t>9</t>
  </si>
  <si>
    <t>16</t>
  </si>
  <si>
    <t>23</t>
  </si>
  <si>
    <t>30</t>
  </si>
  <si>
    <t>6</t>
  </si>
  <si>
    <t>13</t>
  </si>
  <si>
    <t>20</t>
  </si>
  <si>
    <t>27</t>
  </si>
  <si>
    <t>4</t>
  </si>
  <si>
    <t>11</t>
  </si>
  <si>
    <t>18</t>
  </si>
  <si>
    <t>25</t>
  </si>
  <si>
    <t>1</t>
  </si>
  <si>
    <t>8</t>
  </si>
  <si>
    <t>15</t>
  </si>
  <si>
    <t>22</t>
  </si>
  <si>
    <t>29</t>
  </si>
  <si>
    <t>62</t>
  </si>
  <si>
    <t>133</t>
  </si>
  <si>
    <t>204</t>
  </si>
  <si>
    <t>275</t>
  </si>
  <si>
    <t>Youth</t>
  </si>
  <si>
    <t>Natalie</t>
  </si>
  <si>
    <t>Naguilian Road</t>
  </si>
  <si>
    <t>0994-351-5833</t>
  </si>
  <si>
    <t>Beninsig, Shane</t>
  </si>
  <si>
    <t>Martillana</t>
  </si>
  <si>
    <t>Harold</t>
  </si>
  <si>
    <t>0912-086-0306</t>
  </si>
  <si>
    <t>Leonardo, Maria</t>
  </si>
  <si>
    <t>Maureen</t>
  </si>
  <si>
    <t>0991-896-9611</t>
  </si>
  <si>
    <t>Federico Jr.</t>
  </si>
  <si>
    <t>Purok 5 Amparo Heights</t>
  </si>
  <si>
    <t>UPC Tandang Sora</t>
  </si>
  <si>
    <t>Cabubas</t>
  </si>
  <si>
    <t>0915-085-0587</t>
  </si>
  <si>
    <t>Anonuevo</t>
  </si>
  <si>
    <t>Ptr. Aldrin Martinez</t>
  </si>
  <si>
    <t>Magamao</t>
  </si>
  <si>
    <t>Jingle</t>
  </si>
  <si>
    <t>Guma-ad, Shyrin Nicole</t>
  </si>
  <si>
    <t>Galimba</t>
  </si>
  <si>
    <t>Jordan</t>
  </si>
  <si>
    <t>UPC San Jose City</t>
  </si>
  <si>
    <t>Jenelyn</t>
  </si>
  <si>
    <t>0908-253-8454</t>
  </si>
  <si>
    <t>Eraldo, Federico Jr.</t>
  </si>
  <si>
    <t>Irish</t>
  </si>
  <si>
    <t>Bentod</t>
  </si>
  <si>
    <t>Kharen</t>
  </si>
  <si>
    <t>0948-390-4606</t>
  </si>
  <si>
    <t>Marticio, Edna W.</t>
  </si>
  <si>
    <t>Maglalang</t>
  </si>
  <si>
    <t>Marilyn</t>
  </si>
  <si>
    <t>FB Page / Walk In</t>
  </si>
  <si>
    <t>Shalom Jed</t>
  </si>
  <si>
    <t>Arjelyn</t>
  </si>
  <si>
    <t>0907-605-3934</t>
  </si>
  <si>
    <t>UPC Gerona Tarlac</t>
  </si>
  <si>
    <t>Augustin</t>
  </si>
  <si>
    <t>Aprilin</t>
  </si>
  <si>
    <t>Ocampo</t>
  </si>
  <si>
    <t>Aileene</t>
  </si>
  <si>
    <t>Ptr. Roger Capili</t>
  </si>
  <si>
    <t>Duchess Hannah</t>
  </si>
  <si>
    <t>Buan</t>
  </si>
  <si>
    <t>Abigail</t>
  </si>
  <si>
    <t>Samantha Joseph</t>
  </si>
  <si>
    <t>Ladrido</t>
  </si>
  <si>
    <t>Austin Raphael</t>
  </si>
  <si>
    <t>Athynah Ruchie</t>
  </si>
  <si>
    <t>Palomara</t>
  </si>
  <si>
    <t>Ptr. Raynon</t>
  </si>
  <si>
    <t>Jovilyn</t>
  </si>
  <si>
    <t>Cristel May</t>
  </si>
  <si>
    <t>Gabrielle</t>
  </si>
  <si>
    <t>Ptr. Raynon Palomara</t>
  </si>
  <si>
    <t>Ray Arden</t>
  </si>
  <si>
    <t>COMPLETED FORM</t>
  </si>
  <si>
    <t>Youth CG</t>
  </si>
  <si>
    <t>LM CG</t>
  </si>
  <si>
    <t>AMM CG</t>
  </si>
  <si>
    <t>BAPTIZED</t>
  </si>
  <si>
    <t>Youth CG Position</t>
  </si>
  <si>
    <t>LM CG Position</t>
  </si>
  <si>
    <t>AMM CG Position</t>
  </si>
  <si>
    <t>Nangalisan, Tuba</t>
  </si>
  <si>
    <t>Completed Form</t>
  </si>
  <si>
    <t>Full Name</t>
  </si>
  <si>
    <t>10th CG</t>
  </si>
  <si>
    <t>Members</t>
  </si>
  <si>
    <t>2 Assistant</t>
  </si>
  <si>
    <t>Lindsay Dagupen</t>
  </si>
  <si>
    <t>1 Leader</t>
  </si>
  <si>
    <t>12th CG</t>
  </si>
  <si>
    <t>Ivan Gayados</t>
  </si>
  <si>
    <t>Frederick Mago</t>
  </si>
  <si>
    <t>Mark Roston</t>
  </si>
  <si>
    <t>Mamolang</t>
  </si>
  <si>
    <t>54 A</t>
  </si>
  <si>
    <t>Dapiting Alapang</t>
  </si>
  <si>
    <t>Grant De Guzman</t>
  </si>
  <si>
    <t>Sandy De Guzman</t>
  </si>
  <si>
    <t>Claude De Ausen</t>
  </si>
  <si>
    <t>11th CG</t>
  </si>
  <si>
    <t>banaag</t>
  </si>
  <si>
    <t>Timothy Cutay</t>
  </si>
  <si>
    <t>Oliver Castro</t>
  </si>
  <si>
    <t>Tristan Jade Langgoy</t>
  </si>
  <si>
    <t>Ben Orowan</t>
  </si>
  <si>
    <t>Elena Liwes</t>
  </si>
  <si>
    <t>Chloe Kodiamat</t>
  </si>
  <si>
    <t>Daligayong</t>
  </si>
  <si>
    <t>Tadiangan Tuba</t>
  </si>
  <si>
    <t>Jhake Rhey Coyasan</t>
  </si>
  <si>
    <t>Lower Cypress Irisan</t>
  </si>
  <si>
    <t>09th CG</t>
  </si>
  <si>
    <t>Harnelle Castro**</t>
  </si>
  <si>
    <t>Goldfield Poblacion Itogon Benguet</t>
  </si>
  <si>
    <t>Shadrac Cayat</t>
  </si>
  <si>
    <t>Jessamin delos Trinos</t>
  </si>
  <si>
    <t>08th CG</t>
  </si>
  <si>
    <t>Froxh Zion A. Antonio</t>
  </si>
  <si>
    <t>Charles Agpalo</t>
  </si>
  <si>
    <t>Faith De Guzman</t>
  </si>
  <si>
    <t>Femy Akiapat</t>
  </si>
  <si>
    <t>Purok 6</t>
  </si>
  <si>
    <t>Brookspoint</t>
  </si>
  <si>
    <t>Khyzer Clark Guiamas Daskeo</t>
  </si>
  <si>
    <t>JM</t>
  </si>
  <si>
    <t>del Rosario</t>
  </si>
  <si>
    <t>Kurt Mangili</t>
  </si>
  <si>
    <t>Kenneth Torres</t>
  </si>
  <si>
    <t>Central Balili La Trinidad</t>
  </si>
  <si>
    <t>Central Tawang La Trinidad</t>
  </si>
  <si>
    <t>Cloe Morales</t>
  </si>
  <si>
    <t>Chenkie Ngaosi</t>
  </si>
  <si>
    <t>dela Cruz</t>
  </si>
  <si>
    <t>Renalyn Alcoriza</t>
  </si>
  <si>
    <t>John Lee Albing</t>
  </si>
  <si>
    <t>Khaizer Diamsay</t>
  </si>
  <si>
    <t>Kathleen Torres</t>
  </si>
  <si>
    <t>Alexis Prado</t>
  </si>
  <si>
    <t>Tom Jeff Macayya</t>
  </si>
  <si>
    <t>Janine Lipaen</t>
  </si>
  <si>
    <t>Harell</t>
  </si>
  <si>
    <t>Raymond Ferreras</t>
  </si>
  <si>
    <t>Jun Alister</t>
  </si>
  <si>
    <t>Kzy Sacla</t>
  </si>
  <si>
    <t>Gracelyn Wanas</t>
  </si>
  <si>
    <t>Clarissa Tacbas</t>
  </si>
  <si>
    <t>Liquette Sawad</t>
  </si>
  <si>
    <t>Lot 7A Blk 2 Onyx St</t>
  </si>
  <si>
    <t>NPC Irisan</t>
  </si>
  <si>
    <t>Naphtali Felipe</t>
  </si>
  <si>
    <t>Nathaniel Felipe</t>
  </si>
  <si>
    <t>Edison Quintero Jr</t>
  </si>
  <si>
    <t>Fajad Dimasangca</t>
  </si>
  <si>
    <t>Belle Gayados</t>
  </si>
  <si>
    <t>Cleo Jean Gayados</t>
  </si>
  <si>
    <t>batalao</t>
  </si>
  <si>
    <t>Kristine Chole</t>
  </si>
  <si>
    <t>Sto.Tomas Proper</t>
  </si>
  <si>
    <t>AR 073</t>
  </si>
  <si>
    <t>Ambiong Riverside La Trinidad</t>
  </si>
  <si>
    <t>Joshua Caboles Bonilla</t>
  </si>
  <si>
    <t>Mark Rener Caboles Bonilla</t>
  </si>
  <si>
    <t>Ambiong La Trinidad</t>
  </si>
  <si>
    <t>Ashley Terrible</t>
  </si>
  <si>
    <t>Lysette Anne Castro</t>
  </si>
  <si>
    <t>Ryan Hughes</t>
  </si>
  <si>
    <t>Jhed Coyasan</t>
  </si>
  <si>
    <t>Lyza Mae Domigsi</t>
  </si>
  <si>
    <t>Jasmine Salicob</t>
  </si>
  <si>
    <t>Andrea Kodiamat</t>
  </si>
  <si>
    <t>Leah-mar Wanas</t>
  </si>
  <si>
    <t>Harvey Amplogio</t>
  </si>
  <si>
    <t>Lemuel Garcia</t>
  </si>
  <si>
    <t>Zhoilo Amplogio</t>
  </si>
  <si>
    <t>Lubas La Trinidad</t>
  </si>
  <si>
    <t>Martin Aileslee B. Ayungo III</t>
  </si>
  <si>
    <t>John Ezekiel Zapata</t>
  </si>
  <si>
    <t>Markgil Mejia</t>
  </si>
  <si>
    <t>Aiko Htwe</t>
  </si>
  <si>
    <t>Angie Laraya</t>
  </si>
  <si>
    <t>Gabrielle Troi T. Balinggan</t>
  </si>
  <si>
    <t>Troy Kenneth Apolinario</t>
  </si>
  <si>
    <t>Khraenzhell Caragay</t>
  </si>
  <si>
    <t>Count of Status</t>
  </si>
  <si>
    <t>Geralyn Minog</t>
  </si>
  <si>
    <t>Rafael Jemiah Tapnio</t>
  </si>
  <si>
    <t>Guiana Tayaban</t>
  </si>
  <si>
    <t>Joshua Thans Dangla</t>
  </si>
  <si>
    <t>Krisha Camille Cruz</t>
  </si>
  <si>
    <t>08th CG Total</t>
  </si>
  <si>
    <t xml:space="preserve">Froxh Zion A. Antonio </t>
  </si>
  <si>
    <t xml:space="preserve">Charles Agpalo </t>
  </si>
  <si>
    <t>Jeremiah Josh Manadao</t>
  </si>
  <si>
    <t>Arianah Venisse Dacanay</t>
  </si>
  <si>
    <t>Axel Alcantara</t>
  </si>
  <si>
    <t>Danielle Mamaril</t>
  </si>
  <si>
    <t>09th CG Total</t>
  </si>
  <si>
    <t xml:space="preserve">Faith De Guzman </t>
  </si>
  <si>
    <t xml:space="preserve">Femy Akiapat </t>
  </si>
  <si>
    <t>Trisha Joyce Dacanay</t>
  </si>
  <si>
    <t>Aurony John Taloban</t>
  </si>
  <si>
    <t>Jamaica Castillejo</t>
  </si>
  <si>
    <t>Juneafel Kate Lipaen</t>
  </si>
  <si>
    <t>10th CG Total</t>
  </si>
  <si>
    <t xml:space="preserve">Khyzer Clark Guiamas Daskeo </t>
  </si>
  <si>
    <t>Kleinny May Daskeo</t>
  </si>
  <si>
    <t>JM del Rosario</t>
  </si>
  <si>
    <t xml:space="preserve">Kenneth Torres </t>
  </si>
  <si>
    <t xml:space="preserve">Kurt Mangili </t>
  </si>
  <si>
    <t>11th CG Total</t>
  </si>
  <si>
    <t>Christopher Steve Tinacba</t>
  </si>
  <si>
    <t>Jinky Mae Cabbigat</t>
  </si>
  <si>
    <t xml:space="preserve">Chenkie Ngaosi </t>
  </si>
  <si>
    <t xml:space="preserve">Fajad Dimasangca </t>
  </si>
  <si>
    <t>Linelle Garcia</t>
  </si>
  <si>
    <t>Yamiela Andrei Rafael</t>
  </si>
  <si>
    <t>12th CG Total</t>
  </si>
  <si>
    <t>Journey Ryan Bañez</t>
  </si>
  <si>
    <t>Arabea Bless Taloban</t>
  </si>
  <si>
    <t>Jeehan Jane Castillejo</t>
  </si>
  <si>
    <t xml:space="preserve">Lindsay Dagupen </t>
  </si>
  <si>
    <t>Lovely Donaire</t>
  </si>
  <si>
    <t>Elijah Total</t>
  </si>
  <si>
    <t xml:space="preserve">Frederick Mago </t>
  </si>
  <si>
    <t xml:space="preserve">Ivan Gayados </t>
  </si>
  <si>
    <t>Mark Roston Mamolang</t>
  </si>
  <si>
    <t>Alechk Tamo</t>
  </si>
  <si>
    <t xml:space="preserve">Claude De Ausen </t>
  </si>
  <si>
    <t>Elisha Total</t>
  </si>
  <si>
    <t xml:space="preserve">Grant De Guzman </t>
  </si>
  <si>
    <t>Kurt Rhanz Gabryl Pacsi</t>
  </si>
  <si>
    <t xml:space="preserve">Sandy De Guzman </t>
  </si>
  <si>
    <t>Nathaniel Prado</t>
  </si>
  <si>
    <t>Hyphen Total</t>
  </si>
  <si>
    <t>Hervie Kate Badilla</t>
  </si>
  <si>
    <t>Aldgeryne Faith banaag</t>
  </si>
  <si>
    <t>Fe Wakit</t>
  </si>
  <si>
    <t>Geraldine Marijoe banaag</t>
  </si>
  <si>
    <t>Jonaira Castillejo</t>
  </si>
  <si>
    <t xml:space="preserve">Oliver Castro </t>
  </si>
  <si>
    <t>Isaac Total</t>
  </si>
  <si>
    <t xml:space="preserve">Timothy Cutay </t>
  </si>
  <si>
    <t>Katrina Maguddayao</t>
  </si>
  <si>
    <t>Shieba Pino</t>
  </si>
  <si>
    <t xml:space="preserve">Ben Orowan </t>
  </si>
  <si>
    <t xml:space="preserve">Elena Liwes </t>
  </si>
  <si>
    <t>Sherman AJ Daiwey</t>
  </si>
  <si>
    <t>Joshua Total</t>
  </si>
  <si>
    <t xml:space="preserve">Tristan Jade Langgoy </t>
  </si>
  <si>
    <t>Chalisa Jasmine Tacbas</t>
  </si>
  <si>
    <t xml:space="preserve">Chloe Kodiamat </t>
  </si>
  <si>
    <t xml:space="preserve">Harnelle Castro** </t>
  </si>
  <si>
    <t>Hiede Cattleyah Dangla</t>
  </si>
  <si>
    <t>Jubilee Prado</t>
  </si>
  <si>
    <t>Moses Total</t>
  </si>
  <si>
    <t>Mira Grace Quintero</t>
  </si>
  <si>
    <t>Aira May Wakit</t>
  </si>
  <si>
    <t xml:space="preserve">Cloe Morales </t>
  </si>
  <si>
    <t xml:space="preserve">Jessamin delos Trinos </t>
  </si>
  <si>
    <t>Marvie Daligayong</t>
  </si>
  <si>
    <t>Paul Total</t>
  </si>
  <si>
    <t>Alvin Noel Gayados</t>
  </si>
  <si>
    <t xml:space="preserve">Jhake Rhey Coyasan </t>
  </si>
  <si>
    <t xml:space="preserve">Shadrac Cayat </t>
  </si>
  <si>
    <t>Alpha May Albing</t>
  </si>
  <si>
    <t>Ramon Christopher Prado</t>
  </si>
  <si>
    <t>Clea Reins Morales</t>
  </si>
  <si>
    <t>Timothy Total</t>
  </si>
  <si>
    <t>Jairo Tristan Wasian</t>
  </si>
  <si>
    <t>(blank)</t>
  </si>
  <si>
    <t>Kristine Chole Bambao</t>
  </si>
  <si>
    <t>(blank) Total</t>
  </si>
  <si>
    <t>Matt Rodjun Wasian</t>
  </si>
  <si>
    <t>Grand Total</t>
  </si>
  <si>
    <t>Dani dela Cruz</t>
  </si>
  <si>
    <t xml:space="preserve">John Lee Albing </t>
  </si>
  <si>
    <t xml:space="preserve">Renalyn Alcoriza </t>
  </si>
  <si>
    <t>Havilah Leigh Daiwey</t>
  </si>
  <si>
    <t>Jenessa Faith Solis</t>
  </si>
  <si>
    <t xml:space="preserve">Kathleen Torres </t>
  </si>
  <si>
    <t xml:space="preserve">Khaizer Diamsay </t>
  </si>
  <si>
    <t>Aubrine Grace Lipaen</t>
  </si>
  <si>
    <t>Harell Castro</t>
  </si>
  <si>
    <t xml:space="preserve">Alexis Prado </t>
  </si>
  <si>
    <t xml:space="preserve">Janine Lipaen </t>
  </si>
  <si>
    <t>Jimuel John Pay-an</t>
  </si>
  <si>
    <t xml:space="preserve">Tom Jeff Macayya </t>
  </si>
  <si>
    <t xml:space="preserve">Jun Alister </t>
  </si>
  <si>
    <t xml:space="preserve">Raymond Ferreras </t>
  </si>
  <si>
    <t xml:space="preserve">Gracelyn Wanas </t>
  </si>
  <si>
    <t xml:space="preserve">Kzy Sacla </t>
  </si>
  <si>
    <t xml:space="preserve">Clarissa Tacbas </t>
  </si>
  <si>
    <t>Geraldine Feliciano</t>
  </si>
  <si>
    <t xml:space="preserve">Liquette Sawad </t>
  </si>
  <si>
    <t>Sharon Padupad</t>
  </si>
  <si>
    <t>Michael Mendoza</t>
  </si>
  <si>
    <t>Demerie Joy Matias</t>
  </si>
  <si>
    <t>Eriberto Regoso</t>
  </si>
  <si>
    <t>Rodalyn Tomas</t>
  </si>
  <si>
    <t>Urany Marie Way-yas</t>
  </si>
  <si>
    <t>Kimberly Doligas</t>
  </si>
  <si>
    <t>Gideon Feliciano</t>
  </si>
  <si>
    <t>John Andrew Mago</t>
  </si>
  <si>
    <t>Gylrihs Gem Basilio</t>
  </si>
  <si>
    <t>Althea Faith Misa</t>
  </si>
  <si>
    <t>Mykaela Talbo</t>
  </si>
  <si>
    <t>Ruth Misa</t>
  </si>
  <si>
    <t>James Raguindin</t>
  </si>
  <si>
    <t>Jasem Raguindin</t>
  </si>
  <si>
    <t xml:space="preserve">Naphtali Felipe </t>
  </si>
  <si>
    <t xml:space="preserve">Nathaniel Felipe </t>
  </si>
  <si>
    <t>Kyla Patchang</t>
  </si>
  <si>
    <t xml:space="preserve">Edison Quintero Jr </t>
  </si>
  <si>
    <t>Marvin Tindo</t>
  </si>
  <si>
    <t>Melvin Josh Tindo</t>
  </si>
  <si>
    <t>Jonathan Camodag</t>
  </si>
  <si>
    <t>Krisha Angelica Zapata</t>
  </si>
  <si>
    <t>Cedrick Aron Cruz</t>
  </si>
  <si>
    <t>Hezekiah Mamaril</t>
  </si>
  <si>
    <t>Jacob Emmanuel Mago</t>
  </si>
  <si>
    <t>Jonabel Ann Solis</t>
  </si>
  <si>
    <t>Jonel Briones</t>
  </si>
  <si>
    <t>Krhystel Anne Lee</t>
  </si>
  <si>
    <t xml:space="preserve">Belle Gayados </t>
  </si>
  <si>
    <t xml:space="preserve">Cleo Jean Gayados </t>
  </si>
  <si>
    <t>Jonathan batalao</t>
  </si>
  <si>
    <t>Ezekiel Kiddagan</t>
  </si>
  <si>
    <t>Mark Bokket</t>
  </si>
  <si>
    <t>Nathaniel Bokket</t>
  </si>
  <si>
    <t>Emmanuel Prado</t>
  </si>
  <si>
    <t>Glory Anne Camodag</t>
  </si>
  <si>
    <t>Athena Grace Camodag</t>
  </si>
  <si>
    <t>Gwyneth Janielle Quevedo</t>
  </si>
  <si>
    <t>Jairah May Apilada</t>
  </si>
  <si>
    <t>Regine Rato</t>
  </si>
  <si>
    <t xml:space="preserve">Joshua Caboles Bonilla </t>
  </si>
  <si>
    <t xml:space="preserve">Mark Rener Caboles Bonilla </t>
  </si>
  <si>
    <t>Arman Angelo Apilada</t>
  </si>
  <si>
    <t xml:space="preserve">Ashley Terrible </t>
  </si>
  <si>
    <t xml:space="preserve">Lysette Anne Castro </t>
  </si>
  <si>
    <t xml:space="preserve">Ryan Hughes </t>
  </si>
  <si>
    <t>Ephraim Wong</t>
  </si>
  <si>
    <t xml:space="preserve">Jhed Coyasan </t>
  </si>
  <si>
    <t>Mary Jane Lomibao</t>
  </si>
  <si>
    <t>Geno Rey Naimes</t>
  </si>
  <si>
    <t>Amela Grace Albing</t>
  </si>
  <si>
    <t>Caryl Kaye Cabay</t>
  </si>
  <si>
    <t>Chansen Dave Cabay</t>
  </si>
  <si>
    <t xml:space="preserve">Lyza Mae Domigsi </t>
  </si>
  <si>
    <t xml:space="preserve">Andrea Kodiamat </t>
  </si>
  <si>
    <t xml:space="preserve">Jasmine Salicob </t>
  </si>
  <si>
    <t xml:space="preserve">Leah-mar Wanas </t>
  </si>
  <si>
    <t>Nathaniel batalao</t>
  </si>
  <si>
    <t xml:space="preserve">Harvey Amplogio </t>
  </si>
  <si>
    <t>Henzy Giovan Castro</t>
  </si>
  <si>
    <t xml:space="preserve">Lemuel Garcia </t>
  </si>
  <si>
    <t xml:space="preserve">Zhoilo Amplogio </t>
  </si>
  <si>
    <t>Ruth Naimes</t>
  </si>
  <si>
    <t>Geryl Ann Basilio</t>
  </si>
  <si>
    <t xml:space="preserve">John Ezekiel Zapata </t>
  </si>
  <si>
    <t>Kate Ann Caragay</t>
  </si>
  <si>
    <t xml:space="preserve">Martin Aileslee B. Ayungo III </t>
  </si>
  <si>
    <t>Michael Mabanglo</t>
  </si>
  <si>
    <t xml:space="preserve">Aiko Htwe </t>
  </si>
  <si>
    <t xml:space="preserve">Angie Laraya </t>
  </si>
  <si>
    <t xml:space="preserve">Markgil Mejia </t>
  </si>
  <si>
    <t>Trent Jordan Manadao</t>
  </si>
  <si>
    <t xml:space="preserve">Gabrielle Troi T. Balinggan </t>
  </si>
  <si>
    <t xml:space="preserve">Khraenzhell Caragay </t>
  </si>
  <si>
    <t xml:space="preserve">Troy Kenneth Apolinario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</si>
</sst>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C09]dd\-mmm\-yy"/>
    <numFmt numFmtId="179" formatCode="[$-3409]mmmm\ dd\,\ yyyy"/>
    <numFmt numFmtId="180" formatCode="h:mm\ AM/PM"/>
    <numFmt numFmtId="181" formatCode="mmmm&quot; &quot;d&quot;, &quot;yyyy"/>
    <numFmt numFmtId="182" formatCode="dd/mm/yyyy"/>
    <numFmt numFmtId="183" formatCode="d/m/yyyy"/>
  </numFmts>
  <fonts count="54">
    <font>
      <sz val="11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theme="1"/>
      <name val="Aptos Narrow"/>
      <charset val="134"/>
    </font>
    <font>
      <u/>
      <sz val="11"/>
      <color rgb="FF0000FF"/>
      <name val="Aptos Narrow"/>
      <charset val="134"/>
    </font>
    <font>
      <b/>
      <sz val="11"/>
      <color theme="1"/>
      <name val="Aptos Narrow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</font>
    <font>
      <b/>
      <sz val="18"/>
      <color rgb="FFFFC000"/>
      <name val="Aptos Narrow"/>
      <charset val="134"/>
    </font>
    <font>
      <sz val="11"/>
      <color rgb="FFFFC000"/>
      <name val="Aptos Narrow"/>
      <charset val="134"/>
    </font>
    <font>
      <b/>
      <sz val="11"/>
      <color rgb="FFFF0000"/>
      <name val="Aptos Narrow"/>
      <charset val="134"/>
    </font>
    <font>
      <b/>
      <sz val="28"/>
      <color theme="1"/>
      <name val="Aptos Narrow"/>
      <charset val="134"/>
    </font>
    <font>
      <b/>
      <sz val="12"/>
      <color rgb="FFFF0000"/>
      <name val="Aptos Narrow"/>
      <charset val="134"/>
    </font>
    <font>
      <b/>
      <sz val="16"/>
      <color theme="1"/>
      <name val="Aptos Narrow"/>
      <charset val="134"/>
    </font>
    <font>
      <sz val="11"/>
      <name val="Arial"/>
      <charset val="134"/>
      <scheme val="minor"/>
    </font>
    <font>
      <b/>
      <sz val="11"/>
      <color theme="1"/>
      <name val="Calibri"/>
      <charset val="134"/>
    </font>
    <font>
      <b/>
      <sz val="11"/>
      <color rgb="FFFFC000"/>
      <name val="Aptos Narrow"/>
      <charset val="134"/>
    </font>
    <font>
      <b/>
      <sz val="10"/>
      <color rgb="FFFFC000"/>
      <name val="Arial"/>
      <charset val="134"/>
    </font>
    <font>
      <b/>
      <sz val="11"/>
      <color rgb="FFFFC000"/>
      <name val="Arial"/>
      <charset val="134"/>
    </font>
    <font>
      <sz val="11"/>
      <color theme="1"/>
      <name val="Noto Sans Symbols"/>
      <charset val="134"/>
    </font>
    <font>
      <sz val="11"/>
      <color theme="1"/>
      <name val="&quot;Arial&quot;"/>
      <charset val="134"/>
    </font>
    <font>
      <sz val="11"/>
      <color rgb="FFFFFFFF"/>
      <name val="Arial"/>
      <charset val="134"/>
    </font>
    <font>
      <b/>
      <sz val="11"/>
      <color rgb="FFFFFFFF"/>
      <name val="Arial"/>
      <charset val="134"/>
    </font>
    <font>
      <b/>
      <sz val="11"/>
      <color rgb="FFB7B7B7"/>
      <name val="Arial"/>
      <charset val="134"/>
    </font>
    <font>
      <b/>
      <sz val="11"/>
      <color theme="1"/>
      <name val="Arial"/>
      <charset val="134"/>
      <scheme val="minor"/>
    </font>
    <font>
      <sz val="11"/>
      <color rgb="FFFFFFFF"/>
      <name val="Aptos Narrow"/>
      <charset val="134"/>
    </font>
    <font>
      <sz val="11"/>
      <color rgb="FFFFFFFF"/>
      <name val="Noto Sans Symbols"/>
      <charset val="134"/>
    </font>
    <font>
      <b/>
      <sz val="30"/>
      <color theme="1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b/>
      <sz val="10"/>
      <color theme="1"/>
      <name val="Arial"/>
      <charset val="134"/>
    </font>
    <font>
      <b/>
      <sz val="11"/>
      <color theme="1"/>
      <name val="Arial"/>
      <charset val="134"/>
    </font>
    <font>
      <u/>
      <sz val="11"/>
      <color theme="1"/>
      <name val="Aptos Narrow"/>
      <charset val="134"/>
    </font>
    <font>
      <b/>
      <sz val="18"/>
      <color theme="1"/>
      <name val="Aptos Narrow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u/>
      <sz val="12"/>
      <color rgb="FFFF0000"/>
      <name val="Aptos Narrow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D9F2D0"/>
        <bgColor rgb="FFD9F2D0"/>
      </patternFill>
    </fill>
    <fill>
      <patternFill patternType="solid">
        <fgColor rgb="FFA6C9EB"/>
        <bgColor rgb="FFA6C9EB"/>
      </patternFill>
    </fill>
    <fill>
      <patternFill patternType="solid">
        <fgColor rgb="FFDBE9F7"/>
        <bgColor rgb="FFDBE9F7"/>
      </patternFill>
    </fill>
    <fill>
      <patternFill patternType="solid">
        <fgColor rgb="FFD8D8D8"/>
        <bgColor rgb="FFD8D8D8"/>
      </patternFill>
    </fill>
    <fill>
      <patternFill patternType="solid">
        <fgColor rgb="FF0F4861"/>
        <bgColor rgb="FF0F4861"/>
      </patternFill>
    </fill>
    <fill>
      <patternFill patternType="solid">
        <fgColor rgb="FF215E99"/>
        <bgColor rgb="FF215E99"/>
      </patternFill>
    </fill>
    <fill>
      <patternFill patternType="solid">
        <fgColor rgb="FF074F6A"/>
        <bgColor rgb="FF074F6A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FFC000"/>
        <bgColor rgb="FFFFC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45B0E1"/>
      </top>
      <bottom style="thin">
        <color rgb="FF45B0E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45B0E1"/>
      </right>
      <top style="thin">
        <color rgb="FF45B0E1"/>
      </top>
      <bottom style="thin">
        <color rgb="FF45B0E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18" borderId="31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32" applyNumberFormat="0" applyFill="0" applyAlignment="0" applyProtection="0">
      <alignment vertical="center"/>
    </xf>
    <xf numFmtId="0" fontId="40" fillId="0" borderId="32" applyNumberFormat="0" applyFill="0" applyAlignment="0" applyProtection="0">
      <alignment vertical="center"/>
    </xf>
    <xf numFmtId="0" fontId="41" fillId="0" borderId="33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9" borderId="34" applyNumberFormat="0" applyAlignment="0" applyProtection="0">
      <alignment vertical="center"/>
    </xf>
    <xf numFmtId="0" fontId="43" fillId="20" borderId="35" applyNumberFormat="0" applyAlignment="0" applyProtection="0">
      <alignment vertical="center"/>
    </xf>
    <xf numFmtId="0" fontId="44" fillId="20" borderId="34" applyNumberFormat="0" applyAlignment="0" applyProtection="0">
      <alignment vertical="center"/>
    </xf>
    <xf numFmtId="0" fontId="45" fillId="21" borderId="36" applyNumberFormat="0" applyAlignment="0" applyProtection="0">
      <alignment vertical="center"/>
    </xf>
    <xf numFmtId="0" fontId="46" fillId="0" borderId="37" applyNumberFormat="0" applyFill="0" applyAlignment="0" applyProtection="0">
      <alignment vertical="center"/>
    </xf>
    <xf numFmtId="0" fontId="47" fillId="0" borderId="38" applyNumberFormat="0" applyFill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1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1" fillId="48" borderId="0" applyNumberFormat="0" applyBorder="0" applyAlignment="0" applyProtection="0">
      <alignment vertical="center"/>
    </xf>
  </cellStyleXfs>
  <cellXfs count="232">
    <xf numFmtId="0" fontId="0" fillId="0" borderId="0" xfId="0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4" xfId="0" applyFont="1" applyBorder="1" applyAlignment="1"/>
    <xf numFmtId="0" fontId="1" fillId="0" borderId="0" xfId="0" applyFont="1"/>
    <xf numFmtId="0" fontId="2" fillId="0" borderId="0" xfId="0" applyFont="1"/>
    <xf numFmtId="178" fontId="2" fillId="0" borderId="0" xfId="0" applyNumberFormat="1" applyFont="1"/>
    <xf numFmtId="1" fontId="2" fillId="0" borderId="0" xfId="0" applyNumberFormat="1" applyFont="1"/>
    <xf numFmtId="178" fontId="2" fillId="0" borderId="0" xfId="0" applyNumberFormat="1" applyFont="1" applyAlignment="1">
      <alignment horizontal="right"/>
    </xf>
    <xf numFmtId="1" fontId="3" fillId="0" borderId="0" xfId="0" applyNumberFormat="1" applyFont="1"/>
    <xf numFmtId="0" fontId="2" fillId="0" borderId="0" xfId="0" applyFont="1" applyAlignment="1">
      <alignment vertical="center"/>
    </xf>
    <xf numFmtId="0" fontId="2" fillId="2" borderId="0" xfId="0" applyFont="1" applyFill="1" applyBorder="1"/>
    <xf numFmtId="0" fontId="4" fillId="0" borderId="0" xfId="0" applyFont="1"/>
    <xf numFmtId="0" fontId="2" fillId="0" borderId="0" xfId="0" applyFont="1" applyAlignment="1">
      <alignment horizontal="right"/>
    </xf>
    <xf numFmtId="0" fontId="2" fillId="3" borderId="0" xfId="0" applyFont="1" applyFill="1" applyBorder="1"/>
    <xf numFmtId="0" fontId="5" fillId="4" borderId="10" xfId="0" applyFont="1" applyFill="1" applyBorder="1"/>
    <xf numFmtId="0" fontId="5" fillId="4" borderId="11" xfId="0" applyFont="1" applyFill="1" applyBorder="1"/>
    <xf numFmtId="0" fontId="3" fillId="5" borderId="11" xfId="0" applyFont="1" applyFill="1" applyBorder="1"/>
    <xf numFmtId="0" fontId="3" fillId="5" borderId="12" xfId="0" applyFont="1" applyFill="1" applyBorder="1"/>
    <xf numFmtId="0" fontId="3" fillId="0" borderId="0" xfId="0" applyFont="1"/>
    <xf numFmtId="0" fontId="6" fillId="5" borderId="11" xfId="0" applyFont="1" applyFill="1" applyBorder="1" applyAlignment="1"/>
    <xf numFmtId="0" fontId="7" fillId="0" borderId="0" xfId="0" applyFont="1" applyAlignment="1">
      <alignment horizontal="left"/>
    </xf>
    <xf numFmtId="179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17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/>
    </xf>
    <xf numFmtId="180" fontId="3" fillId="0" borderId="0" xfId="0" applyNumberFormat="1" applyFont="1" applyAlignment="1">
      <alignment horizontal="center" vertical="center"/>
    </xf>
    <xf numFmtId="58" fontId="3" fillId="0" borderId="0" xfId="0" applyNumberFormat="1" applyFont="1" applyAlignment="1">
      <alignment horizontal="center"/>
    </xf>
    <xf numFmtId="0" fontId="3" fillId="6" borderId="0" xfId="0" applyFont="1" applyFill="1" applyBorder="1"/>
    <xf numFmtId="0" fontId="8" fillId="7" borderId="0" xfId="0" applyFont="1" applyFill="1" applyBorder="1"/>
    <xf numFmtId="0" fontId="8" fillId="7" borderId="0" xfId="0" applyFont="1" applyFill="1" applyBorder="1" applyAlignment="1">
      <alignment horizontal="center" vertical="center"/>
    </xf>
    <xf numFmtId="0" fontId="9" fillId="7" borderId="0" xfId="0" applyFont="1" applyFill="1" applyBorder="1"/>
    <xf numFmtId="0" fontId="9" fillId="7" borderId="0" xfId="0" applyFont="1" applyFill="1" applyBorder="1" applyAlignment="1">
      <alignment horizontal="center" vertical="center"/>
    </xf>
    <xf numFmtId="0" fontId="9" fillId="7" borderId="0" xfId="0" applyFont="1" applyFill="1" applyBorder="1" applyAlignment="1">
      <alignment horizontal="left" vertical="center"/>
    </xf>
    <xf numFmtId="58" fontId="9" fillId="7" borderId="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textRotation="90"/>
    </xf>
    <xf numFmtId="0" fontId="11" fillId="7" borderId="0" xfId="0" applyFont="1" applyFill="1" applyBorder="1"/>
    <xf numFmtId="0" fontId="11" fillId="7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8" borderId="13" xfId="0" applyFont="1" applyFill="1" applyBorder="1" applyAlignment="1">
      <alignment horizontal="center" vertical="center"/>
    </xf>
    <xf numFmtId="0" fontId="14" fillId="0" borderId="13" xfId="0" applyFont="1" applyBorder="1"/>
    <xf numFmtId="0" fontId="15" fillId="0" borderId="0" xfId="0" applyFont="1" applyAlignment="1">
      <alignment horizontal="center"/>
    </xf>
    <xf numFmtId="179" fontId="10" fillId="0" borderId="0" xfId="0" applyNumberFormat="1" applyFont="1"/>
    <xf numFmtId="0" fontId="16" fillId="7" borderId="14" xfId="0" applyFont="1" applyFill="1" applyBorder="1" applyAlignment="1">
      <alignment horizontal="center" vertical="center"/>
    </xf>
    <xf numFmtId="0" fontId="14" fillId="0" borderId="15" xfId="0" applyFont="1" applyBorder="1"/>
    <xf numFmtId="0" fontId="14" fillId="0" borderId="16" xfId="0" applyFont="1" applyBorder="1"/>
    <xf numFmtId="0" fontId="15" fillId="7" borderId="17" xfId="0" applyFont="1" applyFill="1" applyBorder="1" applyAlignment="1">
      <alignment horizontal="center" vertical="center" wrapText="1"/>
    </xf>
    <xf numFmtId="0" fontId="15" fillId="7" borderId="18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79" fontId="16" fillId="7" borderId="0" xfId="0" applyNumberFormat="1" applyFont="1" applyFill="1" applyBorder="1" applyAlignment="1">
      <alignment horizontal="center" vertical="center" wrapText="1"/>
    </xf>
    <xf numFmtId="0" fontId="17" fillId="7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179" fontId="17" fillId="7" borderId="0" xfId="0" applyNumberFormat="1" applyFont="1" applyFill="1" applyBorder="1" applyAlignment="1">
      <alignment horizontal="center" vertical="center" wrapText="1"/>
    </xf>
    <xf numFmtId="0" fontId="16" fillId="7" borderId="0" xfId="0" applyFont="1" applyFill="1" applyBorder="1" applyAlignment="1">
      <alignment horizontal="center" vertical="center" wrapText="1"/>
    </xf>
    <xf numFmtId="0" fontId="18" fillId="7" borderId="0" xfId="0" applyFont="1" applyFill="1" applyBorder="1" applyAlignment="1">
      <alignment horizontal="left" vertical="center" wrapText="1"/>
    </xf>
    <xf numFmtId="180" fontId="16" fillId="7" borderId="0" xfId="0" applyNumberFormat="1" applyFont="1" applyFill="1" applyBorder="1" applyAlignment="1">
      <alignment horizontal="center" vertical="center" wrapText="1"/>
    </xf>
    <xf numFmtId="58" fontId="16" fillId="7" borderId="19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9" borderId="17" xfId="0" applyFont="1" applyFill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center" vertical="center" wrapText="1"/>
    </xf>
    <xf numFmtId="0" fontId="5" fillId="9" borderId="0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79" fontId="16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179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179" fontId="16" fillId="0" borderId="0" xfId="0" applyNumberFormat="1" applyFont="1" applyAlignment="1">
      <alignment horizontal="center" vertical="center"/>
    </xf>
    <xf numFmtId="180" fontId="16" fillId="0" borderId="0" xfId="0" applyNumberFormat="1" applyFont="1" applyAlignment="1">
      <alignment horizontal="center" vertical="center"/>
    </xf>
    <xf numFmtId="58" fontId="16" fillId="0" borderId="0" xfId="0" applyNumberFormat="1" applyFont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18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9" fillId="0" borderId="21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0" fillId="0" borderId="0" xfId="0" applyFont="1" applyAlignment="1"/>
    <xf numFmtId="1" fontId="6" fillId="0" borderId="0" xfId="0" applyNumberFormat="1" applyFont="1" applyAlignment="1">
      <alignment horizontal="center" vertical="center"/>
    </xf>
    <xf numFmtId="58" fontId="3" fillId="0" borderId="0" xfId="0" applyNumberFormat="1" applyFont="1" applyAlignment="1">
      <alignment horizontal="center" vertical="center"/>
    </xf>
    <xf numFmtId="179" fontId="3" fillId="0" borderId="0" xfId="0" applyNumberFormat="1" applyFont="1"/>
    <xf numFmtId="0" fontId="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9" fillId="6" borderId="0" xfId="0" applyFont="1" applyFill="1" applyBorder="1"/>
    <xf numFmtId="0" fontId="22" fillId="0" borderId="0" xfId="0" applyFont="1" applyAlignment="1">
      <alignment horizontal="center"/>
    </xf>
    <xf numFmtId="0" fontId="16" fillId="7" borderId="0" xfId="0" applyFont="1" applyFill="1" applyBorder="1"/>
    <xf numFmtId="0" fontId="16" fillId="7" borderId="17" xfId="0" applyFont="1" applyFill="1" applyBorder="1" applyAlignment="1">
      <alignment horizontal="center" vertical="center"/>
    </xf>
    <xf numFmtId="0" fontId="16" fillId="7" borderId="20" xfId="0" applyFont="1" applyFill="1" applyBorder="1" applyAlignment="1">
      <alignment horizontal="center" vertical="center"/>
    </xf>
    <xf numFmtId="0" fontId="16" fillId="7" borderId="18" xfId="0" applyFont="1" applyFill="1" applyBorder="1" applyAlignment="1">
      <alignment horizontal="center" vertical="center"/>
    </xf>
    <xf numFmtId="0" fontId="16" fillId="7" borderId="0" xfId="0" applyFont="1" applyFill="1" applyBorder="1" applyAlignment="1">
      <alignment horizontal="center" vertical="center"/>
    </xf>
    <xf numFmtId="0" fontId="16" fillId="7" borderId="21" xfId="0" applyFont="1" applyFill="1" applyBorder="1" applyAlignment="1">
      <alignment horizontal="center" vertical="center"/>
    </xf>
    <xf numFmtId="0" fontId="16" fillId="7" borderId="22" xfId="0" applyFont="1" applyFill="1" applyBorder="1" applyAlignment="1">
      <alignment horizontal="center" vertical="center"/>
    </xf>
    <xf numFmtId="0" fontId="23" fillId="10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5" fillId="10" borderId="0" xfId="0" applyFont="1" applyFill="1" applyAlignment="1">
      <alignment horizontal="left"/>
    </xf>
    <xf numFmtId="0" fontId="24" fillId="10" borderId="0" xfId="0" applyFont="1" applyFill="1" applyAlignment="1">
      <alignment horizontal="center"/>
    </xf>
    <xf numFmtId="0" fontId="5" fillId="10" borderId="21" xfId="0" applyFont="1" applyFill="1" applyBorder="1" applyAlignment="1">
      <alignment horizontal="center" vertical="center"/>
    </xf>
    <xf numFmtId="0" fontId="5" fillId="10" borderId="23" xfId="0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21" fillId="11" borderId="0" xfId="0" applyFont="1" applyFill="1" applyAlignment="1">
      <alignment horizontal="center"/>
    </xf>
    <xf numFmtId="0" fontId="25" fillId="11" borderId="0" xfId="0" applyFont="1" applyFill="1"/>
    <xf numFmtId="0" fontId="26" fillId="11" borderId="21" xfId="0" applyFont="1" applyFill="1" applyBorder="1" applyAlignment="1">
      <alignment horizontal="center" vertical="center"/>
    </xf>
    <xf numFmtId="0" fontId="26" fillId="11" borderId="23" xfId="0" applyFont="1" applyFill="1" applyBorder="1" applyAlignment="1">
      <alignment horizontal="center" vertical="center"/>
    </xf>
    <xf numFmtId="0" fontId="26" fillId="11" borderId="22" xfId="0" applyFont="1" applyFill="1" applyBorder="1" applyAlignment="1">
      <alignment horizontal="center" vertical="center"/>
    </xf>
    <xf numFmtId="0" fontId="26" fillId="11" borderId="0" xfId="0" applyFont="1" applyFill="1" applyAlignment="1">
      <alignment horizontal="center" vertical="center"/>
    </xf>
    <xf numFmtId="0" fontId="25" fillId="11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1" fillId="6" borderId="0" xfId="0" applyFont="1" applyFill="1"/>
    <xf numFmtId="0" fontId="1" fillId="6" borderId="0" xfId="0" applyFont="1" applyFill="1" applyAlignment="1"/>
    <xf numFmtId="0" fontId="19" fillId="6" borderId="21" xfId="0" applyFont="1" applyFill="1" applyBorder="1" applyAlignment="1">
      <alignment horizontal="center" vertical="center"/>
    </xf>
    <xf numFmtId="0" fontId="19" fillId="6" borderId="23" xfId="0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/>
    </xf>
    <xf numFmtId="0" fontId="1" fillId="11" borderId="0" xfId="0" applyFont="1" applyFill="1"/>
    <xf numFmtId="0" fontId="19" fillId="11" borderId="21" xfId="0" applyFont="1" applyFill="1" applyBorder="1" applyAlignment="1">
      <alignment horizontal="center" vertical="center"/>
    </xf>
    <xf numFmtId="0" fontId="19" fillId="11" borderId="23" xfId="0" applyFont="1" applyFill="1" applyBorder="1" applyAlignment="1">
      <alignment horizontal="center" vertical="center"/>
    </xf>
    <xf numFmtId="0" fontId="19" fillId="11" borderId="22" xfId="0" applyFont="1" applyFill="1" applyBorder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1" fillId="11" borderId="0" xfId="0" applyFont="1" applyFill="1" applyAlignment="1"/>
    <xf numFmtId="0" fontId="1" fillId="11" borderId="21" xfId="0" applyFont="1" applyFill="1" applyBorder="1" applyAlignment="1"/>
    <xf numFmtId="0" fontId="1" fillId="11" borderId="23" xfId="0" applyFont="1" applyFill="1" applyBorder="1"/>
    <xf numFmtId="0" fontId="1" fillId="11" borderId="22" xfId="0" applyFont="1" applyFill="1" applyBorder="1"/>
    <xf numFmtId="0" fontId="1" fillId="11" borderId="21" xfId="0" applyFont="1" applyFill="1" applyBorder="1"/>
    <xf numFmtId="0" fontId="1" fillId="6" borderId="21" xfId="0" applyFont="1" applyFill="1" applyBorder="1"/>
    <xf numFmtId="0" fontId="1" fillId="6" borderId="23" xfId="0" applyFont="1" applyFill="1" applyBorder="1"/>
    <xf numFmtId="0" fontId="1" fillId="6" borderId="23" xfId="0" applyFont="1" applyFill="1" applyBorder="1" applyAlignment="1"/>
    <xf numFmtId="0" fontId="1" fillId="6" borderId="22" xfId="0" applyFont="1" applyFill="1" applyBorder="1"/>
    <xf numFmtId="0" fontId="1" fillId="11" borderId="23" xfId="0" applyFont="1" applyFill="1" applyBorder="1" applyAlignment="1"/>
    <xf numFmtId="0" fontId="1" fillId="11" borderId="22" xfId="0" applyFont="1" applyFill="1" applyBorder="1" applyAlignment="1"/>
    <xf numFmtId="0" fontId="1" fillId="6" borderId="22" xfId="0" applyFont="1" applyFill="1" applyBorder="1" applyAlignment="1"/>
    <xf numFmtId="0" fontId="1" fillId="12" borderId="0" xfId="0" applyFont="1" applyFill="1" applyAlignment="1"/>
    <xf numFmtId="0" fontId="1" fillId="6" borderId="21" xfId="0" applyFont="1" applyFill="1" applyBorder="1" applyAlignment="1"/>
    <xf numFmtId="0" fontId="1" fillId="6" borderId="24" xfId="0" applyFont="1" applyFill="1" applyBorder="1" applyAlignment="1"/>
    <xf numFmtId="0" fontId="6" fillId="11" borderId="25" xfId="0" applyFont="1" applyFill="1" applyBorder="1" applyAlignment="1">
      <alignment horizontal="center"/>
    </xf>
    <xf numFmtId="0" fontId="1" fillId="11" borderId="11" xfId="0" applyFont="1" applyFill="1" applyBorder="1"/>
    <xf numFmtId="0" fontId="19" fillId="11" borderId="11" xfId="0" applyFont="1" applyFill="1" applyBorder="1" applyAlignment="1">
      <alignment horizontal="center" vertical="center"/>
    </xf>
    <xf numFmtId="0" fontId="3" fillId="11" borderId="26" xfId="0" applyFont="1" applyFill="1" applyBorder="1" applyAlignment="1">
      <alignment horizontal="center" vertical="center"/>
    </xf>
    <xf numFmtId="0" fontId="1" fillId="0" borderId="25" xfId="0" applyFont="1" applyBorder="1"/>
    <xf numFmtId="0" fontId="1" fillId="0" borderId="11" xfId="0" applyFont="1" applyBorder="1"/>
    <xf numFmtId="0" fontId="19" fillId="0" borderId="1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" fillId="0" borderId="11" xfId="0" applyFont="1" applyBorder="1" applyAlignment="1"/>
    <xf numFmtId="0" fontId="1" fillId="0" borderId="26" xfId="0" applyFont="1" applyBorder="1"/>
    <xf numFmtId="0" fontId="1" fillId="0" borderId="0" xfId="0" applyFont="1" applyAlignment="1"/>
    <xf numFmtId="0" fontId="1" fillId="12" borderId="11" xfId="0" applyFont="1" applyFill="1" applyBorder="1" applyAlignment="1"/>
    <xf numFmtId="0" fontId="27" fillId="0" borderId="0" xfId="0" applyFont="1" applyAlignment="1">
      <alignment horizontal="left" vertical="center"/>
    </xf>
    <xf numFmtId="0" fontId="15" fillId="7" borderId="17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/>
    </xf>
    <xf numFmtId="0" fontId="10" fillId="0" borderId="0" xfId="0" applyFont="1"/>
    <xf numFmtId="0" fontId="15" fillId="9" borderId="0" xfId="0" applyFont="1" applyFill="1" applyBorder="1" applyAlignment="1">
      <alignment horizontal="center" vertical="center" wrapText="1"/>
    </xf>
    <xf numFmtId="0" fontId="5" fillId="9" borderId="19" xfId="0" applyFont="1" applyFill="1" applyBorder="1" applyAlignment="1">
      <alignment horizontal="center" vertical="center" wrapText="1"/>
    </xf>
    <xf numFmtId="0" fontId="2" fillId="9" borderId="0" xfId="0" applyFont="1" applyFill="1" applyBorder="1" applyAlignment="1">
      <alignment horizontal="center" vertical="center" wrapText="1"/>
    </xf>
    <xf numFmtId="179" fontId="2" fillId="9" borderId="0" xfId="0" applyNumberFormat="1" applyFont="1" applyFill="1" applyBorder="1" applyAlignment="1">
      <alignment horizontal="center" vertical="center" wrapText="1"/>
    </xf>
    <xf numFmtId="1" fontId="5" fillId="9" borderId="19" xfId="0" applyNumberFormat="1" applyFont="1" applyFill="1" applyBorder="1" applyAlignment="1">
      <alignment horizontal="center" vertical="center" wrapText="1"/>
    </xf>
    <xf numFmtId="0" fontId="5" fillId="9" borderId="2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6" fillId="0" borderId="0" xfId="0" applyFont="1" applyAlignment="1"/>
    <xf numFmtId="0" fontId="15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179" fontId="7" fillId="0" borderId="0" xfId="0" applyNumberFormat="1" applyFont="1" applyAlignment="1">
      <alignment horizontal="left"/>
    </xf>
    <xf numFmtId="1" fontId="7" fillId="0" borderId="0" xfId="0" applyNumberFormat="1" applyFont="1" applyAlignment="1">
      <alignment horizontal="left"/>
    </xf>
    <xf numFmtId="0" fontId="29" fillId="0" borderId="0" xfId="0" applyFont="1" applyAlignment="1">
      <alignment horizontal="left"/>
    </xf>
    <xf numFmtId="0" fontId="7" fillId="9" borderId="0" xfId="0" applyFont="1" applyFill="1" applyBorder="1" applyAlignment="1">
      <alignment horizontal="center" vertical="center" wrapText="1"/>
    </xf>
    <xf numFmtId="179" fontId="7" fillId="9" borderId="0" xfId="0" applyNumberFormat="1" applyFont="1" applyFill="1" applyBorder="1" applyAlignment="1">
      <alignment horizontal="center" vertical="center" wrapText="1"/>
    </xf>
    <xf numFmtId="1" fontId="7" fillId="9" borderId="0" xfId="0" applyNumberFormat="1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3" fillId="13" borderId="0" xfId="0" applyFont="1" applyFill="1"/>
    <xf numFmtId="16" fontId="7" fillId="0" borderId="0" xfId="0" applyNumberFormat="1" applyFont="1" applyAlignment="1">
      <alignment horizontal="left"/>
    </xf>
    <xf numFmtId="0" fontId="3" fillId="14" borderId="0" xfId="0" applyFont="1" applyFill="1"/>
    <xf numFmtId="0" fontId="7" fillId="0" borderId="0" xfId="0" applyFont="1" applyBorder="1" applyAlignment="1">
      <alignment horizontal="left"/>
    </xf>
    <xf numFmtId="0" fontId="7" fillId="3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3" fillId="15" borderId="0" xfId="0" applyFont="1" applyFill="1"/>
    <xf numFmtId="182" fontId="7" fillId="0" borderId="0" xfId="0" applyNumberFormat="1" applyFont="1" applyAlignment="1">
      <alignment horizontal="left"/>
    </xf>
    <xf numFmtId="0" fontId="3" fillId="16" borderId="0" xfId="0" applyFont="1" applyFill="1"/>
    <xf numFmtId="0" fontId="30" fillId="9" borderId="0" xfId="0" applyFont="1" applyFill="1" applyBorder="1" applyAlignment="1">
      <alignment horizontal="center" vertical="center" wrapText="1"/>
    </xf>
    <xf numFmtId="179" fontId="30" fillId="9" borderId="0" xfId="0" applyNumberFormat="1" applyFont="1" applyFill="1" applyBorder="1" applyAlignment="1">
      <alignment horizontal="center" vertical="center" wrapText="1"/>
    </xf>
    <xf numFmtId="179" fontId="5" fillId="9" borderId="0" xfId="0" applyNumberFormat="1" applyFont="1" applyFill="1" applyBorder="1" applyAlignment="1">
      <alignment horizontal="center" vertical="center" wrapText="1"/>
    </xf>
    <xf numFmtId="0" fontId="31" fillId="9" borderId="0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/>
    </xf>
    <xf numFmtId="0" fontId="3" fillId="17" borderId="0" xfId="0" applyFont="1" applyFill="1"/>
    <xf numFmtId="0" fontId="3" fillId="14" borderId="0" xfId="0" applyFont="1" applyFill="1" applyAlignment="1">
      <alignment horizontal="left"/>
    </xf>
    <xf numFmtId="179" fontId="6" fillId="0" borderId="0" xfId="0" applyNumberFormat="1" applyFont="1" applyAlignment="1">
      <alignment horizontal="left"/>
    </xf>
    <xf numFmtId="179" fontId="6" fillId="0" borderId="0" xfId="0" applyNumberFormat="1" applyFont="1" applyAlignment="1">
      <alignment horizontal="center" vertical="center"/>
    </xf>
    <xf numFmtId="0" fontId="3" fillId="16" borderId="0" xfId="0" applyFont="1" applyFill="1" applyAlignment="1">
      <alignment horizontal="left"/>
    </xf>
    <xf numFmtId="183" fontId="3" fillId="0" borderId="0" xfId="0" applyNumberFormat="1" applyFont="1"/>
    <xf numFmtId="0" fontId="7" fillId="0" borderId="0" xfId="0" applyFont="1" applyAlignment="1">
      <alignment horizontal="left" vertical="center" wrapText="1"/>
    </xf>
    <xf numFmtId="0" fontId="30" fillId="9" borderId="0" xfId="0" applyFont="1" applyFill="1" applyBorder="1" applyAlignment="1">
      <alignment horizontal="left" vertical="center" wrapText="1"/>
    </xf>
    <xf numFmtId="179" fontId="5" fillId="9" borderId="0" xfId="0" applyNumberFormat="1" applyFont="1" applyFill="1" applyBorder="1" applyAlignment="1">
      <alignment horizontal="left" vertical="center" wrapText="1"/>
    </xf>
    <xf numFmtId="179" fontId="6" fillId="0" borderId="0" xfId="0" applyNumberFormat="1" applyFont="1" applyAlignment="1"/>
    <xf numFmtId="47" fontId="3" fillId="0" borderId="0" xfId="0" applyNumberFormat="1" applyFont="1" applyAlignment="1">
      <alignment horizontal="left"/>
    </xf>
    <xf numFmtId="0" fontId="33" fillId="0" borderId="0" xfId="0" applyFont="1"/>
    <xf numFmtId="0" fontId="5" fillId="0" borderId="14" xfId="0" applyFont="1" applyBorder="1" applyAlignment="1">
      <alignment horizontal="center"/>
    </xf>
    <xf numFmtId="0" fontId="5" fillId="0" borderId="0" xfId="0" applyFont="1"/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8" xfId="0" applyFont="1" applyBorder="1"/>
    <xf numFmtId="0" fontId="5" fillId="0" borderId="29" xfId="0" applyFont="1" applyBorder="1" applyAlignment="1">
      <alignment horizontal="center" vertical="center"/>
    </xf>
    <xf numFmtId="0" fontId="3" fillId="0" borderId="14" xfId="0" applyFont="1" applyBorder="1"/>
    <xf numFmtId="0" fontId="31" fillId="0" borderId="15" xfId="0" applyFont="1" applyBorder="1" applyAlignment="1">
      <alignment horizontal="center" vertical="center"/>
    </xf>
    <xf numFmtId="0" fontId="3" fillId="0" borderId="16" xfId="0" applyFont="1" applyBorder="1"/>
    <xf numFmtId="0" fontId="5" fillId="0" borderId="0" xfId="0" applyFont="1" applyAlignment="1">
      <alignment horizontal="center" vertical="center"/>
    </xf>
    <xf numFmtId="0" fontId="3" fillId="0" borderId="22" xfId="0" applyFont="1" applyBorder="1"/>
    <xf numFmtId="0" fontId="3" fillId="0" borderId="13" xfId="0" applyFont="1" applyBorder="1"/>
    <xf numFmtId="0" fontId="3" fillId="0" borderId="30" xfId="0" applyFont="1" applyBorder="1" applyAlignment="1">
      <alignment horizontal="center" vertical="center"/>
    </xf>
    <xf numFmtId="179" fontId="3" fillId="0" borderId="0" xfId="0" applyNumberFormat="1" applyFont="1" quotePrefix="1"/>
    <xf numFmtId="179" fontId="3" fillId="0" borderId="0" xfId="0" applyNumberFormat="1" applyFont="1" applyAlignment="1" quotePrefix="1">
      <alignment horizontal="left"/>
    </xf>
    <xf numFmtId="179" fontId="3" fillId="0" borderId="0" xfId="0" applyNumberFormat="1" applyFont="1" applyAlignment="1" quotePrefix="1">
      <alignment horizontal="center" vertical="center"/>
    </xf>
    <xf numFmtId="179" fontId="7" fillId="0" borderId="0" xfId="0" applyNumberFormat="1" applyFont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8"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ill>
        <patternFill patternType="solid">
          <fgColor rgb="FFFF7C80"/>
          <bgColor rgb="FFFF7C80"/>
        </patternFill>
      </fill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ill>
        <patternFill patternType="solid">
          <fgColor rgb="FFF1CEEE"/>
          <bgColor rgb="FFF1CEEE"/>
        </patternFill>
      </fill>
    </dxf>
    <dxf>
      <font>
        <color rgb="FF0070C0"/>
      </font>
      <fill>
        <patternFill patternType="solid">
          <fgColor rgb="FFCAEDFB"/>
          <bgColor rgb="FFCAEDFB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1"/>
        <color rgb="FF000000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Youth-style" pivot="0" count="3" xr9:uid="{5C48A9CC-1097-4D27-A0E4-98A26A48419A}">
      <tableStyleElement type="headerRow" dxfId="225"/>
      <tableStyleElement type="firstRowStripe" dxfId="224"/>
      <tableStyleElement type="secondRowStripe" dxfId="223"/>
    </tableStyle>
    <tableStyle name="AMM-style" pivot="0" count="3" xr9:uid="{BB1A2D7B-7A9A-4790-850C-89562D211E8B}">
      <tableStyleElement type="headerRow" dxfId="228"/>
      <tableStyleElement type="firstRowStripe" dxfId="227"/>
      <tableStyleElement type="secondRowStripe" dxfId="226"/>
    </tableStyle>
    <tableStyle name="LM-style" pivot="0" count="3" xr9:uid="{01DDE687-19BF-4152-8114-44E45D423F89}">
      <tableStyleElement type="headerRow" dxfId="231"/>
      <tableStyleElement type="firstRowStripe" dxfId="230"/>
      <tableStyleElement type="secondRowStripe" dxfId="229"/>
    </tableStyle>
    <tableStyle name="Childrens-style" pivot="0" count="3" xr9:uid="{1BCA150D-64F4-4C3D-AF86-FDE292962FAF}">
      <tableStyleElement type="headerRow" dxfId="234"/>
      <tableStyleElement type="firstRowStripe" dxfId="233"/>
      <tableStyleElement type="secondRowStripe" dxfId="232"/>
    </tableStyle>
    <tableStyle name="VA-H300-style" pivot="0" count="3" xr9:uid="{17171D9C-986A-4DA7-917F-C1CC0628F85A}">
      <tableStyleElement type="headerRow" dxfId="237"/>
      <tableStyleElement type="firstRowStripe" dxfId="236"/>
      <tableStyleElement type="secondRowStripe" dxfId="23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685800</xdr:colOff>
      <xdr:row>0</xdr:row>
      <xdr:rowOff>0</xdr:rowOff>
    </xdr:from>
    <xdr:ext cx="190500" cy="266700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6936740" y="0"/>
          <a:ext cx="190500" cy="266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76200</xdr:colOff>
      <xdr:row>1</xdr:row>
      <xdr:rowOff>9525</xdr:rowOff>
    </xdr:from>
    <xdr:ext cx="695325" cy="714375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76200" y="95250"/>
          <a:ext cx="695325" cy="7143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152400</xdr:colOff>
      <xdr:row>1</xdr:row>
      <xdr:rowOff>0</xdr:rowOff>
    </xdr:from>
    <xdr:ext cx="790575" cy="771525"/>
    <xdr:pic>
      <xdr:nvPicPr>
        <xdr:cNvPr id="2" name="image3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52400" y="47625"/>
          <a:ext cx="790575" cy="7715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invalid="1" refreshOnLoad="1" refreshedVersion="5" refreshedDate="46321.4799189815" refreshedBy="Lenovo" recordCount="171">
  <cacheSource type="worksheet">
    <worksheetSource ref="B1:E371" sheet="Youth masterlist - 12 CG"/>
  </cacheSource>
  <cacheFields count="4">
    <cacheField name="Status" numFmtId="0">
      <sharedItems containsBlank="1" count="6">
        <s v="Active"/>
        <s v="Bible Study"/>
        <s v="Inactive"/>
        <s v="Other Church"/>
        <s v="Sunday Goer"/>
        <m/>
      </sharedItems>
    </cacheField>
    <cacheField name="Cell Group" numFmtId="0">
      <sharedItems containsBlank="1" count="14">
        <s v="10th CG"/>
        <s v="12th CG"/>
        <s v="11th CG"/>
        <s v="09th CG"/>
        <s v="08th CG"/>
        <s v="Elijah"/>
        <s v="Elisha"/>
        <s v="Hyphen"/>
        <s v="Isaac"/>
        <s v="Joshua"/>
        <s v="Timothy"/>
        <s v="Moses"/>
        <s v="Paul"/>
        <m/>
      </sharedItems>
    </cacheField>
    <cacheField name="CG Position" numFmtId="0">
      <sharedItems containsBlank="1" count="4">
        <s v="Members"/>
        <s v="2 Assistant"/>
        <s v="1 Leader"/>
        <m/>
      </sharedItems>
    </cacheField>
    <cacheField name="Full Name" numFmtId="0">
      <sharedItems containsBlank="1" count="172">
        <s v="Jeehan Jane Castillejo"/>
        <s v="Arabea Bless Taloban"/>
        <s v="Lindsay Dagupen "/>
        <s v="Journey Ryan Bañez"/>
        <s v="Chalisa Jasmine Tacbas"/>
        <s v="Lovely Donaire"/>
        <s v="Ivan Gayados "/>
        <s v="Frederick Mago "/>
        <s v="Mark Roston Mamolang"/>
        <s v="Kurt Rhanz Gabryl Pacsi"/>
        <s v="Grant De Guzman "/>
        <s v="Sandy De Guzman "/>
        <s v="Claude De Ausen "/>
        <s v="Alechk Tamo"/>
        <s v="Jonaira Castillejo"/>
        <s v="Hervie Kate Badilla"/>
        <s v="Geraldine Marijoe banaag"/>
        <s v="Aldgeryne Faith banaag"/>
        <s v="Nathaniel Prado"/>
        <s v="Timothy Cutay "/>
        <s v="Oliver Castro "/>
        <s v="Shieba Pino"/>
        <s v="Katrina Maguddayao"/>
        <s v="Sherman AJ Daiwey"/>
        <s v="Tristan Jade Langgoy "/>
        <s v="Ben Orowan "/>
        <s v="Elena Liwes "/>
        <s v="Chloe Kodiamat "/>
        <s v="Marvie Daligayong"/>
        <s v="Hiede Cattleyah Dangla"/>
        <s v="Jhake Rhey Coyasan "/>
        <s v="Jubilee Prado"/>
        <s v="Juneafel Kate Lipaen"/>
        <s v="Mira Grace Quintero"/>
        <s v="Alvin Noel Gayados"/>
        <s v="Harnelle Castro** "/>
        <s v="Aira May Wakit"/>
        <s v="Shadrac Cayat "/>
        <s v="Jessamin delos Trinos "/>
        <s v="Geralyn Minog"/>
        <s v="Guiana Tayaban"/>
        <s v="Krisha Camille Cruz"/>
        <s v="Rafael Jemiah Tapnio"/>
        <s v="Froxh Zion A. Antonio "/>
        <s v="Jeremiah Josh Manadao"/>
        <s v="Charles Agpalo "/>
        <s v="Trisha Joyce Dacanay"/>
        <s v="Arianah Venisse Dacanay"/>
        <s v="Faith De Guzman "/>
        <s v="Femy Akiapat "/>
        <s v="Danielle Mamaril"/>
        <s v="Axel Alcantara"/>
        <s v="Jamaica Castillejo"/>
        <s v="Kleinny May Daskeo"/>
        <s v="Aurony John Taloban"/>
        <s v="Khyzer Clark Guiamas Daskeo "/>
        <s v="JM del Rosario"/>
        <s v="Kurt Mangili "/>
        <s v="Kenneth Torres "/>
        <s v="Christopher Steve Tinacba"/>
        <s v="Jinky Mae Cabbigat"/>
        <s v="Yamiela Andrei Rafael"/>
        <s v="Linelle Garcia"/>
        <s v="Cloe Morales "/>
        <s v="Chenkie Ngaosi "/>
        <s v="Alpha May Albing"/>
        <s v="Ramon Christopher Prado"/>
        <s v="Clea Reins Morales"/>
        <s v="Matt Rodjun Wasian"/>
        <s v="Jairo Tristan Wasian"/>
        <s v="Dani dela Cruz"/>
        <s v="Renalyn Alcoriza "/>
        <s v="John Lee Albing "/>
        <s v="Havilah Leigh Daiwey"/>
        <s v="Jenessa Faith Solis"/>
        <s v="Khaizer Diamsay "/>
        <s v="Kathleen Torres "/>
        <s v="Aubrine Grace Lipaen"/>
        <s v="Jimuel John Pay-an"/>
        <s v="Alexis Prado "/>
        <s v="Tom Jeff Macayya "/>
        <s v="Janine Lipaen "/>
        <s v="Harell Castro"/>
        <s v="Raymond Ferreras "/>
        <s v="Jun Alister "/>
        <s v="Kzy Sacla "/>
        <s v="Gracelyn Wanas "/>
        <s v="Geraldine Feliciano"/>
        <s v="Clarissa Tacbas "/>
        <s v="Liquette Sawad "/>
        <s v="Urany Marie Way-yas"/>
        <s v="Demerie Joy Matias"/>
        <s v="Eriberto Regoso"/>
        <s v="Rodalyn Tomas"/>
        <s v="Michael Mendoza"/>
        <s v="Sharon Padupad"/>
        <s v="Kimberly Doligas"/>
        <s v="Gideon Feliciano"/>
        <s v="Gylrihs Gem Basilio"/>
        <s v="Althea Faith Misa"/>
        <s v="Ruth Misa"/>
        <s v="Mykaela Talbo"/>
        <s v="John Andrew Mago"/>
        <s v="James Raguindin"/>
        <s v="Jasem Raguindin"/>
        <s v="Naphtali Felipe "/>
        <s v="Nathaniel Felipe "/>
        <s v="Kyla Patchang"/>
        <s v="Marvin Tindo"/>
        <s v="Melvin Josh Tindo"/>
        <s v="Edison Quintero Jr "/>
        <s v="Fajad Dimasangca "/>
        <s v="Krisha Angelica Zapata"/>
        <s v="Jacob Emmanuel Mago"/>
        <s v="Cedrick Aron Cruz"/>
        <s v="Hezekiah Mamaril"/>
        <s v="Jonathan Camodag"/>
        <s v="Jonel Briones"/>
        <s v="Krhystel Anne Lee"/>
        <s v="Belle Gayados "/>
        <s v="Cleo Jean Gayados "/>
        <s v="Jonathan batalao"/>
        <s v="Trent Jordan Manadao"/>
        <s v="Ezekiel Kiddagan"/>
        <s v="Mark Bokket"/>
        <s v="Nathaniel Bokket"/>
        <s v="Emmanuel Prado"/>
        <s v="Glory Anne Camodag"/>
        <s v="Kristine Chole Bambao"/>
        <s v="Gwyneth Janielle Quevedo"/>
        <s v="Regine Rato"/>
        <s v="Jairah May Apilada"/>
        <s v="Joshua Caboles Bonilla "/>
        <s v="Mark Rener Caboles Bonilla "/>
        <s v="Arman Angelo Apilada"/>
        <s v="Ashley Terrible "/>
        <s v="Lysette Anne Castro "/>
        <s v="Ryan Hughes "/>
        <s v="Mary Jane Lomibao"/>
        <s v="Ephraim Wong"/>
        <s v="Jhed Coyasan "/>
        <s v="Amela Grace Albing"/>
        <s v="Chansen Dave Cabay"/>
        <s v="Caryl Kaye Cabay"/>
        <s v="Lyza Mae Domigsi "/>
        <s v="Geno Rey Naimes"/>
        <s v="Jasmine Salicob "/>
        <s v="Andrea Kodiamat "/>
        <s v="Nathaniel batalao"/>
        <s v="Leah-mar Wanas "/>
        <s v="Henzy Giovan Castro"/>
        <s v="Harvey Amplogio "/>
        <s v="Lemuel Garcia "/>
        <s v="Zhoilo Amplogio "/>
        <s v="Ruth Naimes"/>
        <s v="Geryl Ann Basilio"/>
        <s v="Kate Ann Caragay"/>
        <s v="Martin Aileslee B. Ayungo III "/>
        <s v="John Ezekiel Zapata "/>
        <s v="Michael Mabanglo"/>
        <s v="Markgil Mejia "/>
        <s v="Aiko Htwe "/>
        <s v="Angie Laraya "/>
        <s v="Gabrielle Troi T. Balinggan "/>
        <s v="Troy Kenneth Apolinario "/>
        <s v="Khraenzhell Caragay "/>
        <s v="Jonabel Ann Solis"/>
        <s v="Athena Grace Camodag"/>
        <s v="Fe Wakit"/>
        <s v="Joshua Thans Dangla"/>
        <m/>
        <e v="#N/A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1">
  <r>
    <x v="0"/>
    <x v="0"/>
    <x v="0"/>
    <x v="0"/>
  </r>
  <r>
    <x v="0"/>
    <x v="0"/>
    <x v="1"/>
    <x v="1"/>
  </r>
  <r>
    <x v="0"/>
    <x v="0"/>
    <x v="0"/>
    <x v="2"/>
  </r>
  <r>
    <x v="0"/>
    <x v="0"/>
    <x v="2"/>
    <x v="3"/>
  </r>
  <r>
    <x v="0"/>
    <x v="1"/>
    <x v="0"/>
    <x v="4"/>
  </r>
  <r>
    <x v="1"/>
    <x v="0"/>
    <x v="0"/>
    <x v="5"/>
  </r>
  <r>
    <x v="2"/>
    <x v="0"/>
    <x v="0"/>
    <x v="6"/>
  </r>
  <r>
    <x v="2"/>
    <x v="0"/>
    <x v="0"/>
    <x v="7"/>
  </r>
  <r>
    <x v="3"/>
    <x v="0"/>
    <x v="0"/>
    <x v="8"/>
  </r>
  <r>
    <x v="4"/>
    <x v="0"/>
    <x v="0"/>
    <x v="9"/>
  </r>
  <r>
    <x v="4"/>
    <x v="0"/>
    <x v="0"/>
    <x v="10"/>
  </r>
  <r>
    <x v="4"/>
    <x v="0"/>
    <x v="0"/>
    <x v="11"/>
  </r>
  <r>
    <x v="4"/>
    <x v="0"/>
    <x v="0"/>
    <x v="12"/>
  </r>
  <r>
    <x v="4"/>
    <x v="0"/>
    <x v="0"/>
    <x v="13"/>
  </r>
  <r>
    <x v="0"/>
    <x v="2"/>
    <x v="0"/>
    <x v="14"/>
  </r>
  <r>
    <x v="0"/>
    <x v="2"/>
    <x v="1"/>
    <x v="15"/>
  </r>
  <r>
    <x v="0"/>
    <x v="2"/>
    <x v="0"/>
    <x v="16"/>
  </r>
  <r>
    <x v="0"/>
    <x v="2"/>
    <x v="0"/>
    <x v="17"/>
  </r>
  <r>
    <x v="0"/>
    <x v="2"/>
    <x v="2"/>
    <x v="18"/>
  </r>
  <r>
    <x v="2"/>
    <x v="2"/>
    <x v="0"/>
    <x v="19"/>
  </r>
  <r>
    <x v="2"/>
    <x v="2"/>
    <x v="0"/>
    <x v="20"/>
  </r>
  <r>
    <x v="3"/>
    <x v="2"/>
    <x v="0"/>
    <x v="21"/>
  </r>
  <r>
    <x v="3"/>
    <x v="2"/>
    <x v="0"/>
    <x v="22"/>
  </r>
  <r>
    <x v="4"/>
    <x v="2"/>
    <x v="0"/>
    <x v="23"/>
  </r>
  <r>
    <x v="4"/>
    <x v="2"/>
    <x v="0"/>
    <x v="24"/>
  </r>
  <r>
    <x v="4"/>
    <x v="2"/>
    <x v="0"/>
    <x v="25"/>
  </r>
  <r>
    <x v="4"/>
    <x v="2"/>
    <x v="0"/>
    <x v="26"/>
  </r>
  <r>
    <x v="0"/>
    <x v="1"/>
    <x v="0"/>
    <x v="27"/>
  </r>
  <r>
    <x v="3"/>
    <x v="1"/>
    <x v="0"/>
    <x v="28"/>
  </r>
  <r>
    <x v="0"/>
    <x v="1"/>
    <x v="0"/>
    <x v="29"/>
  </r>
  <r>
    <x v="4"/>
    <x v="1"/>
    <x v="0"/>
    <x v="30"/>
  </r>
  <r>
    <x v="0"/>
    <x v="1"/>
    <x v="0"/>
    <x v="31"/>
  </r>
  <r>
    <x v="0"/>
    <x v="3"/>
    <x v="0"/>
    <x v="32"/>
  </r>
  <r>
    <x v="0"/>
    <x v="1"/>
    <x v="0"/>
    <x v="33"/>
  </r>
  <r>
    <x v="4"/>
    <x v="1"/>
    <x v="0"/>
    <x v="34"/>
  </r>
  <r>
    <x v="0"/>
    <x v="1"/>
    <x v="0"/>
    <x v="35"/>
  </r>
  <r>
    <x v="1"/>
    <x v="1"/>
    <x v="0"/>
    <x v="36"/>
  </r>
  <r>
    <x v="4"/>
    <x v="1"/>
    <x v="0"/>
    <x v="37"/>
  </r>
  <r>
    <x v="2"/>
    <x v="1"/>
    <x v="0"/>
    <x v="38"/>
  </r>
  <r>
    <x v="0"/>
    <x v="4"/>
    <x v="2"/>
    <x v="39"/>
  </r>
  <r>
    <x v="0"/>
    <x v="4"/>
    <x v="0"/>
    <x v="40"/>
  </r>
  <r>
    <x v="0"/>
    <x v="4"/>
    <x v="0"/>
    <x v="41"/>
  </r>
  <r>
    <x v="0"/>
    <x v="4"/>
    <x v="1"/>
    <x v="42"/>
  </r>
  <r>
    <x v="2"/>
    <x v="4"/>
    <x v="0"/>
    <x v="43"/>
  </r>
  <r>
    <x v="3"/>
    <x v="4"/>
    <x v="0"/>
    <x v="44"/>
  </r>
  <r>
    <x v="3"/>
    <x v="4"/>
    <x v="0"/>
    <x v="45"/>
  </r>
  <r>
    <x v="4"/>
    <x v="4"/>
    <x v="0"/>
    <x v="46"/>
  </r>
  <r>
    <x v="4"/>
    <x v="4"/>
    <x v="0"/>
    <x v="47"/>
  </r>
  <r>
    <x v="4"/>
    <x v="4"/>
    <x v="0"/>
    <x v="48"/>
  </r>
  <r>
    <x v="4"/>
    <x v="4"/>
    <x v="0"/>
    <x v="49"/>
  </r>
  <r>
    <x v="4"/>
    <x v="4"/>
    <x v="0"/>
    <x v="50"/>
  </r>
  <r>
    <x v="4"/>
    <x v="4"/>
    <x v="0"/>
    <x v="51"/>
  </r>
  <r>
    <x v="0"/>
    <x v="3"/>
    <x v="1"/>
    <x v="52"/>
  </r>
  <r>
    <x v="0"/>
    <x v="3"/>
    <x v="0"/>
    <x v="53"/>
  </r>
  <r>
    <x v="0"/>
    <x v="3"/>
    <x v="2"/>
    <x v="54"/>
  </r>
  <r>
    <x v="0"/>
    <x v="3"/>
    <x v="0"/>
    <x v="55"/>
  </r>
  <r>
    <x v="1"/>
    <x v="3"/>
    <x v="0"/>
    <x v="56"/>
  </r>
  <r>
    <x v="2"/>
    <x v="3"/>
    <x v="0"/>
    <x v="57"/>
  </r>
  <r>
    <x v="2"/>
    <x v="3"/>
    <x v="0"/>
    <x v="58"/>
  </r>
  <r>
    <x v="3"/>
    <x v="3"/>
    <x v="0"/>
    <x v="59"/>
  </r>
  <r>
    <x v="3"/>
    <x v="3"/>
    <x v="0"/>
    <x v="60"/>
  </r>
  <r>
    <x v="4"/>
    <x v="3"/>
    <x v="0"/>
    <x v="61"/>
  </r>
  <r>
    <x v="4"/>
    <x v="3"/>
    <x v="0"/>
    <x v="62"/>
  </r>
  <r>
    <x v="2"/>
    <x v="1"/>
    <x v="0"/>
    <x v="63"/>
  </r>
  <r>
    <x v="4"/>
    <x v="3"/>
    <x v="0"/>
    <x v="64"/>
  </r>
  <r>
    <x v="0"/>
    <x v="5"/>
    <x v="2"/>
    <x v="65"/>
  </r>
  <r>
    <x v="0"/>
    <x v="5"/>
    <x v="1"/>
    <x v="66"/>
  </r>
  <r>
    <x v="0"/>
    <x v="5"/>
    <x v="0"/>
    <x v="67"/>
  </r>
  <r>
    <x v="0"/>
    <x v="5"/>
    <x v="0"/>
    <x v="68"/>
  </r>
  <r>
    <x v="0"/>
    <x v="5"/>
    <x v="0"/>
    <x v="69"/>
  </r>
  <r>
    <x v="1"/>
    <x v="5"/>
    <x v="0"/>
    <x v="70"/>
  </r>
  <r>
    <x v="2"/>
    <x v="5"/>
    <x v="0"/>
    <x v="71"/>
  </r>
  <r>
    <x v="2"/>
    <x v="5"/>
    <x v="0"/>
    <x v="72"/>
  </r>
  <r>
    <x v="4"/>
    <x v="5"/>
    <x v="0"/>
    <x v="73"/>
  </r>
  <r>
    <x v="4"/>
    <x v="5"/>
    <x v="0"/>
    <x v="74"/>
  </r>
  <r>
    <x v="4"/>
    <x v="5"/>
    <x v="0"/>
    <x v="75"/>
  </r>
  <r>
    <x v="4"/>
    <x v="5"/>
    <x v="0"/>
    <x v="76"/>
  </r>
  <r>
    <x v="0"/>
    <x v="6"/>
    <x v="2"/>
    <x v="77"/>
  </r>
  <r>
    <x v="0"/>
    <x v="6"/>
    <x v="0"/>
    <x v="78"/>
  </r>
  <r>
    <x v="0"/>
    <x v="6"/>
    <x v="0"/>
    <x v="79"/>
  </r>
  <r>
    <x v="0"/>
    <x v="6"/>
    <x v="0"/>
    <x v="80"/>
  </r>
  <r>
    <x v="0"/>
    <x v="6"/>
    <x v="0"/>
    <x v="81"/>
  </r>
  <r>
    <x v="0"/>
    <x v="6"/>
    <x v="1"/>
    <x v="82"/>
  </r>
  <r>
    <x v="2"/>
    <x v="6"/>
    <x v="0"/>
    <x v="83"/>
  </r>
  <r>
    <x v="2"/>
    <x v="6"/>
    <x v="0"/>
    <x v="84"/>
  </r>
  <r>
    <x v="3"/>
    <x v="6"/>
    <x v="0"/>
    <x v="85"/>
  </r>
  <r>
    <x v="3"/>
    <x v="6"/>
    <x v="0"/>
    <x v="86"/>
  </r>
  <r>
    <x v="4"/>
    <x v="6"/>
    <x v="0"/>
    <x v="87"/>
  </r>
  <r>
    <x v="4"/>
    <x v="6"/>
    <x v="0"/>
    <x v="88"/>
  </r>
  <r>
    <x v="4"/>
    <x v="6"/>
    <x v="0"/>
    <x v="89"/>
  </r>
  <r>
    <x v="0"/>
    <x v="7"/>
    <x v="0"/>
    <x v="90"/>
  </r>
  <r>
    <x v="0"/>
    <x v="7"/>
    <x v="0"/>
    <x v="91"/>
  </r>
  <r>
    <x v="0"/>
    <x v="7"/>
    <x v="0"/>
    <x v="92"/>
  </r>
  <r>
    <x v="0"/>
    <x v="7"/>
    <x v="0"/>
    <x v="93"/>
  </r>
  <r>
    <x v="0"/>
    <x v="7"/>
    <x v="1"/>
    <x v="94"/>
  </r>
  <r>
    <x v="0"/>
    <x v="7"/>
    <x v="2"/>
    <x v="95"/>
  </r>
  <r>
    <x v="3"/>
    <x v="7"/>
    <x v="0"/>
    <x v="96"/>
  </r>
  <r>
    <x v="4"/>
    <x v="7"/>
    <x v="0"/>
    <x v="97"/>
  </r>
  <r>
    <x v="0"/>
    <x v="8"/>
    <x v="1"/>
    <x v="98"/>
  </r>
  <r>
    <x v="0"/>
    <x v="8"/>
    <x v="0"/>
    <x v="99"/>
  </r>
  <r>
    <x v="0"/>
    <x v="8"/>
    <x v="0"/>
    <x v="100"/>
  </r>
  <r>
    <x v="0"/>
    <x v="8"/>
    <x v="0"/>
    <x v="101"/>
  </r>
  <r>
    <x v="0"/>
    <x v="8"/>
    <x v="2"/>
    <x v="102"/>
  </r>
  <r>
    <x v="1"/>
    <x v="8"/>
    <x v="0"/>
    <x v="103"/>
  </r>
  <r>
    <x v="1"/>
    <x v="8"/>
    <x v="0"/>
    <x v="104"/>
  </r>
  <r>
    <x v="2"/>
    <x v="8"/>
    <x v="0"/>
    <x v="105"/>
  </r>
  <r>
    <x v="2"/>
    <x v="8"/>
    <x v="0"/>
    <x v="106"/>
  </r>
  <r>
    <x v="3"/>
    <x v="8"/>
    <x v="0"/>
    <x v="107"/>
  </r>
  <r>
    <x v="4"/>
    <x v="8"/>
    <x v="0"/>
    <x v="108"/>
  </r>
  <r>
    <x v="4"/>
    <x v="8"/>
    <x v="0"/>
    <x v="109"/>
  </r>
  <r>
    <x v="4"/>
    <x v="8"/>
    <x v="0"/>
    <x v="110"/>
  </r>
  <r>
    <x v="4"/>
    <x v="3"/>
    <x v="0"/>
    <x v="111"/>
  </r>
  <r>
    <x v="0"/>
    <x v="9"/>
    <x v="1"/>
    <x v="112"/>
  </r>
  <r>
    <x v="0"/>
    <x v="9"/>
    <x v="0"/>
    <x v="113"/>
  </r>
  <r>
    <x v="0"/>
    <x v="9"/>
    <x v="0"/>
    <x v="114"/>
  </r>
  <r>
    <x v="0"/>
    <x v="9"/>
    <x v="0"/>
    <x v="115"/>
  </r>
  <r>
    <x v="0"/>
    <x v="9"/>
    <x v="2"/>
    <x v="116"/>
  </r>
  <r>
    <x v="1"/>
    <x v="9"/>
    <x v="0"/>
    <x v="117"/>
  </r>
  <r>
    <x v="1"/>
    <x v="9"/>
    <x v="0"/>
    <x v="118"/>
  </r>
  <r>
    <x v="2"/>
    <x v="9"/>
    <x v="0"/>
    <x v="119"/>
  </r>
  <r>
    <x v="2"/>
    <x v="9"/>
    <x v="0"/>
    <x v="120"/>
  </r>
  <r>
    <x v="3"/>
    <x v="9"/>
    <x v="0"/>
    <x v="121"/>
  </r>
  <r>
    <x v="3"/>
    <x v="10"/>
    <x v="0"/>
    <x v="122"/>
  </r>
  <r>
    <x v="4"/>
    <x v="9"/>
    <x v="0"/>
    <x v="123"/>
  </r>
  <r>
    <x v="4"/>
    <x v="9"/>
    <x v="0"/>
    <x v="124"/>
  </r>
  <r>
    <x v="4"/>
    <x v="9"/>
    <x v="0"/>
    <x v="125"/>
  </r>
  <r>
    <x v="0"/>
    <x v="11"/>
    <x v="2"/>
    <x v="126"/>
  </r>
  <r>
    <x v="0"/>
    <x v="11"/>
    <x v="1"/>
    <x v="127"/>
  </r>
  <r>
    <x v="0"/>
    <x v="5"/>
    <x v="0"/>
    <x v="128"/>
  </r>
  <r>
    <x v="0"/>
    <x v="11"/>
    <x v="0"/>
    <x v="129"/>
  </r>
  <r>
    <x v="0"/>
    <x v="11"/>
    <x v="0"/>
    <x v="130"/>
  </r>
  <r>
    <x v="0"/>
    <x v="11"/>
    <x v="0"/>
    <x v="131"/>
  </r>
  <r>
    <x v="1"/>
    <x v="11"/>
    <x v="0"/>
    <x v="132"/>
  </r>
  <r>
    <x v="1"/>
    <x v="11"/>
    <x v="0"/>
    <x v="133"/>
  </r>
  <r>
    <x v="2"/>
    <x v="11"/>
    <x v="0"/>
    <x v="134"/>
  </r>
  <r>
    <x v="2"/>
    <x v="11"/>
    <x v="0"/>
    <x v="135"/>
  </r>
  <r>
    <x v="3"/>
    <x v="11"/>
    <x v="0"/>
    <x v="136"/>
  </r>
  <r>
    <x v="3"/>
    <x v="11"/>
    <x v="0"/>
    <x v="137"/>
  </r>
  <r>
    <x v="4"/>
    <x v="11"/>
    <x v="0"/>
    <x v="138"/>
  </r>
  <r>
    <x v="4"/>
    <x v="11"/>
    <x v="0"/>
    <x v="139"/>
  </r>
  <r>
    <x v="4"/>
    <x v="11"/>
    <x v="0"/>
    <x v="140"/>
  </r>
  <r>
    <x v="0"/>
    <x v="12"/>
    <x v="1"/>
    <x v="141"/>
  </r>
  <r>
    <x v="0"/>
    <x v="12"/>
    <x v="0"/>
    <x v="142"/>
  </r>
  <r>
    <x v="0"/>
    <x v="12"/>
    <x v="0"/>
    <x v="143"/>
  </r>
  <r>
    <x v="0"/>
    <x v="12"/>
    <x v="0"/>
    <x v="144"/>
  </r>
  <r>
    <x v="0"/>
    <x v="12"/>
    <x v="2"/>
    <x v="145"/>
  </r>
  <r>
    <x v="2"/>
    <x v="12"/>
    <x v="0"/>
    <x v="146"/>
  </r>
  <r>
    <x v="2"/>
    <x v="12"/>
    <x v="0"/>
    <x v="147"/>
  </r>
  <r>
    <x v="3"/>
    <x v="12"/>
    <x v="0"/>
    <x v="148"/>
  </r>
  <r>
    <x v="3"/>
    <x v="12"/>
    <x v="0"/>
    <x v="149"/>
  </r>
  <r>
    <x v="4"/>
    <x v="12"/>
    <x v="0"/>
    <x v="150"/>
  </r>
  <r>
    <x v="4"/>
    <x v="12"/>
    <x v="0"/>
    <x v="151"/>
  </r>
  <r>
    <x v="4"/>
    <x v="12"/>
    <x v="0"/>
    <x v="152"/>
  </r>
  <r>
    <x v="4"/>
    <x v="12"/>
    <x v="0"/>
    <x v="153"/>
  </r>
  <r>
    <x v="0"/>
    <x v="10"/>
    <x v="2"/>
    <x v="154"/>
  </r>
  <r>
    <x v="0"/>
    <x v="10"/>
    <x v="1"/>
    <x v="155"/>
  </r>
  <r>
    <x v="0"/>
    <x v="10"/>
    <x v="0"/>
    <x v="156"/>
  </r>
  <r>
    <x v="0"/>
    <x v="10"/>
    <x v="0"/>
    <x v="157"/>
  </r>
  <r>
    <x v="0"/>
    <x v="10"/>
    <x v="0"/>
    <x v="158"/>
  </r>
  <r>
    <x v="1"/>
    <x v="10"/>
    <x v="0"/>
    <x v="159"/>
  </r>
  <r>
    <x v="2"/>
    <x v="10"/>
    <x v="0"/>
    <x v="160"/>
  </r>
  <r>
    <x v="2"/>
    <x v="10"/>
    <x v="0"/>
    <x v="161"/>
  </r>
  <r>
    <x v="2"/>
    <x v="10"/>
    <x v="0"/>
    <x v="162"/>
  </r>
  <r>
    <x v="4"/>
    <x v="10"/>
    <x v="0"/>
    <x v="163"/>
  </r>
  <r>
    <x v="4"/>
    <x v="10"/>
    <x v="0"/>
    <x v="164"/>
  </r>
  <r>
    <x v="4"/>
    <x v="10"/>
    <x v="0"/>
    <x v="165"/>
  </r>
  <r>
    <x v="0"/>
    <x v="9"/>
    <x v="0"/>
    <x v="166"/>
  </r>
  <r>
    <x v="0"/>
    <x v="11"/>
    <x v="0"/>
    <x v="167"/>
  </r>
  <r>
    <x v="0"/>
    <x v="2"/>
    <x v="0"/>
    <x v="168"/>
  </r>
  <r>
    <x v="0"/>
    <x v="4"/>
    <x v="0"/>
    <x v="169"/>
  </r>
  <r>
    <x v="5"/>
    <x v="13"/>
    <x v="3"/>
    <x v="1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- 12 CG" cacheId="0" autoFormatId="1" applyNumberFormats="0" applyBorderFormats="0" applyFontFormats="0" applyPatternFormats="0" applyAlignmentFormats="0" applyWidthHeightFormats="1" dataCaption="" updatedVersion="5" rowGrandTotals="0" compact="0" compactData="0" showDrill="1">
  <location ref="A1:D172" firstHeaderRow="1" firstDataRow="1" firstDataCol="4"/>
  <pivotFields count="4">
    <pivotField axis="axisRow" compact="0" sortType="ascending" defaultSubtotal="0" outline="0" multipleItemSelectionAllowed="1" showAll="0">
      <items count="6">
        <item x="0"/>
        <item x="1"/>
        <item x="2"/>
        <item x="3"/>
        <item x="4"/>
        <item x="5"/>
      </items>
    </pivotField>
    <pivotField axis="axisRow" compact="0" sortType="ascending" defaultSubtotal="0" outline="0" multipleItemSelectionAllowed="1" showAll="0">
      <items count="14">
        <item x="4"/>
        <item x="3"/>
        <item x="0"/>
        <item x="2"/>
        <item x="1"/>
        <item x="5"/>
        <item x="6"/>
        <item x="7"/>
        <item x="8"/>
        <item x="9"/>
        <item x="11"/>
        <item x="12"/>
        <item x="10"/>
        <item x="13"/>
      </items>
    </pivotField>
    <pivotField axis="axisRow" compact="0" sortType="ascending" defaultSubtotal="0" outline="0" multipleItemSelectionAllowed="1" showAll="0">
      <items count="4">
        <item x="2"/>
        <item x="1"/>
        <item x="0"/>
        <item x="3"/>
      </items>
    </pivotField>
    <pivotField axis="axisRow" compact="0" sortType="ascending" outline="0" multipleItemSelectionAllowed="1" showAll="0">
      <items count="173">
        <item x="161"/>
        <item x="36"/>
        <item x="17"/>
        <item x="13"/>
        <item x="79"/>
        <item x="65"/>
        <item x="99"/>
        <item x="34"/>
        <item x="141"/>
        <item x="147"/>
        <item x="162"/>
        <item x="1"/>
        <item x="47"/>
        <item x="134"/>
        <item x="135"/>
        <item x="167"/>
        <item x="77"/>
        <item x="54"/>
        <item x="51"/>
        <item x="119"/>
        <item x="25"/>
        <item x="143"/>
        <item x="114"/>
        <item x="4"/>
        <item x="142"/>
        <item x="45"/>
        <item x="64"/>
        <item x="27"/>
        <item x="59"/>
        <item x="88"/>
        <item x="12"/>
        <item x="67"/>
        <item x="120"/>
        <item x="63"/>
        <item x="70"/>
        <item x="50"/>
        <item x="91"/>
        <item x="110"/>
        <item x="26"/>
        <item x="126"/>
        <item x="139"/>
        <item x="92"/>
        <item x="123"/>
        <item x="48"/>
        <item x="111"/>
        <item x="168"/>
        <item x="49"/>
        <item x="7"/>
        <item x="43"/>
        <item x="163"/>
        <item x="145"/>
        <item x="87"/>
        <item x="16"/>
        <item x="39"/>
        <item x="155"/>
        <item x="97"/>
        <item x="127"/>
        <item x="86"/>
        <item x="10"/>
        <item x="40"/>
        <item x="129"/>
        <item x="98"/>
        <item x="82"/>
        <item x="35"/>
        <item x="151"/>
        <item x="73"/>
        <item x="150"/>
        <item x="15"/>
        <item x="115"/>
        <item x="29"/>
        <item x="6"/>
        <item x="113"/>
        <item x="131"/>
        <item x="69"/>
        <item x="52"/>
        <item x="103"/>
        <item x="81"/>
        <item x="104"/>
        <item x="146"/>
        <item x="0"/>
        <item x="74"/>
        <item x="44"/>
        <item x="38"/>
        <item x="30"/>
        <item x="140"/>
        <item x="78"/>
        <item x="60"/>
        <item x="56"/>
        <item x="102"/>
        <item x="158"/>
        <item x="72"/>
        <item x="166"/>
        <item x="14"/>
        <item x="121"/>
        <item x="116"/>
        <item x="117"/>
        <item x="132"/>
        <item x="169"/>
        <item x="3"/>
        <item x="31"/>
        <item x="84"/>
        <item x="32"/>
        <item x="156"/>
        <item x="76"/>
        <item x="22"/>
        <item x="58"/>
        <item x="75"/>
        <item x="165"/>
        <item x="55"/>
        <item x="96"/>
        <item x="53"/>
        <item x="118"/>
        <item x="112"/>
        <item x="41"/>
        <item x="128"/>
        <item x="57"/>
        <item x="9"/>
        <item x="107"/>
        <item x="85"/>
        <item x="149"/>
        <item x="152"/>
        <item x="2"/>
        <item x="62"/>
        <item x="89"/>
        <item x="5"/>
        <item x="136"/>
        <item x="144"/>
        <item x="124"/>
        <item x="133"/>
        <item x="8"/>
        <item x="160"/>
        <item x="157"/>
        <item x="28"/>
        <item x="108"/>
        <item x="138"/>
        <item x="68"/>
        <item x="109"/>
        <item x="159"/>
        <item x="94"/>
        <item x="33"/>
        <item x="101"/>
        <item x="105"/>
        <item x="148"/>
        <item x="125"/>
        <item x="106"/>
        <item x="18"/>
        <item x="20"/>
        <item x="42"/>
        <item x="66"/>
        <item x="83"/>
        <item x="130"/>
        <item x="71"/>
        <item x="93"/>
        <item x="100"/>
        <item x="154"/>
        <item x="137"/>
        <item x="11"/>
        <item x="37"/>
        <item x="95"/>
        <item x="23"/>
        <item x="21"/>
        <item x="19"/>
        <item x="80"/>
        <item x="122"/>
        <item x="46"/>
        <item x="24"/>
        <item x="164"/>
        <item x="90"/>
        <item x="61"/>
        <item x="153"/>
        <item m="1" x="171"/>
        <item x="170"/>
        <item t="default"/>
      </items>
    </pivotField>
  </pivotFields>
  <rowFields count="4">
    <field x="1"/>
    <field x="2"/>
    <field x="0"/>
    <field x="3"/>
  </rowFields>
  <rowItems count="171">
    <i>
      <x/>
      <x/>
      <x/>
      <x v="53"/>
    </i>
    <i r="1">
      <x v="1"/>
      <x/>
      <x v="147"/>
    </i>
    <i r="1">
      <x v="2"/>
      <x/>
      <x v="59"/>
    </i>
    <i r="3">
      <x v="97"/>
    </i>
    <i r="3">
      <x v="113"/>
    </i>
    <i r="2">
      <x v="2"/>
      <x v="48"/>
    </i>
    <i r="2">
      <x v="3"/>
      <x v="25"/>
    </i>
    <i r="3">
      <x v="81"/>
    </i>
    <i r="2">
      <x v="4"/>
      <x v="12"/>
    </i>
    <i r="3">
      <x v="18"/>
    </i>
    <i r="3">
      <x v="35"/>
    </i>
    <i r="3">
      <x v="43"/>
    </i>
    <i r="3">
      <x v="46"/>
    </i>
    <i r="3">
      <x v="164"/>
    </i>
    <i>
      <x v="1"/>
      <x/>
      <x/>
      <x v="17"/>
    </i>
    <i r="1">
      <x v="1"/>
      <x/>
      <x v="74"/>
    </i>
    <i r="1">
      <x v="2"/>
      <x/>
      <x v="101"/>
    </i>
    <i r="3">
      <x v="108"/>
    </i>
    <i r="3">
      <x v="110"/>
    </i>
    <i r="2">
      <x v="1"/>
      <x v="87"/>
    </i>
    <i r="2">
      <x v="2"/>
      <x v="105"/>
    </i>
    <i r="3">
      <x v="115"/>
    </i>
    <i r="2">
      <x v="3"/>
      <x v="28"/>
    </i>
    <i r="3">
      <x v="86"/>
    </i>
    <i r="2">
      <x v="4"/>
      <x v="26"/>
    </i>
    <i r="3">
      <x v="44"/>
    </i>
    <i r="3">
      <x v="122"/>
    </i>
    <i r="3">
      <x v="168"/>
    </i>
    <i>
      <x v="2"/>
      <x/>
      <x/>
      <x v="98"/>
    </i>
    <i r="1">
      <x v="1"/>
      <x/>
      <x v="11"/>
    </i>
    <i r="1">
      <x v="2"/>
      <x/>
      <x v="79"/>
    </i>
    <i r="3">
      <x v="121"/>
    </i>
    <i r="2">
      <x v="1"/>
      <x v="124"/>
    </i>
    <i r="2">
      <x v="2"/>
      <x v="47"/>
    </i>
    <i r="3">
      <x v="70"/>
    </i>
    <i r="2">
      <x v="3"/>
      <x v="129"/>
    </i>
    <i r="2">
      <x v="4"/>
      <x v="3"/>
    </i>
    <i r="3">
      <x v="30"/>
    </i>
    <i r="3">
      <x v="58"/>
    </i>
    <i r="3">
      <x v="116"/>
    </i>
    <i r="3">
      <x v="156"/>
    </i>
    <i>
      <x v="3"/>
      <x/>
      <x/>
      <x v="145"/>
    </i>
    <i r="1">
      <x v="1"/>
      <x/>
      <x v="67"/>
    </i>
    <i r="1">
      <x v="2"/>
      <x/>
      <x v="2"/>
    </i>
    <i r="3">
      <x v="45"/>
    </i>
    <i r="3">
      <x v="52"/>
    </i>
    <i r="3">
      <x v="92"/>
    </i>
    <i r="2">
      <x v="2"/>
      <x v="146"/>
    </i>
    <i r="3">
      <x v="161"/>
    </i>
    <i r="2">
      <x v="3"/>
      <x v="104"/>
    </i>
    <i r="3">
      <x v="160"/>
    </i>
    <i r="2">
      <x v="4"/>
      <x v="20"/>
    </i>
    <i r="3">
      <x v="38"/>
    </i>
    <i r="3">
      <x v="159"/>
    </i>
    <i r="3">
      <x v="165"/>
    </i>
    <i>
      <x v="4"/>
      <x v="2"/>
      <x/>
      <x v="23"/>
    </i>
    <i r="3">
      <x v="27"/>
    </i>
    <i r="3">
      <x v="63"/>
    </i>
    <i r="3">
      <x v="69"/>
    </i>
    <i r="3">
      <x v="99"/>
    </i>
    <i r="3">
      <x v="139"/>
    </i>
    <i r="2">
      <x v="1"/>
      <x v="1"/>
    </i>
    <i r="2">
      <x v="2"/>
      <x v="33"/>
    </i>
    <i r="3">
      <x v="82"/>
    </i>
    <i r="2">
      <x v="3"/>
      <x v="132"/>
    </i>
    <i r="2">
      <x v="4"/>
      <x v="7"/>
    </i>
    <i r="3">
      <x v="83"/>
    </i>
    <i r="3">
      <x v="157"/>
    </i>
    <i>
      <x v="5"/>
      <x/>
      <x/>
      <x v="5"/>
    </i>
    <i r="1">
      <x v="1"/>
      <x/>
      <x v="148"/>
    </i>
    <i r="1">
      <x v="2"/>
      <x/>
      <x v="31"/>
    </i>
    <i r="3">
      <x v="73"/>
    </i>
    <i r="3">
      <x v="114"/>
    </i>
    <i r="3">
      <x v="135"/>
    </i>
    <i r="2">
      <x v="1"/>
      <x v="34"/>
    </i>
    <i r="2">
      <x v="2"/>
      <x v="90"/>
    </i>
    <i r="3">
      <x v="151"/>
    </i>
    <i r="2">
      <x v="4"/>
      <x v="65"/>
    </i>
    <i r="3">
      <x v="80"/>
    </i>
    <i r="3">
      <x v="103"/>
    </i>
    <i r="3">
      <x v="106"/>
    </i>
    <i>
      <x v="6"/>
      <x/>
      <x/>
      <x v="16"/>
    </i>
    <i r="1">
      <x v="1"/>
      <x/>
      <x v="62"/>
    </i>
    <i r="1">
      <x v="2"/>
      <x/>
      <x v="4"/>
    </i>
    <i r="3">
      <x v="76"/>
    </i>
    <i r="3">
      <x v="85"/>
    </i>
    <i r="3">
      <x v="162"/>
    </i>
    <i r="2">
      <x v="2"/>
      <x v="100"/>
    </i>
    <i r="3">
      <x v="149"/>
    </i>
    <i r="2">
      <x v="3"/>
      <x v="57"/>
    </i>
    <i r="3">
      <x v="118"/>
    </i>
    <i r="2">
      <x v="4"/>
      <x v="29"/>
    </i>
    <i r="3">
      <x v="51"/>
    </i>
    <i r="3">
      <x v="123"/>
    </i>
    <i>
      <x v="7"/>
      <x/>
      <x/>
      <x v="158"/>
    </i>
    <i r="1">
      <x v="1"/>
      <x/>
      <x v="138"/>
    </i>
    <i r="1">
      <x v="2"/>
      <x/>
      <x v="36"/>
    </i>
    <i r="3">
      <x v="41"/>
    </i>
    <i r="3">
      <x v="152"/>
    </i>
    <i r="3">
      <x v="167"/>
    </i>
    <i r="2">
      <x v="3"/>
      <x v="109"/>
    </i>
    <i r="2">
      <x v="4"/>
      <x v="55"/>
    </i>
    <i>
      <x v="8"/>
      <x/>
      <x/>
      <x v="88"/>
    </i>
    <i r="1">
      <x v="1"/>
      <x/>
      <x v="61"/>
    </i>
    <i r="1">
      <x v="2"/>
      <x/>
      <x v="6"/>
    </i>
    <i r="3">
      <x v="140"/>
    </i>
    <i r="3">
      <x v="153"/>
    </i>
    <i r="2">
      <x v="1"/>
      <x v="75"/>
    </i>
    <i r="3">
      <x v="77"/>
    </i>
    <i r="2">
      <x v="2"/>
      <x v="141"/>
    </i>
    <i r="3">
      <x v="144"/>
    </i>
    <i r="2">
      <x v="3"/>
      <x v="117"/>
    </i>
    <i r="2">
      <x v="4"/>
      <x v="37"/>
    </i>
    <i r="3">
      <x v="133"/>
    </i>
    <i r="3">
      <x v="136"/>
    </i>
    <i>
      <x v="9"/>
      <x/>
      <x/>
      <x v="94"/>
    </i>
    <i r="1">
      <x v="1"/>
      <x/>
      <x v="112"/>
    </i>
    <i r="1">
      <x v="2"/>
      <x/>
      <x v="22"/>
    </i>
    <i r="3">
      <x v="68"/>
    </i>
    <i r="3">
      <x v="71"/>
    </i>
    <i r="3">
      <x v="91"/>
    </i>
    <i r="2">
      <x v="1"/>
      <x v="95"/>
    </i>
    <i r="3">
      <x v="111"/>
    </i>
    <i r="2">
      <x v="2"/>
      <x v="19"/>
    </i>
    <i r="3">
      <x v="32"/>
    </i>
    <i r="2">
      <x v="3"/>
      <x v="93"/>
    </i>
    <i r="2">
      <x v="4"/>
      <x v="42"/>
    </i>
    <i r="3">
      <x v="127"/>
    </i>
    <i r="3">
      <x v="143"/>
    </i>
    <i>
      <x v="10"/>
      <x/>
      <x/>
      <x v="39"/>
    </i>
    <i r="1">
      <x v="1"/>
      <x/>
      <x v="56"/>
    </i>
    <i r="1">
      <x v="2"/>
      <x/>
      <x v="15"/>
    </i>
    <i r="3">
      <x v="60"/>
    </i>
    <i r="3">
      <x v="72"/>
    </i>
    <i r="3">
      <x v="150"/>
    </i>
    <i r="2">
      <x v="1"/>
      <x v="96"/>
    </i>
    <i r="3">
      <x v="128"/>
    </i>
    <i r="2">
      <x v="2"/>
      <x v="13"/>
    </i>
    <i r="3">
      <x v="14"/>
    </i>
    <i r="2">
      <x v="3"/>
      <x v="125"/>
    </i>
    <i r="3">
      <x v="155"/>
    </i>
    <i r="2">
      <x v="4"/>
      <x v="40"/>
    </i>
    <i r="3">
      <x v="84"/>
    </i>
    <i r="3">
      <x v="134"/>
    </i>
    <i>
      <x v="11"/>
      <x/>
      <x/>
      <x v="50"/>
    </i>
    <i r="1">
      <x v="1"/>
      <x/>
      <x v="8"/>
    </i>
    <i r="1">
      <x v="2"/>
      <x/>
      <x v="21"/>
    </i>
    <i r="3">
      <x v="24"/>
    </i>
    <i r="3">
      <x v="126"/>
    </i>
    <i r="2">
      <x v="2"/>
      <x v="9"/>
    </i>
    <i r="3">
      <x v="78"/>
    </i>
    <i r="2">
      <x v="3"/>
      <x v="119"/>
    </i>
    <i r="3">
      <x v="142"/>
    </i>
    <i r="2">
      <x v="4"/>
      <x v="64"/>
    </i>
    <i r="3">
      <x v="66"/>
    </i>
    <i r="3">
      <x v="120"/>
    </i>
    <i r="3">
      <x v="169"/>
    </i>
    <i>
      <x v="12"/>
      <x/>
      <x/>
      <x v="154"/>
    </i>
    <i r="1">
      <x v="1"/>
      <x/>
      <x v="54"/>
    </i>
    <i r="1">
      <x v="2"/>
      <x/>
      <x v="89"/>
    </i>
    <i r="3">
      <x v="102"/>
    </i>
    <i r="3">
      <x v="131"/>
    </i>
    <i r="2">
      <x v="1"/>
      <x v="137"/>
    </i>
    <i r="2">
      <x v="2"/>
      <x/>
    </i>
    <i r="3">
      <x v="10"/>
    </i>
    <i r="3">
      <x v="130"/>
    </i>
    <i r="2">
      <x v="3"/>
      <x v="163"/>
    </i>
    <i r="2">
      <x v="4"/>
      <x v="49"/>
    </i>
    <i r="3">
      <x v="107"/>
    </i>
    <i r="3">
      <x v="166"/>
    </i>
    <i>
      <x v="13"/>
      <x v="3"/>
      <x v="5"/>
      <x v="171"/>
    </i>
  </rowItems>
  <colItems count="1">
    <i/>
  </colItems>
  <pivotTableStyleInfo showRowHeaders="1" showColHeaders="1" showLastColumn="1"/>
</pivotTableDefinition>
</file>

<file path=xl/pivotTables/pivotTable2.xml><?xml version="1.0" encoding="utf-8"?>
<pivotTableDefinition xmlns="http://schemas.openxmlformats.org/spreadsheetml/2006/main" name="Pivot - 12 CG 2" cacheId="0" autoFormatId="1" applyNumberFormats="0" applyBorderFormats="0" applyFontFormats="0" applyPatternFormats="0" applyAlignmentFormats="0" applyWidthHeightFormats="1" dataCaption="" updatedVersion="5" compact="0" compactData="0" showDrill="1">
  <location ref="F1:H75" firstHeaderRow="1" firstDataRow="1" firstDataCol="2"/>
  <pivotFields count="4">
    <pivotField axis="axisRow" dataField="1" compact="0" sortType="ascending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axis="axisRow" compact="0" sortType="ascending" outline="0" multipleItemSelectionAllowed="1" showAll="0">
      <items count="15">
        <item x="4"/>
        <item x="3"/>
        <item x="0"/>
        <item x="2"/>
        <item x="1"/>
        <item x="5"/>
        <item x="6"/>
        <item x="7"/>
        <item x="8"/>
        <item x="9"/>
        <item x="11"/>
        <item x="12"/>
        <item x="10"/>
        <item x="13"/>
        <item t="default"/>
      </items>
    </pivotField>
    <pivotField compact="0" outline="0" multipleItemSelectionAllowed="1" showAll="0"/>
    <pivotField compact="0" outline="0" multipleItemSelectionAllowed="1" showAll="0"/>
  </pivotFields>
  <rowFields count="2">
    <field x="1"/>
    <field x="0"/>
  </rowFields>
  <rowItems count="74">
    <i>
      <x/>
      <x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5"/>
      <x/>
    </i>
    <i r="1">
      <x v="1"/>
    </i>
    <i r="1">
      <x v="2"/>
    </i>
    <i r="1">
      <x v="4"/>
    </i>
    <i t="default">
      <x v="5"/>
    </i>
    <i>
      <x v="6"/>
      <x/>
    </i>
    <i r="1">
      <x v="2"/>
    </i>
    <i r="1">
      <x v="3"/>
    </i>
    <i r="1">
      <x v="4"/>
    </i>
    <i t="default">
      <x v="6"/>
    </i>
    <i>
      <x v="7"/>
      <x/>
    </i>
    <i r="1">
      <x v="3"/>
    </i>
    <i r="1">
      <x v="4"/>
    </i>
    <i t="default">
      <x v="7"/>
    </i>
    <i>
      <x v="8"/>
      <x/>
    </i>
    <i r="1">
      <x v="1"/>
    </i>
    <i r="1">
      <x v="2"/>
    </i>
    <i r="1">
      <x v="3"/>
    </i>
    <i r="1">
      <x v="4"/>
    </i>
    <i t="default">
      <x v="8"/>
    </i>
    <i>
      <x v="9"/>
      <x/>
    </i>
    <i r="1">
      <x v="1"/>
    </i>
    <i r="1">
      <x v="2"/>
    </i>
    <i r="1">
      <x v="3"/>
    </i>
    <i r="1">
      <x v="4"/>
    </i>
    <i t="default">
      <x v="9"/>
    </i>
    <i>
      <x v="10"/>
      <x/>
    </i>
    <i r="1">
      <x v="1"/>
    </i>
    <i r="1">
      <x v="2"/>
    </i>
    <i r="1">
      <x v="3"/>
    </i>
    <i r="1">
      <x v="4"/>
    </i>
    <i t="default">
      <x v="10"/>
    </i>
    <i>
      <x v="11"/>
      <x/>
    </i>
    <i r="1">
      <x v="2"/>
    </i>
    <i r="1">
      <x v="3"/>
    </i>
    <i r="1">
      <x v="4"/>
    </i>
    <i t="default">
      <x v="11"/>
    </i>
    <i>
      <x v="12"/>
      <x/>
    </i>
    <i r="1">
      <x v="1"/>
    </i>
    <i r="1">
      <x v="2"/>
    </i>
    <i r="1">
      <x v="3"/>
    </i>
    <i r="1">
      <x v="4"/>
    </i>
    <i t="default">
      <x v="12"/>
    </i>
    <i>
      <x v="13"/>
      <x v="5"/>
    </i>
    <i t="default">
      <x v="13"/>
    </i>
    <i t="grand">
      <x/>
    </i>
  </rowItems>
  <colItems count="1">
    <i/>
  </colItems>
  <dataFields count="1">
    <dataField name="Count of Status" fld="0" subtotal="count" baseField="0" baseItem="0"/>
  </dataFields>
  <pivotTableStyleInfo showRowHeaders="1" showColHeaders="1" showLastColumn="1"/>
</pivotTableDefinition>
</file>

<file path=xl/tables/table1.xml><?xml version="1.0" encoding="utf-8"?>
<table xmlns="http://schemas.openxmlformats.org/spreadsheetml/2006/main" id="3" name="Table_3" displayName="Table_3" ref="D4:AQ298">
  <tableColumns count="40">
    <tableColumn id="1" name="With Profiling Forn" dataDxfId="0"/>
    <tableColumn id="2" name="Status" dataDxfId="1"/>
    <tableColumn id="3" name="Cell Group" dataDxfId="2"/>
    <tableColumn id="4" name="Age Group" dataDxfId="3"/>
    <tableColumn id="5" name="CG Position" dataDxfId="4"/>
    <tableColumn id="6" name="Full Name (Last, First)" dataDxfId="5"/>
    <tableColumn id="7" name="Last Name" dataDxfId="6"/>
    <tableColumn id="8" name="First Name" dataDxfId="7"/>
    <tableColumn id="9" name="Middle Initial" dataDxfId="8"/>
    <tableColumn id="10" name="Gender" dataDxfId="9"/>
    <tableColumn id="11" name="Street" dataDxfId="10"/>
    <tableColumn id="12" name="City Address" dataDxfId="11"/>
    <tableColumn id="13" name="Provincial Address" dataDxfId="12"/>
    <tableColumn id="14" name="Contact Number" dataDxfId="13"/>
    <tableColumn id="15" name="Email" dataDxfId="14"/>
    <tableColumn id="16" name="Birthdate" dataDxfId="15"/>
    <tableColumn id="17" name="Age" dataDxfId="16"/>
    <tableColumn id="18" name="Birthplace" dataDxfId="17"/>
    <tableColumn id="19" name="Father" dataDxfId="18"/>
    <tableColumn id="20" name="Mother" dataDxfId="19"/>
    <tableColumn id="21" name="Baptized in Water" dataDxfId="20"/>
    <tableColumn id="22" name="Date" dataDxfId="21"/>
    <tableColumn id="23" name="Baptized in Holy Ghost" dataDxfId="22"/>
    <tableColumn id="24" name="Date2" dataDxfId="23"/>
    <tableColumn id="25" name="Former Religious Affiliation" dataDxfId="24"/>
    <tableColumn id="26" name="Educational Attaintment" dataDxfId="25"/>
    <tableColumn id="27" name="Current Occupation" dataDxfId="26"/>
    <tableColumn id="28" name="Church ministries (Present)" dataDxfId="27"/>
    <tableColumn id="29" name="Church ministries (Past)" dataDxfId="28"/>
    <tableColumn id="30" name="Personal skills" dataDxfId="29"/>
    <tableColumn id="31" name="Sports Interest" dataDxfId="30"/>
    <tableColumn id="32" name="Other skills" dataDxfId="31"/>
    <tableColumn id="33" name="Spouse Name" dataDxfId="32"/>
    <tableColumn id="34" name="Spouse Occupation" dataDxfId="33"/>
    <tableColumn id="35" name="Is you spouse a believer?" dataDxfId="34"/>
    <tableColumn id="36" name="Do both of you attend the same church?" dataDxfId="35"/>
    <tableColumn id="37" name="Emergency Contact" dataDxfId="36"/>
    <tableColumn id="38" name="Address" dataDxfId="37"/>
    <tableColumn id="39" name="Relationship" dataDxfId="38"/>
    <tableColumn id="40" name="Contact Number2" dataDxfId="39"/>
  </tableColumns>
  <tableStyleInfo name="LM-style" showFirstColumn="1" showLastColumn="1" showRowStripes="1" showColumnStripes="0"/>
</table>
</file>

<file path=xl/tables/table2.xml><?xml version="1.0" encoding="utf-8"?>
<table xmlns="http://schemas.openxmlformats.org/spreadsheetml/2006/main" id="2" name="Table_1" displayName="Table_1" ref="D4:AQ299">
  <tableColumns count="40">
    <tableColumn id="1" name="With Profiling Forn" dataDxfId="41"/>
    <tableColumn id="2" name="Status" dataDxfId="42"/>
    <tableColumn id="3" name="Cell Group" dataDxfId="43"/>
    <tableColumn id="4" name="Age Group" dataDxfId="44"/>
    <tableColumn id="5" name="CG Position" dataDxfId="45"/>
    <tableColumn id="6" name="Full Name (Last, First)" dataDxfId="46"/>
    <tableColumn id="7" name="Last Name" dataDxfId="47"/>
    <tableColumn id="8" name="First Name" dataDxfId="48"/>
    <tableColumn id="9" name="Middle Initial" dataDxfId="49"/>
    <tableColumn id="10" name="Gender" dataDxfId="50"/>
    <tableColumn id="11" name="Street" dataDxfId="51"/>
    <tableColumn id="12" name="City Address" dataDxfId="52"/>
    <tableColumn id="13" name="Provincial Address" dataDxfId="53"/>
    <tableColumn id="14" name="Contact Number" dataDxfId="54"/>
    <tableColumn id="15" name="Email" dataDxfId="55"/>
    <tableColumn id="16" name="Birthdate" dataDxfId="56"/>
    <tableColumn id="17" name="Age" dataDxfId="57"/>
    <tableColumn id="18" name="Birthplace" dataDxfId="58"/>
    <tableColumn id="19" name="Father" dataDxfId="59"/>
    <tableColumn id="20" name="Mother" dataDxfId="60"/>
    <tableColumn id="21" name="Baptized in Water" dataDxfId="61"/>
    <tableColumn id="22" name="Date" dataDxfId="62"/>
    <tableColumn id="23" name="Baptized in Holy Ghost" dataDxfId="63"/>
    <tableColumn id="24" name="Date2" dataDxfId="64"/>
    <tableColumn id="25" name="Former Religious Affiliation" dataDxfId="65"/>
    <tableColumn id="26" name="Educational Attaintment" dataDxfId="66"/>
    <tableColumn id="27" name="Current Occupation" dataDxfId="67"/>
    <tableColumn id="28" name="Church ministries (Present)" dataDxfId="68"/>
    <tableColumn id="29" name="Church ministries (Past)" dataDxfId="69"/>
    <tableColumn id="30" name="Personal skills" dataDxfId="70"/>
    <tableColumn id="31" name="Sports Interest" dataDxfId="71"/>
    <tableColumn id="32" name="Other skills" dataDxfId="72"/>
    <tableColumn id="33" name="Spouse Name" dataDxfId="73"/>
    <tableColumn id="34" name="Spouse Occupation" dataDxfId="74"/>
    <tableColumn id="35" name="Is your spouse a believer?" dataDxfId="75"/>
    <tableColumn id="36" name="Do both of you attend the same church?" dataDxfId="76"/>
    <tableColumn id="37" name="Emergency Contact" dataDxfId="77"/>
    <tableColumn id="38" name="Address" dataDxfId="78"/>
    <tableColumn id="39" name="Relationship" dataDxfId="79"/>
    <tableColumn id="40" name="Contact Number2" dataDxfId="80"/>
  </tableColumns>
  <tableStyleInfo name="AMM-style" showFirstColumn="1" showLastColumn="1" showRowStripes="1" showColumnStripes="0"/>
</table>
</file>

<file path=xl/tables/table3.xml><?xml version="1.0" encoding="utf-8"?>
<table xmlns="http://schemas.openxmlformats.org/spreadsheetml/2006/main" id="1" name="Table_2" displayName="Table_2" ref="D4:AS401">
  <tableColumns count="42">
    <tableColumn id="1" name="With Profiling Forn" dataDxfId="81"/>
    <tableColumn id="2" name="Status" dataDxfId="82"/>
    <tableColumn id="3" name="Cell Group" dataDxfId="83"/>
    <tableColumn id="4" name="Age Group" dataDxfId="84"/>
    <tableColumn id="5" name="CG Position" dataDxfId="85"/>
    <tableColumn id="6" name="Full Name (Last, First)" dataDxfId="86"/>
    <tableColumn id="7" name="Last Name" dataDxfId="87"/>
    <tableColumn id="8" name="First Name" dataDxfId="88"/>
    <tableColumn id="9" name="Middle Initial" dataDxfId="89"/>
    <tableColumn id="10" name="Gender" dataDxfId="90"/>
    <tableColumn id="11" name="Street" dataDxfId="91"/>
    <tableColumn id="12" name="City Address" dataDxfId="92"/>
    <tableColumn id="13" name="Provincial Address" dataDxfId="93"/>
    <tableColumn id="14" name="Contact Number" dataDxfId="94"/>
    <tableColumn id="15" name="Email" dataDxfId="95"/>
    <tableColumn id="16" name="Birthdate" dataDxfId="96"/>
    <tableColumn id="17" name="Age" dataDxfId="97"/>
    <tableColumn id="18" name="Birthplace" dataDxfId="98"/>
    <tableColumn id="19" name="Father" dataDxfId="99"/>
    <tableColumn id="20" name="Mother" dataDxfId="100"/>
    <tableColumn id="21" name="Baptized in Water" dataDxfId="101"/>
    <tableColumn id="22" name="Date" dataDxfId="102"/>
    <tableColumn id="23" name="Baptized in Holy Ghost" dataDxfId="103"/>
    <tableColumn id="24" name="Date2" dataDxfId="104"/>
    <tableColumn id="25" name="Former Religious Affiliation" dataDxfId="105"/>
    <tableColumn id="26" name="Home Church" dataDxfId="106"/>
    <tableColumn id="27" name="Pastor's Name" dataDxfId="107"/>
    <tableColumn id="28" name="Educational Attainment" dataDxfId="108"/>
    <tableColumn id="29" name="School Name" dataDxfId="109"/>
    <tableColumn id="30" name="School Organization" dataDxfId="110"/>
    <tableColumn id="31" name="Occupation (if working)" dataDxfId="111"/>
    <tableColumn id="32" name="Church ministries (Present)" dataDxfId="112"/>
    <tableColumn id="33" name="Ministry You Want To Be Part Of" dataDxfId="113"/>
    <tableColumn id="34" name="Personal skills" dataDxfId="114"/>
    <tableColumn id="35" name="Sports Interest" dataDxfId="115"/>
    <tableColumn id="36" name="Other skills" dataDxfId="116"/>
    <tableColumn id="37" name="YLTS/Sectional Youth Con - Times Attended" dataDxfId="117"/>
    <tableColumn id="38" name="Y.C./District Youth Con - Times Attended" dataDxfId="118"/>
    <tableColumn id="39" name="Emergency Contact" dataDxfId="119"/>
    <tableColumn id="40" name="Address" dataDxfId="120"/>
    <tableColumn id="41" name="Relationship" dataDxfId="121"/>
    <tableColumn id="42" name="Contact Number2" dataDxfId="122"/>
  </tableColumns>
  <tableStyleInfo name="Youth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D4:AP201">
  <tableColumns count="39">
    <tableColumn id="1" name="With Profiling Forn" dataDxfId="128"/>
    <tableColumn id="2" name="Status" dataDxfId="129"/>
    <tableColumn id="3" name="Age Group" dataDxfId="130"/>
    <tableColumn id="4" name="Full Name (Last, First)" dataDxfId="131"/>
    <tableColumn id="5" name="Last Name" dataDxfId="132"/>
    <tableColumn id="6" name="First Name" dataDxfId="133"/>
    <tableColumn id="7" name="Middle Initial" dataDxfId="134"/>
    <tableColumn id="8" name="Gender" dataDxfId="135"/>
    <tableColumn id="9" name="Street" dataDxfId="136"/>
    <tableColumn id="10" name="City Address" dataDxfId="137"/>
    <tableColumn id="11" name="Provincial Address" dataDxfId="138"/>
    <tableColumn id="12" name="Contact Number" dataDxfId="139"/>
    <tableColumn id="13" name="Email" dataDxfId="140"/>
    <tableColumn id="14" name="Birthdate" dataDxfId="141"/>
    <tableColumn id="15" name="Age" dataDxfId="142"/>
    <tableColumn id="16" name="Birthplace" dataDxfId="143"/>
    <tableColumn id="17" name="Father" dataDxfId="144"/>
    <tableColumn id="18" name="Mother" dataDxfId="145"/>
    <tableColumn id="19" name="Baptized in Water" dataDxfId="146"/>
    <tableColumn id="20" name="Date" dataDxfId="147"/>
    <tableColumn id="21" name="Baptized in Holy Ghost" dataDxfId="148"/>
    <tableColumn id="22" name="Date2" dataDxfId="149"/>
    <tableColumn id="23" name="Former Religious Affiliation" dataDxfId="150"/>
    <tableColumn id="24" name="Home Church" dataDxfId="151"/>
    <tableColumn id="25" name="Pastor's Name" dataDxfId="152"/>
    <tableColumn id="26" name="Grade level" dataDxfId="153"/>
    <tableColumn id="27" name="School Name" dataDxfId="154"/>
    <tableColumn id="28" name="Health Information" dataDxfId="155"/>
    <tableColumn id="29" name="Allergies" dataDxfId="156"/>
    <tableColumn id="30" name="Medical Conditions" dataDxfId="157"/>
    <tableColumn id="31" name="Ministries you like to be involved in" dataDxfId="158"/>
    <tableColumn id="32" name="Interests and Hobbies" dataDxfId="159"/>
    <tableColumn id="33" name="Favorite Activities" dataDxfId="160"/>
    <tableColumn id="34" name="Favorite Sports" dataDxfId="161"/>
    <tableColumn id="35" name="Special Skills or Talents" dataDxfId="162"/>
    <tableColumn id="36" name="Emergency Contact" dataDxfId="163"/>
    <tableColumn id="37" name="Address" dataDxfId="164"/>
    <tableColumn id="38" name="Relationship" dataDxfId="165"/>
    <tableColumn id="39" name="Contact Number2" dataDxfId="166"/>
  </tableColumns>
  <tableStyleInfo name="Children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D7:BG352">
  <tableColumns count="56">
    <tableColumn id="1" name="#" dataDxfId="167"/>
    <tableColumn id="2" name="DATE ATTENDED" dataDxfId="168"/>
    <tableColumn id="3" name="DEPT" dataDxfId="169"/>
    <tableColumn id="4" name="LAST NAME" dataDxfId="170"/>
    <tableColumn id="5" name="FIRST NAME" dataDxfId="171"/>
    <tableColumn id="6" name="MIDDLE INITIAL" dataDxfId="172"/>
    <tableColumn id="7" name="Full Name (Last, First)" dataDxfId="173"/>
    <tableColumn id="8" name="GENDER" dataDxfId="174"/>
    <tableColumn id="9" name="STREET" dataDxfId="175"/>
    <tableColumn id="10" name="CITY ADDRESS" dataDxfId="176"/>
    <tableColumn id="11" name="PROVINCIAL ADDRESS" dataDxfId="177"/>
    <tableColumn id="12" name="CONTACT NUMBER" dataDxfId="178"/>
    <tableColumn id="13" name="EMAIL" dataDxfId="179"/>
    <tableColumn id="14" name="BIRTHDATE" dataDxfId="180"/>
    <tableColumn id="15" name="AGE" dataDxfId="181"/>
    <tableColumn id="16" name="BIRTHPLACE" dataDxfId="182"/>
    <tableColumn id="17" name="FATHER" dataDxfId="183"/>
    <tableColumn id="18" name="MOTHER" dataDxfId="184"/>
    <tableColumn id="19" name="GUEST OF (LAST, FIRST)" dataDxfId="185"/>
    <tableColumn id="20" name="INTERESTED IN BIBLE STUDY?" dataDxfId="186"/>
    <tableColumn id="21" name="AVAILABLE DAY/S" dataDxfId="187"/>
    <tableColumn id="22" name="AVAILABLE TIME" dataDxfId="188"/>
    <tableColumn id="23" name="START DATE" dataDxfId="189"/>
    <tableColumn id="24" name="ASSIGNED BIBLE STUDY TO" dataDxfId="190"/>
    <tableColumn id="25" name="CONTACT PERSON" dataDxfId="191"/>
    <tableColumn id="26" name="ADDRESS" dataDxfId="192"/>
    <tableColumn id="27" name="RELATIONSHIP" dataDxfId="193"/>
    <tableColumn id="28" name="CONTACT NUMBER2" dataDxfId="194"/>
    <tableColumn id="29" name="Column1" dataDxfId="195"/>
    <tableColumn id="30" name="5" dataDxfId="196"/>
    <tableColumn id="31" name="12" dataDxfId="197"/>
    <tableColumn id="32" name="19" dataDxfId="198"/>
    <tableColumn id="33" name="26" dataDxfId="199"/>
    <tableColumn id="34" name="2" dataDxfId="200"/>
    <tableColumn id="35" name="9" dataDxfId="201"/>
    <tableColumn id="36" name="16" dataDxfId="202"/>
    <tableColumn id="37" name="23" dataDxfId="203"/>
    <tableColumn id="38" name="30" dataDxfId="204"/>
    <tableColumn id="39" name="6" dataDxfId="205"/>
    <tableColumn id="40" name="13" dataDxfId="206"/>
    <tableColumn id="41" name="20" dataDxfId="207"/>
    <tableColumn id="42" name="27" dataDxfId="208"/>
    <tableColumn id="43" name="4" dataDxfId="209"/>
    <tableColumn id="44" name="11" dataDxfId="210"/>
    <tableColumn id="45" name="18" dataDxfId="211"/>
    <tableColumn id="46" name="25" dataDxfId="212"/>
    <tableColumn id="47" name="1" dataDxfId="213"/>
    <tableColumn id="48" name="8" dataDxfId="214"/>
    <tableColumn id="49" name="15" dataDxfId="215"/>
    <tableColumn id="50" name="22" dataDxfId="216"/>
    <tableColumn id="51" name="29" dataDxfId="217"/>
    <tableColumn id="52" name="62" dataDxfId="218"/>
    <tableColumn id="53" name="133" dataDxfId="219"/>
    <tableColumn id="54" name="204" dataDxfId="220"/>
    <tableColumn id="55" name="275" dataDxfId="221"/>
    <tableColumn id="56" name="TOTAL" dataDxfId="222"/>
  </tableColumns>
  <tableStyleInfo name="VA-H300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9" Type="http://schemas.openxmlformats.org/officeDocument/2006/relationships/hyperlink" Target="mailto:miraquintero@gmail.com" TargetMode="External"/><Relationship Id="rId8" Type="http://schemas.openxmlformats.org/officeDocument/2006/relationships/hyperlink" Target="mailto:lipaenjuneafelkate24@gmail.com" TargetMode="External"/><Relationship Id="rId7" Type="http://schemas.openxmlformats.org/officeDocument/2006/relationships/hyperlink" Target="mailto:daliyongmarvie27fd@gmail.com" TargetMode="External"/><Relationship Id="rId6" Type="http://schemas.openxmlformats.org/officeDocument/2006/relationships/hyperlink" Target="mailto:shermanaj2008@gmail.com" TargetMode="External"/><Relationship Id="rId5" Type="http://schemas.openxmlformats.org/officeDocument/2006/relationships/hyperlink" Target="mailto:imshieba@gmail.com" TargetMode="External"/><Relationship Id="rId4" Type="http://schemas.openxmlformats.org/officeDocument/2006/relationships/hyperlink" Target="mailto:banaagaldgerynef@gmail.com" TargetMode="External"/><Relationship Id="rId37" Type="http://schemas.openxmlformats.org/officeDocument/2006/relationships/hyperlink" Target="mailto:a.jsolis37@gmail.com" TargetMode="External"/><Relationship Id="rId36" Type="http://schemas.openxmlformats.org/officeDocument/2006/relationships/hyperlink" Target="mailto:henzycastro@gmail.com" TargetMode="External"/><Relationship Id="rId35" Type="http://schemas.openxmlformats.org/officeDocument/2006/relationships/hyperlink" Target="mailto:graziawazian@gmail.com" TargetMode="External"/><Relationship Id="rId34" Type="http://schemas.openxmlformats.org/officeDocument/2006/relationships/hyperlink" Target="mailto:quevedogwyneth03@gmail.com" TargetMode="External"/><Relationship Id="rId33" Type="http://schemas.openxmlformats.org/officeDocument/2006/relationships/hyperlink" Target="mailto:kc08bambao@gmail.com" TargetMode="External"/><Relationship Id="rId32" Type="http://schemas.openxmlformats.org/officeDocument/2006/relationships/hyperlink" Target="mailto:gloryanne7camodag@gmail.com" TargetMode="External"/><Relationship Id="rId31" Type="http://schemas.openxmlformats.org/officeDocument/2006/relationships/hyperlink" Target="mailto:emmanprado02@gmail.com" TargetMode="External"/><Relationship Id="rId30" Type="http://schemas.openxmlformats.org/officeDocument/2006/relationships/hyperlink" Target="mailto:trentjordan2503@gmail.com" TargetMode="External"/><Relationship Id="rId3" Type="http://schemas.openxmlformats.org/officeDocument/2006/relationships/hyperlink" Target="mailto:geraldine100908@gmail.com" TargetMode="External"/><Relationship Id="rId29" Type="http://schemas.openxmlformats.org/officeDocument/2006/relationships/hyperlink" Target="mailto:cedrickcruz758@gmail.com" TargetMode="External"/><Relationship Id="rId28" Type="http://schemas.openxmlformats.org/officeDocument/2006/relationships/hyperlink" Target="mailto:melvintindo21@gmail.com" TargetMode="External"/><Relationship Id="rId27" Type="http://schemas.openxmlformats.org/officeDocument/2006/relationships/hyperlink" Target="mailto:marvintindo01@gmail.com" TargetMode="External"/><Relationship Id="rId26" Type="http://schemas.openxmlformats.org/officeDocument/2006/relationships/hyperlink" Target="mailto:patchangkyla8@gmail.com" TargetMode="External"/><Relationship Id="rId25" Type="http://schemas.openxmlformats.org/officeDocument/2006/relationships/hyperlink" Target="mailto:ggem.bbasilio.2@gmail.com" TargetMode="External"/><Relationship Id="rId24" Type="http://schemas.openxmlformats.org/officeDocument/2006/relationships/hyperlink" Target="mailto:feliciano.gidoen1012@gmail.com" TargetMode="External"/><Relationship Id="rId23" Type="http://schemas.openxmlformats.org/officeDocument/2006/relationships/hyperlink" Target="mailto:sevenfour18@gmail.com" TargetMode="External"/><Relationship Id="rId22" Type="http://schemas.openxmlformats.org/officeDocument/2006/relationships/hyperlink" Target="mailto:otrebiregoso07@gmail.com" TargetMode="External"/><Relationship Id="rId21" Type="http://schemas.openxmlformats.org/officeDocument/2006/relationships/hyperlink" Target="mailto:greendail31@gmail.com" TargetMode="External"/><Relationship Id="rId20" Type="http://schemas.openxmlformats.org/officeDocument/2006/relationships/hyperlink" Target="mailto:jjpayan08@gmail.com" TargetMode="External"/><Relationship Id="rId2" Type="http://schemas.openxmlformats.org/officeDocument/2006/relationships/hyperlink" Target="mailto:jonairacastillejo@gmail.com" TargetMode="External"/><Relationship Id="rId19" Type="http://schemas.openxmlformats.org/officeDocument/2006/relationships/hyperlink" Target="mailto:havileigh.daiwey@gmail.com" TargetMode="External"/><Relationship Id="rId18" Type="http://schemas.openxmlformats.org/officeDocument/2006/relationships/hyperlink" Target="mailto:alparito13@gmail.com" TargetMode="External"/><Relationship Id="rId17" Type="http://schemas.openxmlformats.org/officeDocument/2006/relationships/hyperlink" Target="mailto:linellegarciakm12@gmail.com" TargetMode="External"/><Relationship Id="rId16" Type="http://schemas.openxmlformats.org/officeDocument/2006/relationships/hyperlink" Target="mailto:yamielakhaleen@gmail.com" TargetMode="External"/><Relationship Id="rId15" Type="http://schemas.openxmlformats.org/officeDocument/2006/relationships/hyperlink" Target="mailto:cabbigatjinkymae@gmail.com" TargetMode="External"/><Relationship Id="rId14" Type="http://schemas.openxmlformats.org/officeDocument/2006/relationships/hyperlink" Target="mailto:castillejojamaica0723@gmail.com" TargetMode="External"/><Relationship Id="rId13" Type="http://schemas.openxmlformats.org/officeDocument/2006/relationships/hyperlink" Target="mailto:arianahdacanay05@gmail.com" TargetMode="External"/><Relationship Id="rId12" Type="http://schemas.openxmlformats.org/officeDocument/2006/relationships/hyperlink" Target="mailto:tisadacanay29@gmail.com" TargetMode="External"/><Relationship Id="rId11" Type="http://schemas.openxmlformats.org/officeDocument/2006/relationships/hyperlink" Target="mailto:heremiashose07@gmail.com" TargetMode="External"/><Relationship Id="rId10" Type="http://schemas.openxmlformats.org/officeDocument/2006/relationships/hyperlink" Target="mailto:rjtapnio23@gmail.com" TargetMode="External"/><Relationship Id="rId1" Type="http://schemas.openxmlformats.org/officeDocument/2006/relationships/hyperlink" Target="mailto:tamoalechk@gmail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1:H1000"/>
  <sheetViews>
    <sheetView showGridLines="0" workbookViewId="0">
      <selection activeCell="A1" sqref="A1"/>
    </sheetView>
  </sheetViews>
  <sheetFormatPr defaultColWidth="12.6333333333333" defaultRowHeight="15" customHeight="1" outlineLevelCol="7"/>
  <cols>
    <col min="1" max="1" width="1.38333333333333" customWidth="1"/>
    <col min="2" max="2" width="11" customWidth="1"/>
    <col min="3" max="3" width="12.1333333333333" customWidth="1"/>
    <col min="4" max="4" width="8.75" customWidth="1"/>
    <col min="5" max="5" width="8.63333333333333" customWidth="1"/>
    <col min="6" max="6" width="12.1333333333333" customWidth="1"/>
    <col min="7" max="8" width="8.75" customWidth="1"/>
    <col min="9" max="26" width="14.3833333333333" customWidth="1"/>
  </cols>
  <sheetData>
    <row r="1" ht="8.25" customHeight="1"/>
    <row r="2" ht="22.8" spans="2:8">
      <c r="B2" s="216" t="s">
        <v>0</v>
      </c>
    </row>
    <row r="5" ht="13.8" spans="2:8">
      <c r="B5" s="217" t="s">
        <v>1</v>
      </c>
      <c r="C5" s="55"/>
      <c r="H5" s="218"/>
    </row>
    <row r="6" ht="13.8" spans="2:8">
      <c r="B6" s="219"/>
      <c r="C6" s="220"/>
      <c r="H6" s="218"/>
    </row>
    <row r="7" ht="13.8" spans="2:8">
      <c r="B7" s="221" t="s">
        <v>2</v>
      </c>
      <c r="C7" s="222">
        <f>COUNTA(LM!$K$5:$K$298)</f>
        <v>183</v>
      </c>
    </row>
    <row r="8" ht="13.8" spans="2:8">
      <c r="B8" s="221" t="s">
        <v>3</v>
      </c>
      <c r="C8" s="222">
        <f>COUNTA(AMM!$K$5:$K$299)</f>
        <v>76</v>
      </c>
    </row>
    <row r="9" ht="13.8" spans="2:8">
      <c r="B9" s="221" t="s">
        <v>4</v>
      </c>
      <c r="C9" s="222">
        <f>COUNTA(Youth!K5:K401)</f>
        <v>192</v>
      </c>
    </row>
    <row r="10" ht="13.8" spans="2:8">
      <c r="B10" s="221" t="s">
        <v>5</v>
      </c>
      <c r="C10" s="222">
        <f>COUNTA(Childrens!J5:J1001)</f>
        <v>19</v>
      </c>
      <c r="E10" s="33"/>
      <c r="F10" s="33"/>
    </row>
    <row r="11" ht="14.55" spans="2:8">
      <c r="B11" s="223"/>
      <c r="C11" s="224">
        <f>SUM(C7:C10)</f>
        <v>470</v>
      </c>
    </row>
    <row r="14" ht="13.8" spans="2:8">
      <c r="B14" s="225"/>
      <c r="C14" s="226" t="s">
        <v>6</v>
      </c>
      <c r="D14" s="54"/>
      <c r="E14" s="227"/>
    </row>
    <row r="15" ht="13.8" spans="2:8">
      <c r="B15" s="221"/>
      <c r="C15" s="228" t="s">
        <v>7</v>
      </c>
      <c r="D15" s="228" t="s">
        <v>8</v>
      </c>
      <c r="E15" s="229"/>
    </row>
    <row r="16" ht="13.8" spans="2:8">
      <c r="B16" s="221" t="s">
        <v>2</v>
      </c>
      <c r="C16" s="33">
        <f>COUNTIF(LM!$D$5:$D$298,"YES")</f>
        <v>106</v>
      </c>
      <c r="D16" s="33">
        <f>COUNTIF(LM!$D$5:$D$298,"NO")</f>
        <v>77</v>
      </c>
      <c r="E16" s="222">
        <f t="shared" ref="E16:E18" si="0">C16+D16</f>
        <v>183</v>
      </c>
    </row>
    <row r="17" ht="13.8" spans="2:5">
      <c r="B17" s="221" t="s">
        <v>3</v>
      </c>
      <c r="C17" s="33">
        <f>COUNTIF(AMM!$D$5:$D$299,"YES")</f>
        <v>49</v>
      </c>
      <c r="D17" s="33">
        <f>COUNTIF(AMM!$D$5:$D$299,"NO")</f>
        <v>27</v>
      </c>
      <c r="E17" s="222">
        <f t="shared" si="0"/>
        <v>76</v>
      </c>
    </row>
    <row r="18" ht="13.8" spans="2:5">
      <c r="B18" s="221" t="s">
        <v>4</v>
      </c>
      <c r="C18" s="33">
        <f>COUNTIF(Youth!$D$5:$D$401,"YES")</f>
        <v>90</v>
      </c>
      <c r="D18" s="33">
        <f>COUNTIF(Youth!$D$5:$D$401,"NO")</f>
        <v>102</v>
      </c>
      <c r="E18" s="222">
        <f t="shared" si="0"/>
        <v>192</v>
      </c>
    </row>
    <row r="19" ht="13.8" spans="2:5">
      <c r="B19" s="221" t="s">
        <v>5</v>
      </c>
      <c r="E19" s="222"/>
    </row>
    <row r="20" ht="14.55" spans="2:5">
      <c r="B20" s="223"/>
      <c r="C20" s="230"/>
      <c r="D20" s="230"/>
      <c r="E20" s="2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5:C5"/>
    <mergeCell ref="C14:D14"/>
  </mergeCell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F4861"/>
  </sheetPr>
  <dimension ref="A1:AQ999"/>
  <sheetViews>
    <sheetView showGridLines="0" workbookViewId="0">
      <pane xSplit="9" ySplit="4" topLeftCell="J5" activePane="bottomRight" state="frozen"/>
      <selection/>
      <selection pane="topRight"/>
      <selection pane="bottomLeft"/>
      <selection pane="bottomRight" activeCell="J5" sqref="J5"/>
    </sheetView>
  </sheetViews>
  <sheetFormatPr defaultColWidth="12.6333333333333" defaultRowHeight="15" customHeight="1"/>
  <cols>
    <col min="1" max="1" width="14.75" customWidth="1"/>
    <col min="2" max="2" width="15.6333333333333" customWidth="1"/>
    <col min="3" max="3" width="2.38333333333333" customWidth="1"/>
    <col min="4" max="4" width="10.5" customWidth="1"/>
    <col min="5" max="5" width="8.25" customWidth="1"/>
    <col min="6" max="6" width="13.3833333333333" customWidth="1"/>
    <col min="7" max="7" width="9.75" hidden="1" customWidth="1"/>
    <col min="8" max="8" width="17.1333333333333" customWidth="1"/>
    <col min="9" max="9" width="23.3833333333333" customWidth="1"/>
    <col min="10" max="10" width="21" customWidth="1"/>
    <col min="11" max="11" width="15" customWidth="1"/>
    <col min="12" max="12" width="16.3833333333333" customWidth="1"/>
    <col min="13" max="13" width="12.3833333333333" hidden="1" customWidth="1"/>
    <col min="14" max="14" width="33.75" customWidth="1"/>
    <col min="15" max="15" width="27.25" customWidth="1"/>
    <col min="16" max="16" width="35.5" customWidth="1"/>
    <col min="17" max="17" width="29" customWidth="1"/>
    <col min="18" max="18" width="28" customWidth="1"/>
    <col min="19" max="19" width="32.6333333333333" customWidth="1"/>
    <col min="20" max="20" width="5.38333333333333" customWidth="1"/>
    <col min="21" max="21" width="27.25" customWidth="1"/>
    <col min="22" max="22" width="27.1333333333333" customWidth="1"/>
    <col min="23" max="23" width="26.75" customWidth="1"/>
    <col min="24" max="24" width="10.75" customWidth="1"/>
    <col min="25" max="25" width="17.6333333333333" customWidth="1"/>
    <col min="26" max="26" width="10.75" customWidth="1"/>
    <col min="27" max="27" width="18.6333333333333" customWidth="1"/>
    <col min="28" max="28" width="39.8833333333333" customWidth="1"/>
    <col min="29" max="29" width="35.8833333333333" customWidth="1"/>
    <col min="30" max="30" width="24.3833333333333" customWidth="1"/>
    <col min="31" max="31" width="32.1333333333333" customWidth="1"/>
    <col min="32" max="32" width="35.8833333333333" customWidth="1"/>
    <col min="33" max="33" width="56.1333333333333" customWidth="1"/>
    <col min="34" max="34" width="30.1333333333333" customWidth="1"/>
    <col min="35" max="35" width="42.75" customWidth="1"/>
    <col min="36" max="36" width="22.8833333333333" customWidth="1"/>
    <col min="37" max="37" width="36" customWidth="1"/>
    <col min="38" max="38" width="13.25" customWidth="1"/>
    <col min="39" max="39" width="15" customWidth="1"/>
    <col min="40" max="40" width="20.3833333333333" customWidth="1"/>
    <col min="41" max="41" width="30.3833333333333" customWidth="1"/>
    <col min="42" max="42" width="38.6333333333333" customWidth="1"/>
    <col min="43" max="43" width="19.1333333333333" customWidth="1"/>
  </cols>
  <sheetData>
    <row r="1" ht="39" customHeight="1" spans="1:43">
      <c r="A1" s="167" t="s">
        <v>9</v>
      </c>
      <c r="B1" s="29"/>
      <c r="C1" s="29"/>
      <c r="D1" s="31"/>
      <c r="E1" s="31"/>
      <c r="F1" s="32"/>
      <c r="G1" s="32"/>
      <c r="H1" s="32"/>
      <c r="I1" s="33"/>
      <c r="J1" s="32"/>
      <c r="K1" s="32"/>
      <c r="L1" s="32"/>
      <c r="M1" s="32"/>
      <c r="N1" s="32"/>
      <c r="O1" s="32"/>
      <c r="P1" s="31"/>
      <c r="Q1" s="33"/>
      <c r="R1" s="27"/>
      <c r="S1" s="27"/>
      <c r="T1" s="27"/>
      <c r="U1" s="33"/>
      <c r="V1" s="30"/>
      <c r="W1" s="33"/>
      <c r="X1" s="30"/>
      <c r="Y1" s="27"/>
      <c r="Z1" s="27"/>
      <c r="AA1" s="32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</row>
    <row r="2" ht="15.15" spans="1:43">
      <c r="A2" s="29"/>
      <c r="B2" s="29"/>
      <c r="C2" s="29"/>
      <c r="D2" s="32"/>
      <c r="E2" s="32"/>
      <c r="F2" s="32"/>
      <c r="G2" s="32"/>
      <c r="H2" s="32"/>
      <c r="I2" s="32"/>
      <c r="J2" s="32"/>
      <c r="K2" s="32"/>
      <c r="L2" s="33"/>
      <c r="M2" s="32"/>
      <c r="N2" s="32"/>
      <c r="O2" s="32"/>
      <c r="P2" s="32"/>
      <c r="Q2" s="32"/>
      <c r="R2" s="32"/>
      <c r="S2" s="31"/>
      <c r="T2" s="33"/>
      <c r="U2" s="27"/>
      <c r="V2" s="27"/>
      <c r="W2" s="27"/>
      <c r="X2" s="27"/>
      <c r="Y2" s="98"/>
      <c r="Z2" s="27"/>
      <c r="AA2" s="31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ht="15.15" spans="1:43">
      <c r="A3" s="168" t="s">
        <v>10</v>
      </c>
      <c r="B3" s="169">
        <f>SUBTOTAL(3,LM!$K$5:$K$298)</f>
        <v>183</v>
      </c>
      <c r="C3" s="51"/>
      <c r="D3" s="170"/>
      <c r="E3" s="32"/>
      <c r="F3" s="32"/>
      <c r="G3" s="32"/>
      <c r="H3" s="32"/>
      <c r="I3" s="32"/>
      <c r="J3" s="32"/>
      <c r="K3" s="32"/>
      <c r="L3" s="33"/>
      <c r="M3" s="32"/>
      <c r="N3" s="32"/>
      <c r="O3" s="32"/>
      <c r="P3" s="32"/>
      <c r="Q3" s="32"/>
      <c r="R3" s="32"/>
      <c r="S3" s="31"/>
      <c r="T3" s="33"/>
      <c r="U3" s="27"/>
      <c r="V3" s="27"/>
      <c r="W3" s="27"/>
      <c r="X3" s="210"/>
      <c r="Y3" s="98"/>
      <c r="Z3" s="27"/>
      <c r="AA3" s="31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</row>
    <row r="4" ht="29.25" customHeight="1" spans="1:43">
      <c r="A4" s="211"/>
      <c r="B4" s="211"/>
      <c r="C4" s="211"/>
      <c r="D4" s="171" t="s">
        <v>11</v>
      </c>
      <c r="E4" s="71" t="s">
        <v>12</v>
      </c>
      <c r="F4" s="71" t="s">
        <v>13</v>
      </c>
      <c r="G4" s="71" t="s">
        <v>14</v>
      </c>
      <c r="H4" s="71" t="s">
        <v>15</v>
      </c>
      <c r="I4" s="61" t="s">
        <v>16</v>
      </c>
      <c r="J4" s="200" t="s">
        <v>17</v>
      </c>
      <c r="K4" s="200" t="s">
        <v>18</v>
      </c>
      <c r="L4" s="200" t="s">
        <v>19</v>
      </c>
      <c r="M4" s="212" t="s">
        <v>20</v>
      </c>
      <c r="N4" s="200" t="s">
        <v>21</v>
      </c>
      <c r="O4" s="200" t="s">
        <v>22</v>
      </c>
      <c r="P4" s="200" t="s">
        <v>23</v>
      </c>
      <c r="Q4" s="200" t="s">
        <v>24</v>
      </c>
      <c r="R4" s="200" t="s">
        <v>25</v>
      </c>
      <c r="S4" s="201" t="s">
        <v>26</v>
      </c>
      <c r="T4" s="71" t="s">
        <v>27</v>
      </c>
      <c r="U4" s="71" t="s">
        <v>28</v>
      </c>
      <c r="V4" s="71" t="s">
        <v>29</v>
      </c>
      <c r="W4" s="71" t="s">
        <v>30</v>
      </c>
      <c r="X4" s="71" t="s">
        <v>31</v>
      </c>
      <c r="Y4" s="202" t="s">
        <v>32</v>
      </c>
      <c r="Z4" s="71" t="s">
        <v>33</v>
      </c>
      <c r="AA4" s="213" t="s">
        <v>34</v>
      </c>
      <c r="AB4" s="172" t="s">
        <v>35</v>
      </c>
      <c r="AC4" s="172" t="s">
        <v>36</v>
      </c>
      <c r="AD4" s="172" t="s">
        <v>37</v>
      </c>
      <c r="AE4" s="176" t="s">
        <v>38</v>
      </c>
      <c r="AF4" s="176" t="s">
        <v>39</v>
      </c>
      <c r="AG4" s="71" t="s">
        <v>40</v>
      </c>
      <c r="AH4" s="71" t="s">
        <v>41</v>
      </c>
      <c r="AI4" s="71" t="s">
        <v>42</v>
      </c>
      <c r="AJ4" s="71" t="s">
        <v>43</v>
      </c>
      <c r="AK4" s="71" t="s">
        <v>44</v>
      </c>
      <c r="AL4" s="71" t="s">
        <v>45</v>
      </c>
      <c r="AM4" s="71" t="s">
        <v>46</v>
      </c>
      <c r="AN4" s="71" t="s">
        <v>47</v>
      </c>
      <c r="AO4" s="71" t="s">
        <v>48</v>
      </c>
      <c r="AP4" s="71" t="s">
        <v>49</v>
      </c>
      <c r="AQ4" s="71" t="s">
        <v>50</v>
      </c>
    </row>
    <row r="5" ht="14.4" spans="1:43">
      <c r="A5" s="29"/>
      <c r="B5" s="29"/>
      <c r="C5" s="29"/>
      <c r="D5" s="32" t="s">
        <v>51</v>
      </c>
      <c r="E5" s="32"/>
      <c r="F5" s="32" t="s">
        <v>52</v>
      </c>
      <c r="G5" s="32"/>
      <c r="H5" s="32" t="s">
        <v>53</v>
      </c>
      <c r="I5" s="27" t="str">
        <f t="shared" ref="I5:I298" si="0">IF(AND(K5="",J5=""),"",CONCATENATE(J5,", ",K5))</f>
        <v>Abuan, Christine</v>
      </c>
      <c r="J5" s="32" t="s">
        <v>54</v>
      </c>
      <c r="K5" s="32" t="s">
        <v>55</v>
      </c>
      <c r="L5" s="33" t="s">
        <v>56</v>
      </c>
      <c r="M5" s="32" t="s">
        <v>57</v>
      </c>
      <c r="N5" s="32" t="s">
        <v>58</v>
      </c>
      <c r="O5" s="32" t="s">
        <v>59</v>
      </c>
      <c r="P5" s="32" t="s">
        <v>60</v>
      </c>
      <c r="Q5" s="32" t="s">
        <v>61</v>
      </c>
      <c r="R5" s="32" t="s">
        <v>62</v>
      </c>
      <c r="S5" s="31">
        <v>33970</v>
      </c>
      <c r="T5" s="88">
        <f ca="1" t="shared" ref="T5:T298" si="1">IF(S5="","",DATEDIF(S5,TODAY(),"Y"))</f>
        <v>33</v>
      </c>
      <c r="U5" s="27" t="s">
        <v>63</v>
      </c>
      <c r="V5" s="27" t="s">
        <v>64</v>
      </c>
      <c r="W5" s="27" t="s">
        <v>65</v>
      </c>
      <c r="X5" s="27" t="s">
        <v>51</v>
      </c>
      <c r="Y5" s="232" t="s">
        <v>66</v>
      </c>
      <c r="Z5" s="27" t="s">
        <v>51</v>
      </c>
      <c r="AA5" s="233" t="s">
        <v>67</v>
      </c>
      <c r="AB5" s="27"/>
      <c r="AC5" s="27" t="s">
        <v>68</v>
      </c>
      <c r="AD5" s="27" t="s">
        <v>69</v>
      </c>
      <c r="AE5" s="27" t="s">
        <v>70</v>
      </c>
      <c r="AF5" s="27" t="s">
        <v>71</v>
      </c>
      <c r="AG5" s="27"/>
      <c r="AH5" s="27" t="s">
        <v>72</v>
      </c>
      <c r="AI5" s="27"/>
      <c r="AJ5" s="27" t="s">
        <v>73</v>
      </c>
      <c r="AK5" s="27" t="s">
        <v>74</v>
      </c>
      <c r="AL5" s="27" t="s">
        <v>51</v>
      </c>
      <c r="AM5" s="27" t="s">
        <v>51</v>
      </c>
      <c r="AN5" s="27" t="s">
        <v>75</v>
      </c>
      <c r="AO5" s="32" t="s">
        <v>76</v>
      </c>
      <c r="AP5" s="27" t="s">
        <v>77</v>
      </c>
      <c r="AQ5" s="27" t="s">
        <v>78</v>
      </c>
    </row>
    <row r="6" ht="14.4" spans="1:43">
      <c r="A6" s="29"/>
      <c r="B6" s="29"/>
      <c r="C6" s="29"/>
      <c r="D6" s="32" t="s">
        <v>79</v>
      </c>
      <c r="E6" s="32"/>
      <c r="F6" s="32" t="s">
        <v>80</v>
      </c>
      <c r="G6" s="32"/>
      <c r="H6" s="32" t="s">
        <v>81</v>
      </c>
      <c r="I6" s="27" t="str">
        <f t="shared" si="0"/>
        <v>Abuan, Maria Fe</v>
      </c>
      <c r="J6" s="32" t="s">
        <v>54</v>
      </c>
      <c r="K6" s="32" t="s">
        <v>82</v>
      </c>
      <c r="L6" s="33" t="s">
        <v>83</v>
      </c>
      <c r="M6" s="32" t="s">
        <v>57</v>
      </c>
      <c r="N6" s="32" t="s">
        <v>58</v>
      </c>
      <c r="O6" s="32" t="s">
        <v>59</v>
      </c>
      <c r="P6" s="32"/>
      <c r="Q6" s="32" t="s">
        <v>84</v>
      </c>
      <c r="R6" s="32"/>
      <c r="S6" s="31">
        <v>22531</v>
      </c>
      <c r="T6" s="88">
        <f ca="1" t="shared" si="1"/>
        <v>65</v>
      </c>
      <c r="U6" s="27"/>
      <c r="V6" s="27"/>
      <c r="W6" s="27"/>
      <c r="X6" s="27"/>
      <c r="Y6" s="98"/>
      <c r="Z6" s="27"/>
      <c r="AA6" s="31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</row>
    <row r="7" ht="14.4" spans="1:43">
      <c r="A7" s="29"/>
      <c r="B7" s="29"/>
      <c r="C7" s="29"/>
      <c r="D7" s="32" t="s">
        <v>79</v>
      </c>
      <c r="E7" s="32"/>
      <c r="F7" s="32" t="s">
        <v>85</v>
      </c>
      <c r="G7" s="32"/>
      <c r="H7" s="32" t="s">
        <v>81</v>
      </c>
      <c r="I7" s="27" t="str">
        <f t="shared" si="0"/>
        <v>Akiapat, Felipa</v>
      </c>
      <c r="J7" s="32" t="s">
        <v>86</v>
      </c>
      <c r="K7" s="32" t="s">
        <v>87</v>
      </c>
      <c r="L7" s="33"/>
      <c r="M7" s="32" t="s">
        <v>57</v>
      </c>
      <c r="N7" s="32" t="s">
        <v>88</v>
      </c>
      <c r="O7" s="32" t="s">
        <v>89</v>
      </c>
      <c r="P7" s="32"/>
      <c r="Q7" s="32" t="s">
        <v>90</v>
      </c>
      <c r="R7" s="32"/>
      <c r="S7" s="31">
        <v>20718</v>
      </c>
      <c r="T7" s="88">
        <f ca="1" t="shared" si="1"/>
        <v>70</v>
      </c>
      <c r="U7" s="27"/>
      <c r="V7" s="27"/>
      <c r="W7" s="27"/>
      <c r="X7" s="27"/>
      <c r="Y7" s="98"/>
      <c r="Z7" s="27"/>
      <c r="AA7" s="31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</row>
    <row r="8" ht="14.4" spans="1:43">
      <c r="A8" s="29"/>
      <c r="B8" s="29"/>
      <c r="C8" s="29"/>
      <c r="D8" s="32" t="s">
        <v>51</v>
      </c>
      <c r="E8" s="32"/>
      <c r="F8" s="32" t="s">
        <v>91</v>
      </c>
      <c r="G8" s="32"/>
      <c r="H8" s="32" t="s">
        <v>92</v>
      </c>
      <c r="I8" s="199" t="str">
        <f t="shared" si="0"/>
        <v>Alarcio, Grace</v>
      </c>
      <c r="J8" s="32" t="s">
        <v>93</v>
      </c>
      <c r="K8" s="32" t="s">
        <v>94</v>
      </c>
      <c r="L8" s="33"/>
      <c r="M8" s="32" t="s">
        <v>57</v>
      </c>
      <c r="N8" s="32" t="s">
        <v>95</v>
      </c>
      <c r="O8" s="32" t="s">
        <v>96</v>
      </c>
      <c r="P8" s="32"/>
      <c r="Q8" s="32" t="s">
        <v>97</v>
      </c>
      <c r="R8" s="32"/>
      <c r="S8" s="31">
        <v>28065</v>
      </c>
      <c r="T8" s="88">
        <f ca="1" t="shared" si="1"/>
        <v>49</v>
      </c>
      <c r="U8" s="27" t="s">
        <v>98</v>
      </c>
      <c r="V8" s="27" t="s">
        <v>99</v>
      </c>
      <c r="W8" s="27" t="s">
        <v>100</v>
      </c>
      <c r="X8" s="27" t="s">
        <v>51</v>
      </c>
      <c r="Y8" s="232" t="s">
        <v>101</v>
      </c>
      <c r="Z8" s="27" t="s">
        <v>51</v>
      </c>
      <c r="AA8" s="233" t="s">
        <v>101</v>
      </c>
      <c r="AB8" s="27" t="s">
        <v>102</v>
      </c>
      <c r="AC8" s="27" t="s">
        <v>103</v>
      </c>
      <c r="AD8" s="27" t="s">
        <v>104</v>
      </c>
      <c r="AE8" s="27" t="s">
        <v>105</v>
      </c>
      <c r="AF8" s="27" t="s">
        <v>106</v>
      </c>
      <c r="AG8" s="27"/>
      <c r="AH8" s="27"/>
      <c r="AI8" s="27" t="s">
        <v>107</v>
      </c>
      <c r="AJ8" s="27" t="s">
        <v>108</v>
      </c>
      <c r="AK8" s="27" t="s">
        <v>109</v>
      </c>
      <c r="AL8" s="27" t="s">
        <v>51</v>
      </c>
      <c r="AM8" s="27" t="s">
        <v>51</v>
      </c>
      <c r="AN8" s="27" t="s">
        <v>108</v>
      </c>
      <c r="AO8" s="32" t="s">
        <v>110</v>
      </c>
      <c r="AP8" s="27" t="s">
        <v>77</v>
      </c>
      <c r="AQ8" s="27" t="s">
        <v>111</v>
      </c>
    </row>
    <row r="9" ht="14.4" spans="1:43">
      <c r="A9" s="29"/>
      <c r="B9" s="29"/>
      <c r="C9" s="29"/>
      <c r="D9" s="32" t="s">
        <v>51</v>
      </c>
      <c r="E9" s="32"/>
      <c r="F9" s="32" t="s">
        <v>91</v>
      </c>
      <c r="G9" s="32"/>
      <c r="H9" s="32" t="s">
        <v>81</v>
      </c>
      <c r="I9" s="27" t="str">
        <f t="shared" si="0"/>
        <v>Alarcio, Kaye Cee</v>
      </c>
      <c r="J9" s="32" t="s">
        <v>93</v>
      </c>
      <c r="K9" s="32" t="s">
        <v>112</v>
      </c>
      <c r="L9" s="33" t="s">
        <v>113</v>
      </c>
      <c r="M9" s="32" t="s">
        <v>57</v>
      </c>
      <c r="N9" s="32" t="s">
        <v>95</v>
      </c>
      <c r="O9" s="32" t="s">
        <v>96</v>
      </c>
      <c r="P9" s="32"/>
      <c r="Q9" s="32" t="s">
        <v>114</v>
      </c>
      <c r="R9" s="32" t="s">
        <v>115</v>
      </c>
      <c r="S9" s="31">
        <v>35948</v>
      </c>
      <c r="T9" s="88">
        <f ca="1" t="shared" si="1"/>
        <v>28</v>
      </c>
      <c r="U9" s="27" t="s">
        <v>116</v>
      </c>
      <c r="V9" s="27" t="s">
        <v>117</v>
      </c>
      <c r="W9" s="27" t="s">
        <v>118</v>
      </c>
      <c r="X9" s="27" t="s">
        <v>51</v>
      </c>
      <c r="Y9" s="232" t="s">
        <v>119</v>
      </c>
      <c r="Z9" s="27" t="s">
        <v>51</v>
      </c>
      <c r="AA9" s="233" t="s">
        <v>120</v>
      </c>
      <c r="AB9" s="27" t="s">
        <v>121</v>
      </c>
      <c r="AC9" s="27" t="s">
        <v>68</v>
      </c>
      <c r="AD9" s="27" t="s">
        <v>104</v>
      </c>
      <c r="AE9" s="27"/>
      <c r="AF9" s="27"/>
      <c r="AG9" s="27"/>
      <c r="AH9" s="27"/>
      <c r="AI9" s="27"/>
      <c r="AJ9" s="27" t="s">
        <v>122</v>
      </c>
      <c r="AK9" s="27" t="s">
        <v>104</v>
      </c>
      <c r="AL9" s="27" t="s">
        <v>51</v>
      </c>
      <c r="AM9" s="27" t="s">
        <v>51</v>
      </c>
      <c r="AN9" s="27" t="s">
        <v>122</v>
      </c>
      <c r="AO9" s="27" t="s">
        <v>123</v>
      </c>
      <c r="AP9" s="27" t="s">
        <v>77</v>
      </c>
      <c r="AQ9" s="27" t="s">
        <v>124</v>
      </c>
    </row>
    <row r="10" ht="14.4" spans="1:43">
      <c r="A10" s="29"/>
      <c r="B10" s="29"/>
      <c r="C10" s="29"/>
      <c r="D10" s="32" t="s">
        <v>51</v>
      </c>
      <c r="E10" s="32"/>
      <c r="F10" s="32" t="s">
        <v>125</v>
      </c>
      <c r="G10" s="32"/>
      <c r="H10" s="32" t="s">
        <v>126</v>
      </c>
      <c r="I10" s="27" t="str">
        <f t="shared" si="0"/>
        <v>Alcoriza, Jocelyn</v>
      </c>
      <c r="J10" s="32" t="s">
        <v>127</v>
      </c>
      <c r="K10" s="32" t="s">
        <v>128</v>
      </c>
      <c r="L10" s="33"/>
      <c r="M10" s="32" t="s">
        <v>57</v>
      </c>
      <c r="N10" s="32"/>
      <c r="O10" s="32" t="s">
        <v>129</v>
      </c>
      <c r="P10" s="32"/>
      <c r="Q10" s="32" t="s">
        <v>130</v>
      </c>
      <c r="R10" s="32"/>
      <c r="S10" s="31">
        <v>27167</v>
      </c>
      <c r="T10" s="88">
        <f ca="1" t="shared" si="1"/>
        <v>52</v>
      </c>
      <c r="U10" s="27" t="s">
        <v>131</v>
      </c>
      <c r="V10" s="27" t="s">
        <v>132</v>
      </c>
      <c r="W10" s="27" t="s">
        <v>133</v>
      </c>
      <c r="X10" s="27" t="s">
        <v>51</v>
      </c>
      <c r="Y10" s="232" t="s">
        <v>134</v>
      </c>
      <c r="Z10" s="27" t="s">
        <v>51</v>
      </c>
      <c r="AA10" s="233" t="s">
        <v>134</v>
      </c>
      <c r="AB10" s="27"/>
      <c r="AC10" s="27"/>
      <c r="AD10" s="27"/>
      <c r="AE10" s="27"/>
      <c r="AF10" s="27"/>
      <c r="AG10" s="27"/>
      <c r="AH10" s="27"/>
      <c r="AI10" s="27"/>
      <c r="AJ10" s="27" t="s">
        <v>135</v>
      </c>
      <c r="AK10" s="27" t="s">
        <v>136</v>
      </c>
      <c r="AL10" s="27" t="s">
        <v>51</v>
      </c>
      <c r="AM10" s="27" t="s">
        <v>51</v>
      </c>
      <c r="AN10" s="27" t="s">
        <v>137</v>
      </c>
      <c r="AO10" s="27" t="s">
        <v>138</v>
      </c>
      <c r="AP10" s="27" t="s">
        <v>139</v>
      </c>
      <c r="AQ10" s="27"/>
    </row>
    <row r="11" ht="14.4" spans="1:43">
      <c r="A11" s="29"/>
      <c r="B11" s="29"/>
      <c r="C11" s="29"/>
      <c r="D11" s="32" t="s">
        <v>51</v>
      </c>
      <c r="E11" s="32"/>
      <c r="F11" s="32" t="s">
        <v>80</v>
      </c>
      <c r="G11" s="32"/>
      <c r="H11" s="32" t="s">
        <v>92</v>
      </c>
      <c r="I11" s="190" t="str">
        <f t="shared" si="0"/>
        <v>Aleo, Nena</v>
      </c>
      <c r="J11" s="32" t="s">
        <v>140</v>
      </c>
      <c r="K11" s="32" t="s">
        <v>141</v>
      </c>
      <c r="L11" s="33"/>
      <c r="M11" s="32" t="s">
        <v>57</v>
      </c>
      <c r="N11" s="32" t="s">
        <v>142</v>
      </c>
      <c r="O11" s="32" t="s">
        <v>143</v>
      </c>
      <c r="P11" s="32"/>
      <c r="Q11" s="32" t="s">
        <v>144</v>
      </c>
      <c r="R11" s="32"/>
      <c r="S11" s="31">
        <v>20294</v>
      </c>
      <c r="T11" s="88">
        <f ca="1" t="shared" si="1"/>
        <v>71</v>
      </c>
      <c r="U11" s="27" t="s">
        <v>145</v>
      </c>
      <c r="V11" s="27" t="s">
        <v>146</v>
      </c>
      <c r="W11" s="27" t="s">
        <v>147</v>
      </c>
      <c r="X11" s="27" t="s">
        <v>51</v>
      </c>
      <c r="Y11" s="232" t="s">
        <v>148</v>
      </c>
      <c r="Z11" s="27" t="s">
        <v>51</v>
      </c>
      <c r="AA11" s="31"/>
      <c r="AB11" s="27" t="s">
        <v>149</v>
      </c>
      <c r="AC11" s="27" t="s">
        <v>150</v>
      </c>
      <c r="AD11" s="27" t="s">
        <v>151</v>
      </c>
      <c r="AE11" s="27"/>
      <c r="AF11" s="27"/>
      <c r="AG11" s="27" t="s">
        <v>152</v>
      </c>
      <c r="AH11" s="27" t="s">
        <v>153</v>
      </c>
      <c r="AI11" s="27" t="s">
        <v>154</v>
      </c>
      <c r="AJ11" s="27" t="s">
        <v>155</v>
      </c>
      <c r="AK11" s="27" t="s">
        <v>156</v>
      </c>
      <c r="AL11" s="27" t="s">
        <v>157</v>
      </c>
      <c r="AM11" s="27"/>
      <c r="AN11" s="27" t="s">
        <v>155</v>
      </c>
      <c r="AO11" s="27" t="s">
        <v>158</v>
      </c>
      <c r="AP11" s="27" t="s">
        <v>77</v>
      </c>
      <c r="AQ11" s="27"/>
    </row>
    <row r="12" ht="14.4" spans="1:43">
      <c r="A12" s="29"/>
      <c r="B12" s="29"/>
      <c r="C12" s="29"/>
      <c r="D12" s="32" t="s">
        <v>51</v>
      </c>
      <c r="E12" s="32"/>
      <c r="F12" s="32" t="s">
        <v>80</v>
      </c>
      <c r="G12" s="32"/>
      <c r="H12" s="32" t="s">
        <v>81</v>
      </c>
      <c r="I12" s="199" t="str">
        <f t="shared" si="0"/>
        <v>Amistad, Hadassah Olive</v>
      </c>
      <c r="J12" s="32" t="s">
        <v>159</v>
      </c>
      <c r="K12" s="32" t="s">
        <v>160</v>
      </c>
      <c r="L12" s="33" t="s">
        <v>161</v>
      </c>
      <c r="M12" s="32" t="s">
        <v>57</v>
      </c>
      <c r="N12" s="32" t="s">
        <v>162</v>
      </c>
      <c r="O12" s="32" t="s">
        <v>163</v>
      </c>
      <c r="P12" s="32"/>
      <c r="Q12" s="32" t="s">
        <v>164</v>
      </c>
      <c r="R12" s="32" t="s">
        <v>165</v>
      </c>
      <c r="S12" s="31">
        <v>31028</v>
      </c>
      <c r="T12" s="88">
        <f ca="1" t="shared" si="1"/>
        <v>41</v>
      </c>
      <c r="U12" s="27" t="s">
        <v>166</v>
      </c>
      <c r="V12" s="27" t="s">
        <v>167</v>
      </c>
      <c r="W12" s="27" t="s">
        <v>168</v>
      </c>
      <c r="X12" s="27" t="s">
        <v>51</v>
      </c>
      <c r="Y12" s="232" t="s">
        <v>169</v>
      </c>
      <c r="Z12" s="27" t="s">
        <v>51</v>
      </c>
      <c r="AA12" s="233" t="s">
        <v>101</v>
      </c>
      <c r="AB12" s="27"/>
      <c r="AC12" s="27" t="s">
        <v>170</v>
      </c>
      <c r="AD12" s="27"/>
      <c r="AE12" s="27" t="s">
        <v>171</v>
      </c>
      <c r="AF12" s="27" t="s">
        <v>172</v>
      </c>
      <c r="AG12" s="27" t="s">
        <v>173</v>
      </c>
      <c r="AH12" s="27" t="s">
        <v>153</v>
      </c>
      <c r="AI12" s="27" t="s">
        <v>154</v>
      </c>
      <c r="AJ12" s="27" t="s">
        <v>174</v>
      </c>
      <c r="AK12" s="27" t="s">
        <v>74</v>
      </c>
      <c r="AL12" s="27" t="s">
        <v>51</v>
      </c>
      <c r="AM12" s="27" t="s">
        <v>51</v>
      </c>
      <c r="AN12" s="27" t="s">
        <v>174</v>
      </c>
      <c r="AO12" s="27" t="s">
        <v>175</v>
      </c>
      <c r="AP12" s="27" t="s">
        <v>77</v>
      </c>
      <c r="AQ12" s="27" t="s">
        <v>176</v>
      </c>
    </row>
    <row r="13" ht="14.4" spans="1:43">
      <c r="A13" s="29"/>
      <c r="B13" s="29"/>
      <c r="C13" s="29"/>
      <c r="D13" s="32" t="s">
        <v>79</v>
      </c>
      <c r="E13" s="32"/>
      <c r="F13" s="32" t="s">
        <v>177</v>
      </c>
      <c r="G13" s="32"/>
      <c r="H13" s="32" t="s">
        <v>81</v>
      </c>
      <c r="I13" s="27" t="str">
        <f t="shared" si="0"/>
        <v>Amistad, Jolie Mae</v>
      </c>
      <c r="J13" s="32" t="s">
        <v>159</v>
      </c>
      <c r="K13" s="32" t="s">
        <v>178</v>
      </c>
      <c r="L13" s="33"/>
      <c r="M13" s="32" t="s">
        <v>57</v>
      </c>
      <c r="N13" s="32"/>
      <c r="O13" s="32"/>
      <c r="P13" s="32"/>
      <c r="Q13" s="32"/>
      <c r="R13" s="32"/>
      <c r="S13" s="31"/>
      <c r="T13" s="88" t="str">
        <f ca="1" t="shared" si="1"/>
        <v/>
      </c>
      <c r="U13" s="27"/>
      <c r="V13" s="27"/>
      <c r="W13" s="27"/>
      <c r="X13" s="27"/>
      <c r="Y13" s="98"/>
      <c r="Z13" s="27"/>
      <c r="AA13" s="31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</row>
    <row r="14" ht="14.4" spans="1:43">
      <c r="A14" s="29"/>
      <c r="B14" s="29"/>
      <c r="C14" s="29"/>
      <c r="D14" s="32" t="s">
        <v>51</v>
      </c>
      <c r="E14" s="32"/>
      <c r="F14" s="32"/>
      <c r="G14" s="32"/>
      <c r="H14" s="32"/>
      <c r="I14" s="27" t="str">
        <f t="shared" si="0"/>
        <v>Amplogio, Gina</v>
      </c>
      <c r="J14" s="32" t="s">
        <v>179</v>
      </c>
      <c r="K14" s="32" t="s">
        <v>180</v>
      </c>
      <c r="L14" s="33" t="s">
        <v>181</v>
      </c>
      <c r="M14" s="32" t="s">
        <v>57</v>
      </c>
      <c r="N14" s="32" t="s">
        <v>182</v>
      </c>
      <c r="O14" s="32" t="s">
        <v>183</v>
      </c>
      <c r="P14" s="32"/>
      <c r="Q14" s="32"/>
      <c r="R14" s="12" t="s">
        <v>184</v>
      </c>
      <c r="S14" s="31">
        <v>24761</v>
      </c>
      <c r="T14" s="88">
        <f ca="1" t="shared" si="1"/>
        <v>59</v>
      </c>
      <c r="U14" s="27" t="s">
        <v>185</v>
      </c>
      <c r="V14" s="27" t="s">
        <v>186</v>
      </c>
      <c r="W14" s="27" t="s">
        <v>187</v>
      </c>
      <c r="X14" s="27" t="s">
        <v>51</v>
      </c>
      <c r="Y14" s="98">
        <v>39371</v>
      </c>
      <c r="Z14" s="27" t="s">
        <v>51</v>
      </c>
      <c r="AA14" s="31"/>
      <c r="AB14" s="27" t="s">
        <v>121</v>
      </c>
      <c r="AC14" s="27" t="s">
        <v>188</v>
      </c>
      <c r="AD14" s="27" t="s">
        <v>189</v>
      </c>
      <c r="AE14" s="27"/>
      <c r="AF14" s="27"/>
      <c r="AG14" s="27" t="s">
        <v>190</v>
      </c>
      <c r="AH14" s="27" t="s">
        <v>153</v>
      </c>
      <c r="AI14" s="27" t="s">
        <v>154</v>
      </c>
      <c r="AJ14" s="27" t="s">
        <v>191</v>
      </c>
      <c r="AK14" s="27" t="s">
        <v>189</v>
      </c>
      <c r="AL14" s="27" t="s">
        <v>51</v>
      </c>
      <c r="AM14" s="27" t="s">
        <v>51</v>
      </c>
      <c r="AN14" s="27" t="s">
        <v>192</v>
      </c>
      <c r="AO14" s="27" t="s">
        <v>193</v>
      </c>
      <c r="AP14" s="27" t="s">
        <v>194</v>
      </c>
      <c r="AQ14" s="27" t="s">
        <v>195</v>
      </c>
    </row>
    <row r="15" ht="14.4" spans="1:43">
      <c r="A15" s="29"/>
      <c r="B15" s="29"/>
      <c r="C15" s="29"/>
      <c r="D15" s="32" t="s">
        <v>79</v>
      </c>
      <c r="E15" s="32"/>
      <c r="F15" s="32" t="s">
        <v>196</v>
      </c>
      <c r="G15" s="32"/>
      <c r="H15" s="32" t="s">
        <v>81</v>
      </c>
      <c r="I15" s="27" t="str">
        <f t="shared" si="0"/>
        <v>Ancheta, Jennylyn</v>
      </c>
      <c r="J15" s="32" t="s">
        <v>197</v>
      </c>
      <c r="K15" s="32" t="s">
        <v>198</v>
      </c>
      <c r="L15" s="33"/>
      <c r="M15" s="32" t="s">
        <v>57</v>
      </c>
      <c r="N15" s="32" t="s">
        <v>199</v>
      </c>
      <c r="O15" s="32" t="s">
        <v>200</v>
      </c>
      <c r="P15" s="32"/>
      <c r="Q15" s="32" t="s">
        <v>201</v>
      </c>
      <c r="R15" s="32"/>
      <c r="S15" s="31">
        <v>22678</v>
      </c>
      <c r="T15" s="88">
        <f ca="1" t="shared" si="1"/>
        <v>64</v>
      </c>
      <c r="U15" s="27"/>
      <c r="V15" s="27"/>
      <c r="W15" s="27"/>
      <c r="X15" s="27"/>
      <c r="Y15" s="98"/>
      <c r="Z15" s="27"/>
      <c r="AA15" s="31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</row>
    <row r="16" ht="14.4" spans="1:43">
      <c r="A16" s="29"/>
      <c r="B16" s="29"/>
      <c r="C16" s="29"/>
      <c r="D16" s="32" t="s">
        <v>79</v>
      </c>
      <c r="E16" s="32"/>
      <c r="F16" s="32" t="s">
        <v>196</v>
      </c>
      <c r="G16" s="32"/>
      <c r="H16" s="32" t="s">
        <v>81</v>
      </c>
      <c r="I16" s="27" t="str">
        <f t="shared" si="0"/>
        <v>Andrada, Lolita</v>
      </c>
      <c r="J16" s="32" t="s">
        <v>202</v>
      </c>
      <c r="K16" s="32" t="s">
        <v>203</v>
      </c>
      <c r="L16" s="33"/>
      <c r="M16" s="32" t="s">
        <v>57</v>
      </c>
      <c r="N16" s="32"/>
      <c r="O16" s="32"/>
      <c r="P16" s="32"/>
      <c r="Q16" s="32"/>
      <c r="R16" s="32"/>
      <c r="S16" s="31"/>
      <c r="T16" s="88" t="str">
        <f ca="1" t="shared" si="1"/>
        <v/>
      </c>
      <c r="U16" s="27"/>
      <c r="V16" s="27"/>
      <c r="W16" s="27"/>
      <c r="X16" s="27"/>
      <c r="Y16" s="98"/>
      <c r="Z16" s="27"/>
      <c r="AA16" s="31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</row>
    <row r="17" ht="14.4" spans="1:43">
      <c r="A17" s="29"/>
      <c r="B17" s="29"/>
      <c r="C17" s="29"/>
      <c r="D17" s="32" t="s">
        <v>51</v>
      </c>
      <c r="E17" s="32"/>
      <c r="F17" s="32" t="s">
        <v>177</v>
      </c>
      <c r="G17" s="32"/>
      <c r="H17" s="32" t="s">
        <v>81</v>
      </c>
      <c r="I17" s="27" t="str">
        <f t="shared" si="0"/>
        <v>Ano, Emiliana</v>
      </c>
      <c r="J17" s="32" t="s">
        <v>204</v>
      </c>
      <c r="K17" s="32" t="s">
        <v>205</v>
      </c>
      <c r="L17" s="33" t="s">
        <v>206</v>
      </c>
      <c r="M17" s="32" t="s">
        <v>57</v>
      </c>
      <c r="N17" s="32" t="s">
        <v>207</v>
      </c>
      <c r="O17" s="32" t="s">
        <v>208</v>
      </c>
      <c r="P17" s="32"/>
      <c r="Q17" s="32" t="s">
        <v>209</v>
      </c>
      <c r="R17" s="32"/>
      <c r="S17" s="31">
        <v>22090</v>
      </c>
      <c r="T17" s="88">
        <f ca="1" t="shared" si="1"/>
        <v>66</v>
      </c>
      <c r="U17" s="27" t="s">
        <v>210</v>
      </c>
      <c r="V17" s="27" t="s">
        <v>211</v>
      </c>
      <c r="W17" s="27" t="s">
        <v>212</v>
      </c>
      <c r="X17" s="27" t="s">
        <v>51</v>
      </c>
      <c r="Y17" s="98" t="s">
        <v>213</v>
      </c>
      <c r="Z17" s="27"/>
      <c r="AA17" s="31"/>
      <c r="AB17" s="27" t="s">
        <v>121</v>
      </c>
      <c r="AC17" s="27" t="s">
        <v>68</v>
      </c>
      <c r="AD17" s="27" t="s">
        <v>214</v>
      </c>
      <c r="AE17" s="27"/>
      <c r="AF17" s="27" t="s">
        <v>215</v>
      </c>
      <c r="AG17" s="27"/>
      <c r="AH17" s="27"/>
      <c r="AI17" s="27"/>
      <c r="AJ17" s="27" t="s">
        <v>216</v>
      </c>
      <c r="AK17" s="27"/>
      <c r="AL17" s="27"/>
      <c r="AM17" s="27"/>
      <c r="AN17" s="27" t="s">
        <v>217</v>
      </c>
      <c r="AO17" s="27" t="s">
        <v>218</v>
      </c>
      <c r="AP17" s="27" t="s">
        <v>219</v>
      </c>
      <c r="AQ17" s="27"/>
    </row>
    <row r="18" ht="14.4" spans="1:43">
      <c r="A18" s="29"/>
      <c r="B18" s="29"/>
      <c r="C18" s="29"/>
      <c r="D18" s="32" t="s">
        <v>51</v>
      </c>
      <c r="E18" s="32"/>
      <c r="F18" s="32" t="s">
        <v>80</v>
      </c>
      <c r="G18" s="32"/>
      <c r="H18" s="32" t="s">
        <v>126</v>
      </c>
      <c r="I18" s="27" t="str">
        <f t="shared" si="0"/>
        <v>Apilada, Susan</v>
      </c>
      <c r="J18" s="32" t="s">
        <v>220</v>
      </c>
      <c r="K18" s="32" t="s">
        <v>221</v>
      </c>
      <c r="L18" s="33" t="s">
        <v>222</v>
      </c>
      <c r="M18" s="32" t="s">
        <v>57</v>
      </c>
      <c r="N18" s="32" t="s">
        <v>223</v>
      </c>
      <c r="O18" s="32" t="s">
        <v>224</v>
      </c>
      <c r="P18" s="32" t="s">
        <v>225</v>
      </c>
      <c r="Q18" s="32" t="s">
        <v>226</v>
      </c>
      <c r="R18" s="32"/>
      <c r="S18" s="31">
        <v>23277</v>
      </c>
      <c r="T18" s="88">
        <f ca="1" t="shared" si="1"/>
        <v>63</v>
      </c>
      <c r="U18" s="27" t="s">
        <v>225</v>
      </c>
      <c r="V18" s="27" t="s">
        <v>227</v>
      </c>
      <c r="W18" s="27"/>
      <c r="X18" s="27" t="s">
        <v>51</v>
      </c>
      <c r="Y18" s="98" t="s">
        <v>228</v>
      </c>
      <c r="Z18" s="27" t="s">
        <v>51</v>
      </c>
      <c r="AA18" s="31" t="s">
        <v>229</v>
      </c>
      <c r="AB18" s="27" t="s">
        <v>121</v>
      </c>
      <c r="AC18" s="27" t="s">
        <v>230</v>
      </c>
      <c r="AD18" s="27" t="s">
        <v>231</v>
      </c>
      <c r="AE18" s="27"/>
      <c r="AF18" s="27"/>
      <c r="AG18" s="27"/>
      <c r="AH18" s="27"/>
      <c r="AI18" s="27" t="s">
        <v>154</v>
      </c>
      <c r="AJ18" s="27" t="s">
        <v>232</v>
      </c>
      <c r="AK18" s="27" t="s">
        <v>233</v>
      </c>
      <c r="AL18" s="27" t="s">
        <v>51</v>
      </c>
      <c r="AM18" s="27" t="s">
        <v>51</v>
      </c>
      <c r="AN18" s="27" t="s">
        <v>232</v>
      </c>
      <c r="AO18" s="27" t="s">
        <v>234</v>
      </c>
      <c r="AP18" s="27" t="s">
        <v>77</v>
      </c>
      <c r="AQ18" s="27" t="s">
        <v>235</v>
      </c>
    </row>
    <row r="19" ht="14.4" spans="1:43">
      <c r="A19" s="29"/>
      <c r="B19" s="29"/>
      <c r="C19" s="29"/>
      <c r="D19" s="32" t="s">
        <v>51</v>
      </c>
      <c r="E19" s="32"/>
      <c r="F19" s="32" t="s">
        <v>236</v>
      </c>
      <c r="G19" s="32"/>
      <c r="H19" s="32" t="s">
        <v>81</v>
      </c>
      <c r="I19" s="27" t="str">
        <f t="shared" si="0"/>
        <v>Aragon, Elaine Marie</v>
      </c>
      <c r="J19" s="32" t="s">
        <v>237</v>
      </c>
      <c r="K19" s="32" t="s">
        <v>238</v>
      </c>
      <c r="L19" s="33" t="s">
        <v>239</v>
      </c>
      <c r="M19" s="32" t="s">
        <v>57</v>
      </c>
      <c r="N19" s="32" t="s">
        <v>240</v>
      </c>
      <c r="O19" s="32" t="s">
        <v>241</v>
      </c>
      <c r="P19" s="32"/>
      <c r="Q19" s="32" t="s">
        <v>242</v>
      </c>
      <c r="R19" s="32"/>
      <c r="S19" s="31">
        <v>33402</v>
      </c>
      <c r="T19" s="88">
        <f ca="1" t="shared" si="1"/>
        <v>35</v>
      </c>
      <c r="U19" s="27" t="s">
        <v>123</v>
      </c>
      <c r="V19" s="27" t="s">
        <v>243</v>
      </c>
      <c r="W19" s="27" t="s">
        <v>244</v>
      </c>
      <c r="X19" s="27" t="s">
        <v>51</v>
      </c>
      <c r="Y19" s="232" t="s">
        <v>245</v>
      </c>
      <c r="Z19" s="27" t="s">
        <v>51</v>
      </c>
      <c r="AA19" s="31"/>
      <c r="AB19" s="27"/>
      <c r="AC19" s="27" t="s">
        <v>68</v>
      </c>
      <c r="AD19" s="27" t="s">
        <v>246</v>
      </c>
      <c r="AE19" s="27" t="s">
        <v>247</v>
      </c>
      <c r="AF19" s="27" t="s">
        <v>248</v>
      </c>
      <c r="AG19" s="27" t="s">
        <v>249</v>
      </c>
      <c r="AH19" s="27" t="s">
        <v>153</v>
      </c>
      <c r="AI19" s="27" t="s">
        <v>154</v>
      </c>
      <c r="AJ19" s="27" t="s">
        <v>250</v>
      </c>
      <c r="AK19" s="27" t="s">
        <v>251</v>
      </c>
      <c r="AL19" s="27" t="s">
        <v>51</v>
      </c>
      <c r="AM19" s="27" t="s">
        <v>51</v>
      </c>
      <c r="AN19" s="27" t="s">
        <v>250</v>
      </c>
      <c r="AO19" s="27" t="s">
        <v>252</v>
      </c>
      <c r="AP19" s="27" t="s">
        <v>77</v>
      </c>
      <c r="AQ19" s="27" t="s">
        <v>253</v>
      </c>
    </row>
    <row r="20" ht="14.4" spans="1:43">
      <c r="A20" s="29"/>
      <c r="B20" s="29"/>
      <c r="C20" s="29"/>
      <c r="D20" s="32" t="s">
        <v>51</v>
      </c>
      <c r="E20" s="32"/>
      <c r="F20" s="32"/>
      <c r="G20" s="32"/>
      <c r="H20" s="32"/>
      <c r="I20" s="27" t="str">
        <f t="shared" si="0"/>
        <v>Arcangel, Delia</v>
      </c>
      <c r="J20" s="32" t="s">
        <v>254</v>
      </c>
      <c r="K20" s="32" t="s">
        <v>255</v>
      </c>
      <c r="L20" s="33" t="s">
        <v>256</v>
      </c>
      <c r="M20" s="32" t="s">
        <v>57</v>
      </c>
      <c r="N20" s="32" t="s">
        <v>257</v>
      </c>
      <c r="O20" s="32" t="s">
        <v>258</v>
      </c>
      <c r="P20" s="32" t="s">
        <v>259</v>
      </c>
      <c r="Q20" s="32"/>
      <c r="R20" s="32"/>
      <c r="S20" s="31">
        <v>24473</v>
      </c>
      <c r="T20" s="88">
        <f ca="1" t="shared" si="1"/>
        <v>59</v>
      </c>
      <c r="U20" s="27" t="s">
        <v>260</v>
      </c>
      <c r="V20" s="27" t="s">
        <v>261</v>
      </c>
      <c r="W20" s="27" t="s">
        <v>262</v>
      </c>
      <c r="X20" s="27" t="s">
        <v>51</v>
      </c>
      <c r="Y20" s="232" t="s">
        <v>263</v>
      </c>
      <c r="Z20" s="27" t="s">
        <v>51</v>
      </c>
      <c r="AA20" s="233" t="s">
        <v>264</v>
      </c>
      <c r="AB20" s="27" t="s">
        <v>265</v>
      </c>
      <c r="AC20" s="27" t="s">
        <v>266</v>
      </c>
      <c r="AD20" s="27" t="s">
        <v>267</v>
      </c>
      <c r="AE20" s="27"/>
      <c r="AF20" s="27"/>
      <c r="AG20" s="27" t="s">
        <v>268</v>
      </c>
      <c r="AH20" s="27" t="s">
        <v>269</v>
      </c>
      <c r="AI20" s="27" t="s">
        <v>270</v>
      </c>
      <c r="AJ20" s="27" t="s">
        <v>271</v>
      </c>
      <c r="AK20" s="27"/>
      <c r="AL20" s="27" t="s">
        <v>157</v>
      </c>
      <c r="AM20" s="27" t="s">
        <v>157</v>
      </c>
      <c r="AN20" s="27" t="s">
        <v>272</v>
      </c>
      <c r="AO20" s="27" t="s">
        <v>273</v>
      </c>
      <c r="AP20" s="27" t="s">
        <v>219</v>
      </c>
      <c r="AQ20" s="27"/>
    </row>
    <row r="21" ht="15.75" customHeight="1" spans="1:43">
      <c r="A21" s="29"/>
      <c r="B21" s="29"/>
      <c r="C21" s="29"/>
      <c r="D21" s="32" t="s">
        <v>79</v>
      </c>
      <c r="E21" s="32"/>
      <c r="F21" s="32" t="s">
        <v>274</v>
      </c>
      <c r="G21" s="32"/>
      <c r="H21" s="32" t="s">
        <v>81</v>
      </c>
      <c r="I21" s="27" t="str">
        <f t="shared" si="0"/>
        <v>Ayson, Cora</v>
      </c>
      <c r="J21" s="32" t="s">
        <v>275</v>
      </c>
      <c r="K21" s="32" t="s">
        <v>276</v>
      </c>
      <c r="L21" s="33"/>
      <c r="M21" s="32" t="s">
        <v>57</v>
      </c>
      <c r="N21" s="32"/>
      <c r="O21" s="32"/>
      <c r="P21" s="32"/>
      <c r="Q21" s="32"/>
      <c r="R21" s="32"/>
      <c r="S21" s="31"/>
      <c r="T21" s="88" t="str">
        <f ca="1" t="shared" si="1"/>
        <v/>
      </c>
      <c r="U21" s="27"/>
      <c r="V21" s="27"/>
      <c r="W21" s="27"/>
      <c r="X21" s="27"/>
      <c r="Y21" s="98"/>
      <c r="Z21" s="27"/>
      <c r="AA21" s="31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</row>
    <row r="22" ht="15.75" customHeight="1" spans="1:43">
      <c r="A22" s="29"/>
      <c r="B22" s="29"/>
      <c r="C22" s="29"/>
      <c r="D22" s="32" t="s">
        <v>51</v>
      </c>
      <c r="E22" s="32"/>
      <c r="F22" s="32" t="s">
        <v>177</v>
      </c>
      <c r="G22" s="32"/>
      <c r="H22" s="32" t="s">
        <v>81</v>
      </c>
      <c r="I22" s="27" t="str">
        <f t="shared" si="0"/>
        <v>Ayungo, Ailene</v>
      </c>
      <c r="J22" s="32" t="s">
        <v>277</v>
      </c>
      <c r="K22" s="32" t="s">
        <v>278</v>
      </c>
      <c r="L22" s="33" t="s">
        <v>279</v>
      </c>
      <c r="M22" s="32" t="s">
        <v>57</v>
      </c>
      <c r="N22" s="32" t="s">
        <v>280</v>
      </c>
      <c r="O22" s="32" t="s">
        <v>281</v>
      </c>
      <c r="P22" s="32" t="s">
        <v>282</v>
      </c>
      <c r="Q22" s="32" t="s">
        <v>283</v>
      </c>
      <c r="R22" s="27" t="s">
        <v>284</v>
      </c>
      <c r="S22" s="31">
        <v>29483</v>
      </c>
      <c r="T22" s="88">
        <f ca="1" t="shared" si="1"/>
        <v>46</v>
      </c>
      <c r="U22" s="27" t="s">
        <v>285</v>
      </c>
      <c r="V22" s="27" t="s">
        <v>286</v>
      </c>
      <c r="W22" s="27" t="s">
        <v>287</v>
      </c>
      <c r="X22" s="27" t="s">
        <v>51</v>
      </c>
      <c r="Y22" s="98"/>
      <c r="Z22" s="27" t="s">
        <v>51</v>
      </c>
      <c r="AA22" s="31"/>
      <c r="AB22" s="27"/>
      <c r="AC22" s="27" t="s">
        <v>288</v>
      </c>
      <c r="AD22" s="27" t="s">
        <v>289</v>
      </c>
      <c r="AE22" s="27" t="s">
        <v>247</v>
      </c>
      <c r="AF22" s="27" t="s">
        <v>290</v>
      </c>
      <c r="AG22" s="27" t="s">
        <v>291</v>
      </c>
      <c r="AH22" s="27" t="s">
        <v>153</v>
      </c>
      <c r="AI22" s="27" t="s">
        <v>154</v>
      </c>
      <c r="AJ22" s="27" t="s">
        <v>292</v>
      </c>
      <c r="AK22" s="27" t="s">
        <v>293</v>
      </c>
      <c r="AL22" s="27" t="s">
        <v>51</v>
      </c>
      <c r="AM22" s="27" t="s">
        <v>51</v>
      </c>
      <c r="AN22" s="27" t="s">
        <v>292</v>
      </c>
      <c r="AO22" s="27" t="s">
        <v>294</v>
      </c>
      <c r="AP22" s="27" t="s">
        <v>77</v>
      </c>
      <c r="AQ22" s="27"/>
    </row>
    <row r="23" ht="15.75" customHeight="1" spans="1:43">
      <c r="A23" s="29"/>
      <c r="B23" s="29"/>
      <c r="C23" s="29"/>
      <c r="D23" s="32" t="s">
        <v>51</v>
      </c>
      <c r="E23" s="32"/>
      <c r="F23" s="32" t="s">
        <v>274</v>
      </c>
      <c r="G23" s="32"/>
      <c r="H23" s="32" t="s">
        <v>81</v>
      </c>
      <c r="I23" s="27" t="str">
        <f t="shared" si="0"/>
        <v>Bacsa, Hyneth Gwenn</v>
      </c>
      <c r="J23" s="32" t="s">
        <v>295</v>
      </c>
      <c r="K23" s="32" t="s">
        <v>296</v>
      </c>
      <c r="L23" s="33" t="s">
        <v>222</v>
      </c>
      <c r="M23" s="32" t="s">
        <v>57</v>
      </c>
      <c r="N23" s="32" t="s">
        <v>297</v>
      </c>
      <c r="O23" s="32" t="s">
        <v>298</v>
      </c>
      <c r="P23" s="32"/>
      <c r="Q23" s="32" t="s">
        <v>299</v>
      </c>
      <c r="R23" s="32" t="s">
        <v>300</v>
      </c>
      <c r="S23" s="31">
        <v>37844</v>
      </c>
      <c r="T23" s="88">
        <f ca="1" t="shared" si="1"/>
        <v>23</v>
      </c>
      <c r="U23" s="27" t="s">
        <v>301</v>
      </c>
      <c r="V23" s="27" t="s">
        <v>302</v>
      </c>
      <c r="W23" s="27" t="s">
        <v>303</v>
      </c>
      <c r="X23" s="27" t="s">
        <v>51</v>
      </c>
      <c r="Y23" s="98"/>
      <c r="Z23" s="27" t="s">
        <v>51</v>
      </c>
      <c r="AA23" s="31"/>
      <c r="AB23" s="27"/>
      <c r="AC23" s="27" t="s">
        <v>304</v>
      </c>
      <c r="AD23" s="27"/>
      <c r="AE23" s="27"/>
      <c r="AF23" s="27"/>
      <c r="AG23" s="27"/>
      <c r="AH23" s="27" t="s">
        <v>305</v>
      </c>
      <c r="AI23" s="27" t="s">
        <v>306</v>
      </c>
      <c r="AJ23" s="27" t="s">
        <v>307</v>
      </c>
      <c r="AK23" s="27"/>
      <c r="AL23" s="27" t="s">
        <v>51</v>
      </c>
      <c r="AM23" s="27" t="s">
        <v>157</v>
      </c>
      <c r="AN23" s="27" t="s">
        <v>303</v>
      </c>
      <c r="AO23" s="27" t="s">
        <v>308</v>
      </c>
      <c r="AP23" s="27" t="s">
        <v>30</v>
      </c>
      <c r="AQ23" s="27"/>
    </row>
    <row r="24" ht="15.75" customHeight="1" spans="1:43">
      <c r="A24" s="29"/>
      <c r="B24" s="29"/>
      <c r="C24" s="29"/>
      <c r="D24" s="32" t="s">
        <v>51</v>
      </c>
      <c r="E24" s="32"/>
      <c r="F24" s="32" t="s">
        <v>309</v>
      </c>
      <c r="G24" s="32"/>
      <c r="H24" s="32" t="s">
        <v>126</v>
      </c>
      <c r="I24" s="27" t="str">
        <f t="shared" si="0"/>
        <v>Bagtilay, Lety</v>
      </c>
      <c r="J24" s="32" t="s">
        <v>310</v>
      </c>
      <c r="K24" s="32" t="s">
        <v>311</v>
      </c>
      <c r="L24" s="33"/>
      <c r="M24" s="32" t="s">
        <v>57</v>
      </c>
      <c r="N24" s="32" t="s">
        <v>312</v>
      </c>
      <c r="O24" s="32" t="s">
        <v>313</v>
      </c>
      <c r="P24" s="32"/>
      <c r="Q24" s="32" t="s">
        <v>314</v>
      </c>
      <c r="R24" s="32" t="s">
        <v>315</v>
      </c>
      <c r="S24" s="31">
        <v>22615</v>
      </c>
      <c r="T24" s="88">
        <f ca="1" t="shared" si="1"/>
        <v>64</v>
      </c>
      <c r="U24" s="27" t="s">
        <v>123</v>
      </c>
      <c r="V24" s="27" t="s">
        <v>316</v>
      </c>
      <c r="W24" s="27" t="s">
        <v>317</v>
      </c>
      <c r="X24" s="27" t="s">
        <v>51</v>
      </c>
      <c r="Y24" s="31">
        <v>40409</v>
      </c>
      <c r="Z24" s="27" t="s">
        <v>51</v>
      </c>
      <c r="AA24" s="31">
        <v>43784</v>
      </c>
      <c r="AB24" s="27" t="s">
        <v>121</v>
      </c>
      <c r="AC24" s="27" t="s">
        <v>318</v>
      </c>
      <c r="AD24" s="27"/>
      <c r="AE24" s="27" t="s">
        <v>319</v>
      </c>
      <c r="AF24" s="27"/>
      <c r="AG24" s="27" t="s">
        <v>268</v>
      </c>
      <c r="AH24" s="27"/>
      <c r="AI24" s="27"/>
      <c r="AJ24" s="27" t="s">
        <v>320</v>
      </c>
      <c r="AK24" s="27"/>
      <c r="AL24" s="27"/>
      <c r="AM24" s="27"/>
      <c r="AN24" s="27" t="s">
        <v>321</v>
      </c>
      <c r="AO24" s="27" t="s">
        <v>322</v>
      </c>
      <c r="AP24" s="27" t="s">
        <v>323</v>
      </c>
      <c r="AQ24" s="27" t="s">
        <v>324</v>
      </c>
    </row>
    <row r="25" ht="15.75" customHeight="1" spans="1:43">
      <c r="A25" s="29"/>
      <c r="B25" s="29"/>
      <c r="C25" s="29"/>
      <c r="D25" s="32" t="s">
        <v>79</v>
      </c>
      <c r="E25" s="32"/>
      <c r="F25" s="32" t="s">
        <v>52</v>
      </c>
      <c r="G25" s="32"/>
      <c r="H25" s="32" t="s">
        <v>81</v>
      </c>
      <c r="I25" s="27" t="str">
        <f t="shared" si="0"/>
        <v>Balbino, Beverly</v>
      </c>
      <c r="J25" s="32" t="s">
        <v>325</v>
      </c>
      <c r="K25" s="32" t="s">
        <v>326</v>
      </c>
      <c r="L25" s="33"/>
      <c r="M25" s="32" t="s">
        <v>57</v>
      </c>
      <c r="N25" s="32" t="s">
        <v>327</v>
      </c>
      <c r="O25" s="32" t="s">
        <v>328</v>
      </c>
      <c r="P25" s="32"/>
      <c r="Q25" s="32" t="s">
        <v>329</v>
      </c>
      <c r="R25" s="32"/>
      <c r="S25" s="31"/>
      <c r="T25" s="88" t="str">
        <f ca="1" t="shared" si="1"/>
        <v/>
      </c>
      <c r="U25" s="27"/>
      <c r="V25" s="27"/>
      <c r="W25" s="27"/>
      <c r="X25" s="27"/>
      <c r="Y25" s="98"/>
      <c r="Z25" s="27"/>
      <c r="AA25" s="31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</row>
    <row r="26" ht="15.75" customHeight="1" spans="1:43">
      <c r="A26" s="29"/>
      <c r="B26" s="29"/>
      <c r="C26" s="29"/>
      <c r="D26" s="32" t="s">
        <v>79</v>
      </c>
      <c r="E26" s="32"/>
      <c r="F26" s="32" t="s">
        <v>177</v>
      </c>
      <c r="G26" s="32"/>
      <c r="H26" s="32" t="s">
        <v>81</v>
      </c>
      <c r="I26" s="27" t="str">
        <f t="shared" si="0"/>
        <v>Balinggan, Deborah</v>
      </c>
      <c r="J26" s="32" t="s">
        <v>330</v>
      </c>
      <c r="K26" s="32" t="s">
        <v>331</v>
      </c>
      <c r="L26" s="33"/>
      <c r="M26" s="32" t="s">
        <v>57</v>
      </c>
      <c r="N26" s="32"/>
      <c r="O26" s="32"/>
      <c r="P26" s="32"/>
      <c r="Q26" s="32"/>
      <c r="R26" s="32"/>
      <c r="S26" s="31"/>
      <c r="T26" s="88" t="str">
        <f ca="1" t="shared" si="1"/>
        <v/>
      </c>
      <c r="U26" s="27"/>
      <c r="V26" s="27"/>
      <c r="W26" s="27"/>
      <c r="X26" s="27"/>
      <c r="Y26" s="98"/>
      <c r="Z26" s="27"/>
      <c r="AA26" s="31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</row>
    <row r="27" ht="15.75" customHeight="1" spans="1:43">
      <c r="A27" s="29"/>
      <c r="B27" s="29"/>
      <c r="C27" s="29"/>
      <c r="D27" s="32" t="s">
        <v>51</v>
      </c>
      <c r="E27" s="32"/>
      <c r="F27" s="32" t="s">
        <v>85</v>
      </c>
      <c r="G27" s="32"/>
      <c r="H27" s="32" t="s">
        <v>81</v>
      </c>
      <c r="I27" s="27" t="str">
        <f t="shared" si="0"/>
        <v>Balinggan, Gene</v>
      </c>
      <c r="J27" s="32" t="s">
        <v>330</v>
      </c>
      <c r="K27" s="32" t="s">
        <v>332</v>
      </c>
      <c r="L27" s="33"/>
      <c r="M27" s="32" t="s">
        <v>57</v>
      </c>
      <c r="N27" s="32" t="s">
        <v>333</v>
      </c>
      <c r="O27" s="32" t="s">
        <v>334</v>
      </c>
      <c r="P27" s="32" t="s">
        <v>335</v>
      </c>
      <c r="Q27" s="32" t="s">
        <v>336</v>
      </c>
      <c r="R27" s="32" t="s">
        <v>337</v>
      </c>
      <c r="S27" s="31">
        <v>30952</v>
      </c>
      <c r="T27" s="88">
        <f ca="1" t="shared" si="1"/>
        <v>42</v>
      </c>
      <c r="U27" s="27" t="s">
        <v>301</v>
      </c>
      <c r="V27" s="27" t="s">
        <v>338</v>
      </c>
      <c r="W27" s="27" t="s">
        <v>339</v>
      </c>
      <c r="X27" s="27" t="s">
        <v>51</v>
      </c>
      <c r="Y27" s="98" t="s">
        <v>340</v>
      </c>
      <c r="Z27" s="27" t="s">
        <v>51</v>
      </c>
      <c r="AA27" s="233" t="s">
        <v>341</v>
      </c>
      <c r="AB27" s="27" t="s">
        <v>342</v>
      </c>
      <c r="AC27" s="27" t="s">
        <v>343</v>
      </c>
      <c r="AD27" s="27" t="s">
        <v>344</v>
      </c>
      <c r="AE27" s="27"/>
      <c r="AF27" s="27"/>
      <c r="AG27" s="27" t="s">
        <v>190</v>
      </c>
      <c r="AH27" s="27"/>
      <c r="AI27" s="27"/>
      <c r="AJ27" s="27" t="s">
        <v>345</v>
      </c>
      <c r="AK27" s="27"/>
      <c r="AL27" s="27" t="s">
        <v>51</v>
      </c>
      <c r="AM27" s="27" t="s">
        <v>51</v>
      </c>
      <c r="AN27" s="27" t="s">
        <v>345</v>
      </c>
      <c r="AO27" s="27" t="s">
        <v>346</v>
      </c>
      <c r="AP27" s="27" t="s">
        <v>77</v>
      </c>
      <c r="AQ27" s="27" t="s">
        <v>347</v>
      </c>
    </row>
    <row r="28" ht="15.75" customHeight="1" spans="1:43">
      <c r="A28" s="29"/>
      <c r="B28" s="29"/>
      <c r="C28" s="29"/>
      <c r="D28" s="32" t="s">
        <v>79</v>
      </c>
      <c r="E28" s="32"/>
      <c r="F28" s="32" t="s">
        <v>196</v>
      </c>
      <c r="G28" s="32"/>
      <c r="H28" s="32" t="s">
        <v>81</v>
      </c>
      <c r="I28" s="199" t="str">
        <f t="shared" si="0"/>
        <v>Balinggan, Jubilee</v>
      </c>
      <c r="J28" s="32" t="s">
        <v>330</v>
      </c>
      <c r="K28" s="32" t="s">
        <v>348</v>
      </c>
      <c r="L28" s="33" t="s">
        <v>349</v>
      </c>
      <c r="M28" s="32" t="s">
        <v>57</v>
      </c>
      <c r="N28" s="32" t="s">
        <v>333</v>
      </c>
      <c r="O28" s="32" t="s">
        <v>334</v>
      </c>
      <c r="P28" s="32"/>
      <c r="Q28" s="32" t="s">
        <v>350</v>
      </c>
      <c r="R28" s="32"/>
      <c r="S28" s="31">
        <v>31872</v>
      </c>
      <c r="T28" s="88">
        <f ca="1" t="shared" si="1"/>
        <v>39</v>
      </c>
      <c r="U28" s="27"/>
      <c r="V28" s="27"/>
      <c r="W28" s="27"/>
      <c r="X28" s="27"/>
      <c r="Y28" s="98"/>
      <c r="Z28" s="27"/>
      <c r="AA28" s="31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</row>
    <row r="29" ht="15.75" customHeight="1" spans="1:43">
      <c r="A29" s="29"/>
      <c r="B29" s="29"/>
      <c r="C29" s="29"/>
      <c r="D29" s="32" t="s">
        <v>51</v>
      </c>
      <c r="E29" s="32"/>
      <c r="F29" s="32" t="s">
        <v>52</v>
      </c>
      <c r="G29" s="32"/>
      <c r="H29" s="32" t="s">
        <v>81</v>
      </c>
      <c r="I29" s="190" t="str">
        <f t="shared" si="0"/>
        <v>Balinggan, Mercedes</v>
      </c>
      <c r="J29" s="32" t="s">
        <v>330</v>
      </c>
      <c r="K29" s="32" t="s">
        <v>351</v>
      </c>
      <c r="L29" s="33" t="s">
        <v>352</v>
      </c>
      <c r="M29" s="32" t="s">
        <v>57</v>
      </c>
      <c r="N29" s="32" t="s">
        <v>353</v>
      </c>
      <c r="O29" s="32" t="s">
        <v>354</v>
      </c>
      <c r="P29" s="32"/>
      <c r="Q29" s="32" t="s">
        <v>355</v>
      </c>
      <c r="R29" s="32"/>
      <c r="S29" s="31">
        <v>21269</v>
      </c>
      <c r="T29" s="88">
        <f ca="1" t="shared" si="1"/>
        <v>68</v>
      </c>
      <c r="U29" s="27" t="s">
        <v>356</v>
      </c>
      <c r="V29" s="27" t="s">
        <v>357</v>
      </c>
      <c r="W29" s="27" t="s">
        <v>358</v>
      </c>
      <c r="X29" s="27" t="s">
        <v>51</v>
      </c>
      <c r="Y29" s="98"/>
      <c r="Z29" s="27" t="s">
        <v>51</v>
      </c>
      <c r="AA29" s="31"/>
      <c r="AB29" s="27" t="s">
        <v>121</v>
      </c>
      <c r="AC29" s="27" t="s">
        <v>359</v>
      </c>
      <c r="AD29" s="27"/>
      <c r="AE29" s="27" t="s">
        <v>360</v>
      </c>
      <c r="AF29" s="27" t="s">
        <v>361</v>
      </c>
      <c r="AG29" s="27"/>
      <c r="AH29" s="27" t="s">
        <v>153</v>
      </c>
      <c r="AI29" s="27"/>
      <c r="AJ29" s="27" t="s">
        <v>362</v>
      </c>
      <c r="AK29" s="27"/>
      <c r="AL29" s="27" t="s">
        <v>51</v>
      </c>
      <c r="AM29" s="27" t="s">
        <v>51</v>
      </c>
      <c r="AN29" s="27" t="s">
        <v>362</v>
      </c>
      <c r="AO29" s="27" t="s">
        <v>356</v>
      </c>
      <c r="AP29" s="27" t="s">
        <v>77</v>
      </c>
      <c r="AQ29" s="27" t="s">
        <v>363</v>
      </c>
    </row>
    <row r="30" ht="15.75" customHeight="1" spans="1:43">
      <c r="A30" s="29"/>
      <c r="B30" s="29"/>
      <c r="C30" s="29"/>
      <c r="D30" s="32" t="s">
        <v>51</v>
      </c>
      <c r="E30" s="32"/>
      <c r="F30" s="32" t="s">
        <v>125</v>
      </c>
      <c r="G30" s="32"/>
      <c r="H30" s="32" t="s">
        <v>81</v>
      </c>
      <c r="I30" s="27" t="str">
        <f t="shared" si="0"/>
        <v>Balneg, Rose</v>
      </c>
      <c r="J30" s="32" t="s">
        <v>364</v>
      </c>
      <c r="K30" s="32" t="s">
        <v>365</v>
      </c>
      <c r="L30" s="33" t="s">
        <v>366</v>
      </c>
      <c r="M30" s="32" t="s">
        <v>57</v>
      </c>
      <c r="N30" s="32" t="s">
        <v>367</v>
      </c>
      <c r="O30" s="32" t="s">
        <v>368</v>
      </c>
      <c r="P30" s="32"/>
      <c r="Q30" s="32" t="s">
        <v>369</v>
      </c>
      <c r="R30" s="32"/>
      <c r="S30" s="31">
        <v>26904</v>
      </c>
      <c r="T30" s="88">
        <f ca="1" t="shared" si="1"/>
        <v>53</v>
      </c>
      <c r="U30" s="27" t="s">
        <v>370</v>
      </c>
      <c r="V30" s="27" t="s">
        <v>371</v>
      </c>
      <c r="W30" s="27" t="s">
        <v>372</v>
      </c>
      <c r="X30" s="27" t="s">
        <v>51</v>
      </c>
      <c r="Y30" s="98" t="s">
        <v>373</v>
      </c>
      <c r="Z30" s="27"/>
      <c r="AA30" s="31"/>
      <c r="AB30" s="27" t="s">
        <v>374</v>
      </c>
      <c r="AC30" s="27"/>
      <c r="AD30" s="27"/>
      <c r="AE30" s="27"/>
      <c r="AF30" s="27"/>
      <c r="AG30" s="27"/>
      <c r="AH30" s="27"/>
      <c r="AI30" s="27" t="s">
        <v>154</v>
      </c>
      <c r="AJ30" s="27" t="s">
        <v>375</v>
      </c>
      <c r="AK30" s="27" t="s">
        <v>376</v>
      </c>
      <c r="AL30" s="27" t="s">
        <v>51</v>
      </c>
      <c r="AM30" s="27" t="s">
        <v>51</v>
      </c>
      <c r="AN30" s="27" t="s">
        <v>377</v>
      </c>
      <c r="AO30" s="27" t="s">
        <v>378</v>
      </c>
      <c r="AP30" s="27" t="s">
        <v>219</v>
      </c>
      <c r="AQ30" s="27" t="s">
        <v>379</v>
      </c>
    </row>
    <row r="31" ht="15.75" customHeight="1" spans="1:43">
      <c r="A31" s="29"/>
      <c r="B31" s="29"/>
      <c r="C31" s="29"/>
      <c r="D31" s="32" t="s">
        <v>51</v>
      </c>
      <c r="E31" s="32"/>
      <c r="F31" s="32" t="s">
        <v>380</v>
      </c>
      <c r="G31" s="32"/>
      <c r="H31" s="32" t="s">
        <v>126</v>
      </c>
      <c r="I31" s="27" t="str">
        <f t="shared" si="0"/>
        <v>Bambao, Joanna</v>
      </c>
      <c r="J31" s="32" t="s">
        <v>381</v>
      </c>
      <c r="K31" s="32" t="s">
        <v>382</v>
      </c>
      <c r="L31" s="33"/>
      <c r="M31" s="32" t="s">
        <v>57</v>
      </c>
      <c r="N31" s="32" t="s">
        <v>383</v>
      </c>
      <c r="O31" s="32" t="s">
        <v>384</v>
      </c>
      <c r="P31" s="32"/>
      <c r="Q31" s="32"/>
      <c r="R31" s="32"/>
      <c r="S31" s="31">
        <v>29031</v>
      </c>
      <c r="T31" s="88">
        <f ca="1" t="shared" si="1"/>
        <v>47</v>
      </c>
      <c r="U31" s="27" t="s">
        <v>385</v>
      </c>
      <c r="V31" s="27" t="s">
        <v>386</v>
      </c>
      <c r="W31" s="27" t="s">
        <v>387</v>
      </c>
      <c r="X31" s="27" t="s">
        <v>51</v>
      </c>
      <c r="Y31" s="98" t="s">
        <v>388</v>
      </c>
      <c r="Z31" s="27" t="s">
        <v>51</v>
      </c>
      <c r="AA31" s="31" t="s">
        <v>389</v>
      </c>
      <c r="AB31" s="27" t="s">
        <v>121</v>
      </c>
      <c r="AC31" s="27" t="s">
        <v>188</v>
      </c>
      <c r="AD31" s="27"/>
      <c r="AE31" s="27"/>
      <c r="AF31" s="27"/>
      <c r="AG31" s="27"/>
      <c r="AH31" s="27"/>
      <c r="AI31" s="27"/>
      <c r="AJ31" s="27" t="s">
        <v>390</v>
      </c>
      <c r="AK31" s="27" t="s">
        <v>391</v>
      </c>
      <c r="AL31" s="27" t="s">
        <v>51</v>
      </c>
      <c r="AM31" s="27" t="s">
        <v>51</v>
      </c>
      <c r="AN31" s="27" t="s">
        <v>392</v>
      </c>
      <c r="AO31" s="27" t="s">
        <v>393</v>
      </c>
      <c r="AP31" s="27" t="s">
        <v>394</v>
      </c>
      <c r="AQ31" s="27" t="s">
        <v>395</v>
      </c>
    </row>
    <row r="32" ht="15.75" customHeight="1" spans="1:43">
      <c r="A32" s="29"/>
      <c r="B32" s="29"/>
      <c r="C32" s="29"/>
      <c r="D32" s="32" t="s">
        <v>79</v>
      </c>
      <c r="E32" s="32"/>
      <c r="F32" s="32" t="s">
        <v>396</v>
      </c>
      <c r="G32" s="32"/>
      <c r="H32" s="32" t="s">
        <v>53</v>
      </c>
      <c r="I32" s="27" t="str">
        <f t="shared" si="0"/>
        <v>Banaag, Marjorie</v>
      </c>
      <c r="J32" s="32" t="s">
        <v>397</v>
      </c>
      <c r="K32" s="32" t="s">
        <v>398</v>
      </c>
      <c r="L32" s="33"/>
      <c r="M32" s="32" t="s">
        <v>57</v>
      </c>
      <c r="N32" s="32"/>
      <c r="O32" s="32" t="s">
        <v>399</v>
      </c>
      <c r="P32" s="32"/>
      <c r="Q32" s="32" t="s">
        <v>400</v>
      </c>
      <c r="R32" s="32"/>
      <c r="S32" s="31">
        <v>31130</v>
      </c>
      <c r="T32" s="88">
        <f ca="1" t="shared" si="1"/>
        <v>41</v>
      </c>
      <c r="U32" s="27"/>
      <c r="V32" s="27"/>
      <c r="W32" s="27"/>
      <c r="X32" s="27"/>
      <c r="Y32" s="98"/>
      <c r="Z32" s="27"/>
      <c r="AA32" s="31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</row>
    <row r="33" ht="15.75" customHeight="1" spans="1:43">
      <c r="A33" s="29"/>
      <c r="B33" s="29"/>
      <c r="C33" s="29"/>
      <c r="D33" s="32" t="s">
        <v>79</v>
      </c>
      <c r="E33" s="32"/>
      <c r="F33" s="32" t="s">
        <v>380</v>
      </c>
      <c r="G33" s="32"/>
      <c r="H33" s="32" t="s">
        <v>81</v>
      </c>
      <c r="I33" s="27" t="str">
        <f t="shared" si="0"/>
        <v>Bañares, Alicia Hafalla</v>
      </c>
      <c r="J33" s="32" t="s">
        <v>401</v>
      </c>
      <c r="K33" s="32" t="s">
        <v>402</v>
      </c>
      <c r="L33" s="33"/>
      <c r="M33" s="32" t="s">
        <v>57</v>
      </c>
      <c r="N33" s="32"/>
      <c r="O33" s="32"/>
      <c r="P33" s="32"/>
      <c r="Q33" s="32"/>
      <c r="R33" s="32"/>
      <c r="S33" s="31"/>
      <c r="T33" s="88" t="str">
        <f ca="1" t="shared" si="1"/>
        <v/>
      </c>
      <c r="U33" s="27"/>
      <c r="V33" s="27"/>
      <c r="W33" s="27"/>
      <c r="X33" s="27"/>
      <c r="Y33" s="98"/>
      <c r="Z33" s="27"/>
      <c r="AA33" s="31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</row>
    <row r="34" ht="15.75" customHeight="1" spans="1:43">
      <c r="A34" s="29"/>
      <c r="B34" s="29"/>
      <c r="C34" s="29"/>
      <c r="D34" s="32" t="s">
        <v>79</v>
      </c>
      <c r="E34" s="32"/>
      <c r="F34" s="32" t="s">
        <v>177</v>
      </c>
      <c r="G34" s="32"/>
      <c r="H34" s="32" t="s">
        <v>81</v>
      </c>
      <c r="I34" s="199" t="str">
        <f t="shared" si="0"/>
        <v>Bañez, Gemma</v>
      </c>
      <c r="J34" s="32" t="s">
        <v>349</v>
      </c>
      <c r="K34" s="32" t="s">
        <v>403</v>
      </c>
      <c r="L34" s="33"/>
      <c r="M34" s="32" t="s">
        <v>57</v>
      </c>
      <c r="N34" s="32"/>
      <c r="O34" s="32"/>
      <c r="P34" s="32"/>
      <c r="Q34" s="32"/>
      <c r="R34" s="32"/>
      <c r="S34" s="31"/>
      <c r="T34" s="88" t="str">
        <f ca="1" t="shared" si="1"/>
        <v/>
      </c>
      <c r="U34" s="27"/>
      <c r="V34" s="27"/>
      <c r="W34" s="27"/>
      <c r="X34" s="27"/>
      <c r="Y34" s="98"/>
      <c r="Z34" s="27"/>
      <c r="AA34" s="31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</row>
    <row r="35" ht="15.75" customHeight="1" spans="1:43">
      <c r="A35" s="29"/>
      <c r="B35" s="29"/>
      <c r="C35" s="29"/>
      <c r="D35" s="32" t="s">
        <v>79</v>
      </c>
      <c r="E35" s="32"/>
      <c r="F35" s="32" t="s">
        <v>177</v>
      </c>
      <c r="G35" s="32"/>
      <c r="H35" s="32" t="s">
        <v>81</v>
      </c>
      <c r="I35" s="27" t="str">
        <f t="shared" si="0"/>
        <v>Bañez, Lucina</v>
      </c>
      <c r="J35" s="32" t="s">
        <v>349</v>
      </c>
      <c r="K35" s="32" t="s">
        <v>404</v>
      </c>
      <c r="L35" s="33"/>
      <c r="M35" s="32" t="s">
        <v>57</v>
      </c>
      <c r="N35" s="32"/>
      <c r="O35" s="32"/>
      <c r="P35" s="32"/>
      <c r="Q35" s="32"/>
      <c r="R35" s="32"/>
      <c r="S35" s="31"/>
      <c r="T35" s="88" t="str">
        <f ca="1" t="shared" si="1"/>
        <v/>
      </c>
      <c r="U35" s="27"/>
      <c r="V35" s="27"/>
      <c r="W35" s="27"/>
      <c r="X35" s="27"/>
      <c r="Y35" s="98"/>
      <c r="Z35" s="27"/>
      <c r="AA35" s="31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</row>
    <row r="36" ht="15.75" customHeight="1" spans="1:43">
      <c r="A36" s="29"/>
      <c r="B36" s="29"/>
      <c r="C36" s="29"/>
      <c r="D36" s="32" t="s">
        <v>79</v>
      </c>
      <c r="E36" s="32"/>
      <c r="F36" s="32" t="s">
        <v>80</v>
      </c>
      <c r="G36" s="32"/>
      <c r="H36" s="32" t="s">
        <v>81</v>
      </c>
      <c r="I36" s="27" t="str">
        <f t="shared" si="0"/>
        <v>Bangibang, Mila</v>
      </c>
      <c r="J36" s="32" t="s">
        <v>405</v>
      </c>
      <c r="K36" s="32" t="s">
        <v>406</v>
      </c>
      <c r="L36" s="33"/>
      <c r="M36" s="32" t="s">
        <v>57</v>
      </c>
      <c r="N36" s="32" t="s">
        <v>407</v>
      </c>
      <c r="O36" s="32" t="s">
        <v>368</v>
      </c>
      <c r="P36" s="32"/>
      <c r="Q36" s="32" t="s">
        <v>408</v>
      </c>
      <c r="R36" s="32"/>
      <c r="S36" s="31">
        <v>29953</v>
      </c>
      <c r="T36" s="88">
        <f ca="1" t="shared" si="1"/>
        <v>44</v>
      </c>
      <c r="U36" s="27"/>
      <c r="V36" s="27"/>
      <c r="W36" s="27"/>
      <c r="X36" s="27"/>
      <c r="Y36" s="98"/>
      <c r="Z36" s="27"/>
      <c r="AA36" s="31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</row>
    <row r="37" ht="15.75" customHeight="1" spans="1:43">
      <c r="A37" s="29"/>
      <c r="B37" s="29"/>
      <c r="C37" s="29"/>
      <c r="D37" s="32" t="s">
        <v>51</v>
      </c>
      <c r="E37" s="32"/>
      <c r="F37" s="32" t="s">
        <v>309</v>
      </c>
      <c r="G37" s="32"/>
      <c r="H37" s="32" t="s">
        <v>81</v>
      </c>
      <c r="I37" s="27" t="str">
        <f t="shared" si="0"/>
        <v>Bas-ilan, Benita</v>
      </c>
      <c r="J37" s="32" t="s">
        <v>409</v>
      </c>
      <c r="K37" s="32" t="s">
        <v>410</v>
      </c>
      <c r="L37" s="33" t="s">
        <v>222</v>
      </c>
      <c r="M37" s="32" t="s">
        <v>57</v>
      </c>
      <c r="N37" s="32" t="s">
        <v>297</v>
      </c>
      <c r="O37" s="32" t="s">
        <v>298</v>
      </c>
      <c r="P37" s="32"/>
      <c r="Q37" s="32" t="s">
        <v>411</v>
      </c>
      <c r="R37" s="32"/>
      <c r="S37" s="31">
        <v>21213</v>
      </c>
      <c r="T37" s="88">
        <f ca="1" t="shared" si="1"/>
        <v>68</v>
      </c>
      <c r="U37" s="27" t="s">
        <v>412</v>
      </c>
      <c r="V37" s="27" t="s">
        <v>413</v>
      </c>
      <c r="W37" s="27" t="s">
        <v>414</v>
      </c>
      <c r="X37" s="27" t="s">
        <v>51</v>
      </c>
      <c r="Y37" s="232" t="s">
        <v>415</v>
      </c>
      <c r="Z37" s="27" t="s">
        <v>51</v>
      </c>
      <c r="AA37" s="233" t="s">
        <v>416</v>
      </c>
      <c r="AB37" s="27" t="s">
        <v>149</v>
      </c>
      <c r="AC37" s="27" t="s">
        <v>230</v>
      </c>
      <c r="AD37" s="27"/>
      <c r="AE37" s="27"/>
      <c r="AF37" s="27"/>
      <c r="AG37" s="27"/>
      <c r="AH37" s="27"/>
      <c r="AI37" s="27" t="s">
        <v>154</v>
      </c>
      <c r="AJ37" s="27"/>
      <c r="AK37" s="27"/>
      <c r="AL37" s="27"/>
      <c r="AM37" s="27"/>
      <c r="AN37" s="27"/>
      <c r="AO37" s="27"/>
      <c r="AP37" s="27"/>
      <c r="AQ37" s="27"/>
    </row>
    <row r="38" ht="15.75" customHeight="1" spans="1:43">
      <c r="A38" s="29"/>
      <c r="B38" s="29"/>
      <c r="C38" s="29"/>
      <c r="D38" s="32" t="s">
        <v>79</v>
      </c>
      <c r="E38" s="32"/>
      <c r="F38" s="32" t="s">
        <v>274</v>
      </c>
      <c r="G38" s="32"/>
      <c r="H38" s="32" t="s">
        <v>81</v>
      </c>
      <c r="I38" s="27" t="str">
        <f t="shared" si="0"/>
        <v>Batacan, Diane</v>
      </c>
      <c r="J38" s="32" t="s">
        <v>417</v>
      </c>
      <c r="K38" s="32" t="s">
        <v>418</v>
      </c>
      <c r="L38" s="33"/>
      <c r="M38" s="32" t="s">
        <v>57</v>
      </c>
      <c r="N38" s="32"/>
      <c r="O38" s="32"/>
      <c r="P38" s="32"/>
      <c r="Q38" s="32"/>
      <c r="R38" s="32"/>
      <c r="S38" s="31"/>
      <c r="T38" s="88" t="str">
        <f ca="1" t="shared" si="1"/>
        <v/>
      </c>
      <c r="U38" s="27"/>
      <c r="V38" s="27"/>
      <c r="W38" s="27"/>
      <c r="X38" s="27"/>
      <c r="Y38" s="98"/>
      <c r="Z38" s="27"/>
      <c r="AA38" s="31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</row>
    <row r="39" ht="15.75" customHeight="1" spans="1:43">
      <c r="A39" s="29"/>
      <c r="B39" s="29"/>
      <c r="C39" s="29"/>
      <c r="D39" s="32" t="s">
        <v>79</v>
      </c>
      <c r="E39" s="32"/>
      <c r="F39" s="32" t="s">
        <v>125</v>
      </c>
      <c r="G39" s="32"/>
      <c r="H39" s="32" t="s">
        <v>81</v>
      </c>
      <c r="I39" s="27" t="str">
        <f t="shared" si="0"/>
        <v>Bayla, Denise</v>
      </c>
      <c r="J39" s="32" t="s">
        <v>419</v>
      </c>
      <c r="K39" s="32" t="s">
        <v>420</v>
      </c>
      <c r="L39" s="33"/>
      <c r="M39" s="32" t="s">
        <v>57</v>
      </c>
      <c r="N39" s="32"/>
      <c r="O39" s="32"/>
      <c r="P39" s="32"/>
      <c r="Q39" s="32"/>
      <c r="R39" s="32"/>
      <c r="S39" s="31"/>
      <c r="T39" s="88" t="str">
        <f ca="1" t="shared" si="1"/>
        <v/>
      </c>
      <c r="U39" s="27"/>
      <c r="V39" s="27"/>
      <c r="W39" s="27"/>
      <c r="X39" s="27"/>
      <c r="Y39" s="98"/>
      <c r="Z39" s="27"/>
      <c r="AA39" s="31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</row>
    <row r="40" ht="15.75" customHeight="1" spans="1:43">
      <c r="A40" s="29"/>
      <c r="B40" s="29"/>
      <c r="C40" s="29"/>
      <c r="D40" s="32" t="s">
        <v>51</v>
      </c>
      <c r="E40" s="32"/>
      <c r="F40" s="32" t="s">
        <v>125</v>
      </c>
      <c r="G40" s="32"/>
      <c r="H40" s="32" t="s">
        <v>81</v>
      </c>
      <c r="I40" s="27" t="str">
        <f t="shared" si="0"/>
        <v>Bayla, Elizabeth</v>
      </c>
      <c r="J40" s="32" t="s">
        <v>419</v>
      </c>
      <c r="K40" s="32" t="s">
        <v>421</v>
      </c>
      <c r="L40" s="33" t="s">
        <v>422</v>
      </c>
      <c r="M40" s="32" t="s">
        <v>57</v>
      </c>
      <c r="N40" s="32" t="s">
        <v>423</v>
      </c>
      <c r="O40" s="32" t="s">
        <v>163</v>
      </c>
      <c r="P40" s="32"/>
      <c r="Q40" s="32" t="s">
        <v>424</v>
      </c>
      <c r="R40" s="27" t="s">
        <v>425</v>
      </c>
      <c r="S40" s="31">
        <v>25135</v>
      </c>
      <c r="T40" s="88">
        <f ca="1" t="shared" si="1"/>
        <v>58</v>
      </c>
      <c r="U40" s="27" t="s">
        <v>426</v>
      </c>
      <c r="V40" s="27" t="s">
        <v>427</v>
      </c>
      <c r="W40" s="27" t="s">
        <v>428</v>
      </c>
      <c r="X40" s="27" t="s">
        <v>51</v>
      </c>
      <c r="Y40" s="232" t="s">
        <v>429</v>
      </c>
      <c r="Z40" s="27" t="s">
        <v>51</v>
      </c>
      <c r="AA40" s="233" t="s">
        <v>429</v>
      </c>
      <c r="AB40" s="27" t="s">
        <v>121</v>
      </c>
      <c r="AC40" s="27" t="s">
        <v>68</v>
      </c>
      <c r="AD40" s="27" t="s">
        <v>430</v>
      </c>
      <c r="AE40" s="27"/>
      <c r="AF40" s="27" t="s">
        <v>431</v>
      </c>
      <c r="AG40" s="27" t="s">
        <v>432</v>
      </c>
      <c r="AH40" s="27" t="s">
        <v>433</v>
      </c>
      <c r="AI40" s="27"/>
      <c r="AJ40" s="27" t="s">
        <v>434</v>
      </c>
      <c r="AK40" s="27" t="s">
        <v>391</v>
      </c>
      <c r="AL40" s="27"/>
      <c r="AM40" s="27" t="s">
        <v>157</v>
      </c>
      <c r="AN40" s="27" t="s">
        <v>435</v>
      </c>
      <c r="AO40" s="27" t="s">
        <v>436</v>
      </c>
      <c r="AP40" s="27" t="s">
        <v>437</v>
      </c>
      <c r="AQ40" s="27" t="s">
        <v>438</v>
      </c>
    </row>
    <row r="41" ht="15.75" customHeight="1" spans="1:43">
      <c r="A41" s="29"/>
      <c r="B41" s="29"/>
      <c r="C41" s="29"/>
      <c r="D41" s="32" t="s">
        <v>51</v>
      </c>
      <c r="E41" s="32"/>
      <c r="F41" s="32"/>
      <c r="G41" s="32"/>
      <c r="H41" s="32"/>
      <c r="I41" s="27" t="str">
        <f t="shared" si="0"/>
        <v>Bayla, Camile</v>
      </c>
      <c r="J41" s="32" t="s">
        <v>419</v>
      </c>
      <c r="K41" s="32" t="s">
        <v>439</v>
      </c>
      <c r="L41" s="33" t="s">
        <v>440</v>
      </c>
      <c r="M41" s="32" t="s">
        <v>57</v>
      </c>
      <c r="N41" s="32" t="s">
        <v>423</v>
      </c>
      <c r="O41" s="32" t="s">
        <v>163</v>
      </c>
      <c r="P41" s="32"/>
      <c r="Q41" s="32" t="s">
        <v>441</v>
      </c>
      <c r="R41" s="12" t="s">
        <v>442</v>
      </c>
      <c r="S41" s="31">
        <v>35100</v>
      </c>
      <c r="T41" s="88">
        <f ca="1" t="shared" si="1"/>
        <v>30</v>
      </c>
      <c r="U41" s="27" t="s">
        <v>123</v>
      </c>
      <c r="V41" s="27" t="s">
        <v>443</v>
      </c>
      <c r="W41" s="27" t="s">
        <v>444</v>
      </c>
      <c r="X41" s="27" t="s">
        <v>51</v>
      </c>
      <c r="Y41" s="98">
        <v>46102</v>
      </c>
      <c r="Z41" s="27" t="s">
        <v>51</v>
      </c>
      <c r="AA41" s="31">
        <v>46180</v>
      </c>
      <c r="AB41" s="27"/>
      <c r="AC41" s="27"/>
      <c r="AD41" s="27" t="s">
        <v>445</v>
      </c>
      <c r="AE41" s="27"/>
      <c r="AF41" s="27"/>
      <c r="AG41" s="27" t="s">
        <v>446</v>
      </c>
      <c r="AH41" s="27" t="s">
        <v>447</v>
      </c>
      <c r="AI41" s="27" t="s">
        <v>448</v>
      </c>
      <c r="AJ41" s="27" t="s">
        <v>449</v>
      </c>
      <c r="AK41" s="27" t="s">
        <v>450</v>
      </c>
      <c r="AL41" s="27" t="s">
        <v>51</v>
      </c>
      <c r="AM41" s="27" t="s">
        <v>51</v>
      </c>
      <c r="AN41" s="27" t="s">
        <v>451</v>
      </c>
      <c r="AO41" s="27" t="s">
        <v>452</v>
      </c>
      <c r="AP41" s="27" t="s">
        <v>77</v>
      </c>
      <c r="AQ41" s="27" t="s">
        <v>453</v>
      </c>
    </row>
    <row r="42" ht="15.75" customHeight="1" spans="1:43">
      <c r="A42" s="29"/>
      <c r="B42" s="29"/>
      <c r="C42" s="29"/>
      <c r="D42" s="32" t="s">
        <v>79</v>
      </c>
      <c r="E42" s="32"/>
      <c r="F42" s="32" t="s">
        <v>274</v>
      </c>
      <c r="G42" s="32"/>
      <c r="H42" s="32" t="s">
        <v>81</v>
      </c>
      <c r="I42" s="27" t="str">
        <f t="shared" si="0"/>
        <v>Belarmino, Ranelda</v>
      </c>
      <c r="J42" s="32" t="s">
        <v>454</v>
      </c>
      <c r="K42" s="32" t="s">
        <v>455</v>
      </c>
      <c r="L42" s="33"/>
      <c r="M42" s="32" t="s">
        <v>57</v>
      </c>
      <c r="N42" s="32"/>
      <c r="O42" s="32"/>
      <c r="P42" s="32"/>
      <c r="Q42" s="32"/>
      <c r="R42" s="32"/>
      <c r="S42" s="31"/>
      <c r="T42" s="88" t="str">
        <f ca="1" t="shared" si="1"/>
        <v/>
      </c>
      <c r="U42" s="27"/>
      <c r="V42" s="27"/>
      <c r="W42" s="27"/>
      <c r="X42" s="27"/>
      <c r="Y42" s="98"/>
      <c r="Z42" s="27"/>
      <c r="AA42" s="31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</row>
    <row r="43" ht="15.75" customHeight="1" spans="1:43">
      <c r="A43" s="29"/>
      <c r="B43" s="29"/>
      <c r="C43" s="29"/>
      <c r="D43" s="32" t="s">
        <v>51</v>
      </c>
      <c r="E43" s="32"/>
      <c r="F43" s="32"/>
      <c r="G43" s="32"/>
      <c r="H43" s="32"/>
      <c r="I43" s="27" t="str">
        <f t="shared" si="0"/>
        <v>Belleza, Rosie</v>
      </c>
      <c r="J43" s="32" t="s">
        <v>456</v>
      </c>
      <c r="K43" s="32" t="s">
        <v>457</v>
      </c>
      <c r="L43" s="33" t="s">
        <v>458</v>
      </c>
      <c r="M43" s="32" t="s">
        <v>57</v>
      </c>
      <c r="N43" s="32" t="s">
        <v>459</v>
      </c>
      <c r="O43" s="32" t="s">
        <v>460</v>
      </c>
      <c r="P43" s="32" t="s">
        <v>461</v>
      </c>
      <c r="Q43" s="32" t="s">
        <v>462</v>
      </c>
      <c r="R43" s="32" t="s">
        <v>463</v>
      </c>
      <c r="S43" s="31">
        <v>26952</v>
      </c>
      <c r="T43" s="88">
        <f ca="1" t="shared" si="1"/>
        <v>53</v>
      </c>
      <c r="U43" s="27" t="s">
        <v>464</v>
      </c>
      <c r="V43" s="27" t="s">
        <v>465</v>
      </c>
      <c r="W43" s="27" t="s">
        <v>466</v>
      </c>
      <c r="X43" s="27" t="s">
        <v>51</v>
      </c>
      <c r="Y43" s="98" t="s">
        <v>467</v>
      </c>
      <c r="Z43" s="27" t="s">
        <v>51</v>
      </c>
      <c r="AA43" s="233" t="s">
        <v>468</v>
      </c>
      <c r="AB43" s="27" t="s">
        <v>121</v>
      </c>
      <c r="AC43" s="27" t="s">
        <v>230</v>
      </c>
      <c r="AD43" s="27" t="s">
        <v>469</v>
      </c>
      <c r="AE43" s="27"/>
      <c r="AF43" s="27" t="s">
        <v>470</v>
      </c>
      <c r="AG43" s="27" t="s">
        <v>268</v>
      </c>
      <c r="AH43" s="27" t="s">
        <v>305</v>
      </c>
      <c r="AI43" s="27" t="s">
        <v>154</v>
      </c>
      <c r="AJ43" s="27" t="s">
        <v>471</v>
      </c>
      <c r="AK43" s="27"/>
      <c r="AL43" s="27" t="s">
        <v>51</v>
      </c>
      <c r="AM43" s="27" t="s">
        <v>51</v>
      </c>
      <c r="AN43" s="27" t="s">
        <v>472</v>
      </c>
      <c r="AO43" s="27" t="s">
        <v>473</v>
      </c>
      <c r="AP43" s="27" t="s">
        <v>437</v>
      </c>
      <c r="AQ43" s="27"/>
    </row>
    <row r="44" ht="15.75" customHeight="1" spans="1:43">
      <c r="A44" s="29"/>
      <c r="B44" s="29"/>
      <c r="C44" s="29"/>
      <c r="D44" s="32" t="s">
        <v>51</v>
      </c>
      <c r="E44" s="32"/>
      <c r="F44" s="32" t="s">
        <v>274</v>
      </c>
      <c r="G44" s="32"/>
      <c r="H44" s="32" t="s">
        <v>81</v>
      </c>
      <c r="I44" s="27" t="str">
        <f t="shared" si="0"/>
        <v>Bentrez, Genera</v>
      </c>
      <c r="J44" s="32" t="s">
        <v>474</v>
      </c>
      <c r="K44" s="32" t="s">
        <v>475</v>
      </c>
      <c r="L44" s="33" t="s">
        <v>476</v>
      </c>
      <c r="M44" s="32" t="s">
        <v>57</v>
      </c>
      <c r="N44" s="32" t="s">
        <v>477</v>
      </c>
      <c r="O44" s="32" t="s">
        <v>478</v>
      </c>
      <c r="P44" s="32"/>
      <c r="Q44" s="32" t="s">
        <v>479</v>
      </c>
      <c r="R44" s="32"/>
      <c r="S44" s="31">
        <v>21466</v>
      </c>
      <c r="T44" s="88">
        <f ca="1" t="shared" si="1"/>
        <v>68</v>
      </c>
      <c r="U44" s="27" t="s">
        <v>480</v>
      </c>
      <c r="V44" s="27" t="s">
        <v>481</v>
      </c>
      <c r="W44" s="27" t="s">
        <v>482</v>
      </c>
      <c r="X44" s="27" t="s">
        <v>51</v>
      </c>
      <c r="Y44" s="98" t="s">
        <v>483</v>
      </c>
      <c r="Z44" s="27" t="s">
        <v>51</v>
      </c>
      <c r="AA44" s="31" t="s">
        <v>484</v>
      </c>
      <c r="AB44" s="27" t="s">
        <v>485</v>
      </c>
      <c r="AC44" s="27" t="s">
        <v>230</v>
      </c>
      <c r="AD44" s="27"/>
      <c r="AE44" s="27" t="s">
        <v>360</v>
      </c>
      <c r="AF44" s="27" t="s">
        <v>486</v>
      </c>
      <c r="AG44" s="27" t="s">
        <v>487</v>
      </c>
      <c r="AH44" s="27" t="s">
        <v>153</v>
      </c>
      <c r="AI44" s="27" t="s">
        <v>154</v>
      </c>
      <c r="AJ44" s="27" t="s">
        <v>488</v>
      </c>
      <c r="AK44" s="27"/>
      <c r="AL44" s="27" t="s">
        <v>51</v>
      </c>
      <c r="AM44" s="27" t="s">
        <v>51</v>
      </c>
      <c r="AN44" s="27" t="s">
        <v>489</v>
      </c>
      <c r="AO44" s="27" t="s">
        <v>490</v>
      </c>
      <c r="AP44" s="27" t="s">
        <v>437</v>
      </c>
      <c r="AQ44" s="27" t="s">
        <v>491</v>
      </c>
    </row>
    <row r="45" ht="15.75" customHeight="1" spans="1:43">
      <c r="A45" s="29"/>
      <c r="B45" s="29"/>
      <c r="C45" s="29"/>
      <c r="D45" s="32" t="s">
        <v>51</v>
      </c>
      <c r="E45" s="32"/>
      <c r="F45" s="32" t="s">
        <v>85</v>
      </c>
      <c r="G45" s="32"/>
      <c r="H45" s="32" t="s">
        <v>81</v>
      </c>
      <c r="I45" s="190" t="str">
        <f t="shared" si="0"/>
        <v>Bentrez, Jacqueline</v>
      </c>
      <c r="J45" s="32" t="s">
        <v>474</v>
      </c>
      <c r="K45" s="32" t="s">
        <v>492</v>
      </c>
      <c r="L45" s="33" t="s">
        <v>493</v>
      </c>
      <c r="M45" s="32" t="s">
        <v>57</v>
      </c>
      <c r="N45" s="32" t="s">
        <v>494</v>
      </c>
      <c r="O45" s="32" t="s">
        <v>495</v>
      </c>
      <c r="P45" s="32"/>
      <c r="Q45" s="32" t="s">
        <v>496</v>
      </c>
      <c r="R45" s="32" t="s">
        <v>497</v>
      </c>
      <c r="S45" s="31">
        <v>29570</v>
      </c>
      <c r="T45" s="88">
        <f ca="1" t="shared" si="1"/>
        <v>45</v>
      </c>
      <c r="U45" s="27" t="s">
        <v>498</v>
      </c>
      <c r="V45" s="27" t="s">
        <v>499</v>
      </c>
      <c r="W45" s="27" t="s">
        <v>500</v>
      </c>
      <c r="X45" s="27" t="s">
        <v>51</v>
      </c>
      <c r="Y45" s="98"/>
      <c r="Z45" s="27" t="s">
        <v>51</v>
      </c>
      <c r="AA45" s="31"/>
      <c r="AB45" s="27"/>
      <c r="AC45" s="27" t="s">
        <v>501</v>
      </c>
      <c r="AD45" s="27"/>
      <c r="AE45" s="27" t="s">
        <v>502</v>
      </c>
      <c r="AF45" s="27"/>
      <c r="AG45" s="27" t="s">
        <v>503</v>
      </c>
      <c r="AH45" s="27"/>
      <c r="AI45" s="27" t="s">
        <v>154</v>
      </c>
      <c r="AJ45" s="27" t="s">
        <v>489</v>
      </c>
      <c r="AK45" s="27" t="s">
        <v>504</v>
      </c>
      <c r="AL45" s="27" t="s">
        <v>51</v>
      </c>
      <c r="AM45" s="27" t="s">
        <v>51</v>
      </c>
      <c r="AN45" s="27" t="s">
        <v>489</v>
      </c>
      <c r="AO45" s="27" t="s">
        <v>490</v>
      </c>
      <c r="AP45" s="27" t="s">
        <v>77</v>
      </c>
      <c r="AQ45" s="27" t="s">
        <v>491</v>
      </c>
    </row>
    <row r="46" ht="15.75" customHeight="1" spans="1:43">
      <c r="A46" s="29"/>
      <c r="B46" s="29"/>
      <c r="C46" s="29"/>
      <c r="D46" s="32" t="s">
        <v>51</v>
      </c>
      <c r="E46" s="32"/>
      <c r="F46" s="32" t="s">
        <v>177</v>
      </c>
      <c r="G46" s="32"/>
      <c r="H46" s="32" t="s">
        <v>53</v>
      </c>
      <c r="I46" s="27" t="str">
        <f t="shared" si="0"/>
        <v>Bokket, Maria Rita</v>
      </c>
      <c r="J46" s="32" t="s">
        <v>505</v>
      </c>
      <c r="K46" s="32" t="s">
        <v>506</v>
      </c>
      <c r="L46" s="33" t="s">
        <v>222</v>
      </c>
      <c r="M46" s="32" t="s">
        <v>57</v>
      </c>
      <c r="N46" s="32" t="s">
        <v>507</v>
      </c>
      <c r="O46" s="32" t="s">
        <v>508</v>
      </c>
      <c r="P46" s="32"/>
      <c r="Q46" s="32" t="s">
        <v>509</v>
      </c>
      <c r="R46" s="32"/>
      <c r="S46" s="31">
        <v>30786</v>
      </c>
      <c r="T46" s="88">
        <f ca="1" t="shared" si="1"/>
        <v>42</v>
      </c>
      <c r="U46" s="27" t="s">
        <v>510</v>
      </c>
      <c r="V46" s="27" t="s">
        <v>511</v>
      </c>
      <c r="W46" s="27" t="s">
        <v>512</v>
      </c>
      <c r="X46" s="27" t="s">
        <v>51</v>
      </c>
      <c r="Y46" s="232" t="s">
        <v>513</v>
      </c>
      <c r="Z46" s="27" t="s">
        <v>51</v>
      </c>
      <c r="AA46" s="31"/>
      <c r="AB46" s="27" t="s">
        <v>121</v>
      </c>
      <c r="AC46" s="27" t="s">
        <v>514</v>
      </c>
      <c r="AD46" s="27" t="s">
        <v>515</v>
      </c>
      <c r="AE46" s="27" t="s">
        <v>516</v>
      </c>
      <c r="AF46" s="27" t="s">
        <v>516</v>
      </c>
      <c r="AG46" s="27" t="s">
        <v>190</v>
      </c>
      <c r="AH46" s="27"/>
      <c r="AI46" s="27"/>
      <c r="AJ46" s="27" t="s">
        <v>517</v>
      </c>
      <c r="AK46" s="27" t="s">
        <v>518</v>
      </c>
      <c r="AL46" s="27" t="s">
        <v>157</v>
      </c>
      <c r="AM46" s="27" t="s">
        <v>157</v>
      </c>
      <c r="AN46" s="27" t="s">
        <v>517</v>
      </c>
      <c r="AO46" s="27" t="s">
        <v>519</v>
      </c>
      <c r="AP46" s="27" t="s">
        <v>77</v>
      </c>
      <c r="AQ46" s="27" t="s">
        <v>520</v>
      </c>
    </row>
    <row r="47" ht="15.75" customHeight="1" spans="1:43">
      <c r="A47" s="29"/>
      <c r="B47" s="29"/>
      <c r="C47" s="29"/>
      <c r="D47" s="32" t="s">
        <v>51</v>
      </c>
      <c r="E47" s="32"/>
      <c r="F47" s="32" t="s">
        <v>236</v>
      </c>
      <c r="G47" s="32"/>
      <c r="H47" s="32" t="s">
        <v>81</v>
      </c>
      <c r="I47" s="27" t="str">
        <f t="shared" si="0"/>
        <v>Boteng, Angeline</v>
      </c>
      <c r="J47" s="32" t="s">
        <v>521</v>
      </c>
      <c r="K47" s="32" t="s">
        <v>522</v>
      </c>
      <c r="L47" s="33"/>
      <c r="M47" s="32" t="s">
        <v>57</v>
      </c>
      <c r="N47" s="32" t="s">
        <v>523</v>
      </c>
      <c r="O47" s="32" t="s">
        <v>524</v>
      </c>
      <c r="P47" s="32"/>
      <c r="Q47" s="32" t="s">
        <v>525</v>
      </c>
      <c r="R47" s="32" t="s">
        <v>526</v>
      </c>
      <c r="S47" s="31">
        <v>29829</v>
      </c>
      <c r="T47" s="88">
        <f ca="1" t="shared" si="1"/>
        <v>45</v>
      </c>
      <c r="U47" s="27" t="s">
        <v>426</v>
      </c>
      <c r="V47" s="27" t="s">
        <v>527</v>
      </c>
      <c r="W47" s="27" t="s">
        <v>528</v>
      </c>
      <c r="X47" s="27" t="s">
        <v>51</v>
      </c>
      <c r="Y47" s="232" t="s">
        <v>529</v>
      </c>
      <c r="Z47" s="27" t="s">
        <v>51</v>
      </c>
      <c r="AA47" s="31"/>
      <c r="AB47" s="27" t="s">
        <v>149</v>
      </c>
      <c r="AC47" s="27" t="s">
        <v>530</v>
      </c>
      <c r="AD47" s="27" t="s">
        <v>531</v>
      </c>
      <c r="AE47" s="27"/>
      <c r="AF47" s="27" t="s">
        <v>532</v>
      </c>
      <c r="AG47" s="27" t="s">
        <v>190</v>
      </c>
      <c r="AH47" s="27" t="s">
        <v>305</v>
      </c>
      <c r="AI47" s="27" t="s">
        <v>154</v>
      </c>
      <c r="AJ47" s="27"/>
      <c r="AK47" s="27"/>
      <c r="AL47" s="27"/>
      <c r="AM47" s="27"/>
      <c r="AN47" s="27" t="s">
        <v>527</v>
      </c>
      <c r="AO47" s="27" t="s">
        <v>533</v>
      </c>
      <c r="AP47" s="27" t="s">
        <v>29</v>
      </c>
      <c r="AQ47" s="27" t="s">
        <v>534</v>
      </c>
    </row>
    <row r="48" ht="15.75" customHeight="1" spans="1:43">
      <c r="A48" s="29"/>
      <c r="B48" s="29"/>
      <c r="C48" s="29"/>
      <c r="D48" s="32" t="s">
        <v>79</v>
      </c>
      <c r="E48" s="32"/>
      <c r="F48" s="32" t="s">
        <v>396</v>
      </c>
      <c r="G48" s="32"/>
      <c r="H48" s="32" t="s">
        <v>81</v>
      </c>
      <c r="I48" s="27" t="str">
        <f t="shared" si="0"/>
        <v>Boteng, Zandra</v>
      </c>
      <c r="J48" s="32" t="s">
        <v>521</v>
      </c>
      <c r="K48" s="32" t="s">
        <v>535</v>
      </c>
      <c r="L48" s="33"/>
      <c r="M48" s="32" t="s">
        <v>57</v>
      </c>
      <c r="N48" s="32"/>
      <c r="O48" s="32"/>
      <c r="P48" s="32"/>
      <c r="Q48" s="32"/>
      <c r="R48" s="32"/>
      <c r="S48" s="31"/>
      <c r="T48" s="88" t="str">
        <f ca="1" t="shared" si="1"/>
        <v/>
      </c>
      <c r="U48" s="27"/>
      <c r="V48" s="27"/>
      <c r="W48" s="27"/>
      <c r="X48" s="27"/>
      <c r="Y48" s="98"/>
      <c r="Z48" s="27"/>
      <c r="AA48" s="31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</row>
    <row r="49" ht="15.75" customHeight="1" spans="1:43">
      <c r="A49" s="29"/>
      <c r="B49" s="29"/>
      <c r="C49" s="29"/>
      <c r="D49" s="32" t="s">
        <v>51</v>
      </c>
      <c r="E49" s="32"/>
      <c r="F49" s="32" t="s">
        <v>177</v>
      </c>
      <c r="G49" s="32"/>
      <c r="H49" s="32" t="s">
        <v>81</v>
      </c>
      <c r="I49" s="27" t="str">
        <f t="shared" si="0"/>
        <v>Broqueza, Maylene Miles</v>
      </c>
      <c r="J49" s="32" t="s">
        <v>536</v>
      </c>
      <c r="K49" s="32" t="s">
        <v>537</v>
      </c>
      <c r="L49" s="33" t="s">
        <v>538</v>
      </c>
      <c r="M49" s="32" t="s">
        <v>57</v>
      </c>
      <c r="N49" s="32"/>
      <c r="O49" s="32"/>
      <c r="P49" s="32" t="s">
        <v>539</v>
      </c>
      <c r="Q49" s="32" t="s">
        <v>540</v>
      </c>
      <c r="R49" s="32"/>
      <c r="S49" s="31">
        <v>29466</v>
      </c>
      <c r="T49" s="88">
        <f ca="1" t="shared" si="1"/>
        <v>46</v>
      </c>
      <c r="U49" s="27" t="s">
        <v>539</v>
      </c>
      <c r="V49" s="27" t="s">
        <v>541</v>
      </c>
      <c r="W49" s="27" t="s">
        <v>542</v>
      </c>
      <c r="X49" s="27" t="s">
        <v>51</v>
      </c>
      <c r="Y49" s="232" t="s">
        <v>543</v>
      </c>
      <c r="Z49" s="27" t="s">
        <v>51</v>
      </c>
      <c r="AA49" s="233" t="s">
        <v>543</v>
      </c>
      <c r="AB49" s="27" t="s">
        <v>544</v>
      </c>
      <c r="AC49" s="27" t="s">
        <v>545</v>
      </c>
      <c r="AD49" s="27" t="s">
        <v>546</v>
      </c>
      <c r="AE49" s="27" t="s">
        <v>190</v>
      </c>
      <c r="AF49" s="27" t="s">
        <v>190</v>
      </c>
      <c r="AG49" s="27" t="s">
        <v>249</v>
      </c>
      <c r="AH49" s="27" t="s">
        <v>547</v>
      </c>
      <c r="AI49" s="27" t="s">
        <v>154</v>
      </c>
      <c r="AJ49" s="27"/>
      <c r="AK49" s="27"/>
      <c r="AL49" s="27"/>
      <c r="AM49" s="27"/>
      <c r="AN49" s="27"/>
      <c r="AO49" s="27"/>
      <c r="AP49" s="27"/>
      <c r="AQ49" s="27"/>
    </row>
    <row r="50" ht="15.75" customHeight="1" spans="1:43">
      <c r="A50" s="29"/>
      <c r="B50" s="29"/>
      <c r="C50" s="29"/>
      <c r="D50" s="32" t="s">
        <v>79</v>
      </c>
      <c r="E50" s="32"/>
      <c r="F50" s="32" t="s">
        <v>274</v>
      </c>
      <c r="G50" s="32"/>
      <c r="H50" s="32" t="s">
        <v>81</v>
      </c>
      <c r="I50" s="27" t="str">
        <f t="shared" si="0"/>
        <v>Bulalin, Lita</v>
      </c>
      <c r="J50" s="32" t="s">
        <v>548</v>
      </c>
      <c r="K50" s="32" t="s">
        <v>549</v>
      </c>
      <c r="L50" s="33"/>
      <c r="M50" s="32" t="s">
        <v>57</v>
      </c>
      <c r="N50" s="32"/>
      <c r="O50" s="32"/>
      <c r="P50" s="32"/>
      <c r="Q50" s="32"/>
      <c r="R50" s="32"/>
      <c r="S50" s="31"/>
      <c r="T50" s="88" t="str">
        <f ca="1" t="shared" si="1"/>
        <v/>
      </c>
      <c r="U50" s="27"/>
      <c r="V50" s="27"/>
      <c r="W50" s="27"/>
      <c r="X50" s="27"/>
      <c r="Y50" s="98"/>
      <c r="Z50" s="27"/>
      <c r="AA50" s="31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</row>
    <row r="51" ht="15.75" customHeight="1" spans="1:43">
      <c r="A51" s="29"/>
      <c r="B51" s="29"/>
      <c r="C51" s="29"/>
      <c r="D51" s="32" t="s">
        <v>79</v>
      </c>
      <c r="E51" s="32"/>
      <c r="F51" s="32" t="s">
        <v>274</v>
      </c>
      <c r="G51" s="32"/>
      <c r="H51" s="32" t="s">
        <v>81</v>
      </c>
      <c r="I51" s="27" t="str">
        <f t="shared" si="0"/>
        <v>Cabalfin, Jennifer</v>
      </c>
      <c r="J51" s="32" t="s">
        <v>550</v>
      </c>
      <c r="K51" s="32" t="s">
        <v>551</v>
      </c>
      <c r="L51" s="33"/>
      <c r="M51" s="32" t="s">
        <v>57</v>
      </c>
      <c r="N51" s="32"/>
      <c r="O51" s="32"/>
      <c r="P51" s="32"/>
      <c r="Q51" s="32"/>
      <c r="R51" s="32"/>
      <c r="S51" s="31"/>
      <c r="T51" s="88" t="str">
        <f ca="1" t="shared" si="1"/>
        <v/>
      </c>
      <c r="U51" s="27"/>
      <c r="V51" s="27"/>
      <c r="W51" s="27"/>
      <c r="X51" s="27"/>
      <c r="Y51" s="98"/>
      <c r="Z51" s="27"/>
      <c r="AA51" s="31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</row>
    <row r="52" ht="15.75" customHeight="1" spans="1:43">
      <c r="A52" s="29"/>
      <c r="B52" s="29"/>
      <c r="C52" s="29"/>
      <c r="D52" s="32" t="s">
        <v>51</v>
      </c>
      <c r="E52" s="32"/>
      <c r="F52" s="32" t="s">
        <v>274</v>
      </c>
      <c r="G52" s="32"/>
      <c r="H52" s="32" t="s">
        <v>126</v>
      </c>
      <c r="I52" s="27" t="str">
        <f t="shared" si="0"/>
        <v>Cabay, Alice</v>
      </c>
      <c r="J52" s="32" t="s">
        <v>552</v>
      </c>
      <c r="K52" s="32" t="s">
        <v>553</v>
      </c>
      <c r="L52" s="33" t="s">
        <v>554</v>
      </c>
      <c r="M52" s="32" t="s">
        <v>57</v>
      </c>
      <c r="N52" s="32">
        <v>70</v>
      </c>
      <c r="O52" s="32" t="s">
        <v>555</v>
      </c>
      <c r="P52" s="32" t="s">
        <v>145</v>
      </c>
      <c r="Q52" s="32" t="s">
        <v>556</v>
      </c>
      <c r="R52" s="32" t="s">
        <v>557</v>
      </c>
      <c r="S52" s="31">
        <v>24543</v>
      </c>
      <c r="T52" s="88">
        <f ca="1" t="shared" si="1"/>
        <v>59</v>
      </c>
      <c r="U52" s="27" t="s">
        <v>145</v>
      </c>
      <c r="V52" s="27"/>
      <c r="W52" s="27"/>
      <c r="X52" s="27" t="s">
        <v>51</v>
      </c>
      <c r="Y52" s="98" t="s">
        <v>558</v>
      </c>
      <c r="Z52" s="27" t="s">
        <v>51</v>
      </c>
      <c r="AA52" s="233" t="s">
        <v>559</v>
      </c>
      <c r="AB52" s="27" t="s">
        <v>149</v>
      </c>
      <c r="AC52" s="27" t="s">
        <v>560</v>
      </c>
      <c r="AD52" s="27"/>
      <c r="AE52" s="27"/>
      <c r="AF52" s="27"/>
      <c r="AG52" s="27"/>
      <c r="AH52" s="27" t="s">
        <v>561</v>
      </c>
      <c r="AI52" s="27" t="s">
        <v>154</v>
      </c>
      <c r="AJ52" s="27" t="s">
        <v>562</v>
      </c>
      <c r="AK52" s="27" t="s">
        <v>563</v>
      </c>
      <c r="AL52" s="27" t="s">
        <v>51</v>
      </c>
      <c r="AM52" s="27"/>
      <c r="AN52" s="27" t="s">
        <v>562</v>
      </c>
      <c r="AO52" s="27" t="s">
        <v>564</v>
      </c>
      <c r="AP52" s="27" t="s">
        <v>77</v>
      </c>
      <c r="AQ52" s="27" t="s">
        <v>565</v>
      </c>
    </row>
    <row r="53" ht="15.75" customHeight="1" spans="1:43">
      <c r="A53" s="29"/>
      <c r="B53" s="29"/>
      <c r="C53" s="29"/>
      <c r="D53" s="32" t="s">
        <v>51</v>
      </c>
      <c r="E53" s="32"/>
      <c r="F53" s="32" t="s">
        <v>566</v>
      </c>
      <c r="G53" s="32"/>
      <c r="H53" s="32" t="s">
        <v>53</v>
      </c>
      <c r="I53" s="27" t="str">
        <f t="shared" si="0"/>
        <v>Cabay, Arlyn</v>
      </c>
      <c r="J53" s="32" t="s">
        <v>552</v>
      </c>
      <c r="K53" s="32" t="s">
        <v>567</v>
      </c>
      <c r="L53" s="33" t="s">
        <v>568</v>
      </c>
      <c r="M53" s="32" t="s">
        <v>57</v>
      </c>
      <c r="N53" s="32" t="s">
        <v>569</v>
      </c>
      <c r="O53" s="32" t="s">
        <v>59</v>
      </c>
      <c r="P53" s="32" t="s">
        <v>570</v>
      </c>
      <c r="Q53" s="32" t="s">
        <v>571</v>
      </c>
      <c r="R53" s="32" t="s">
        <v>572</v>
      </c>
      <c r="S53" s="31">
        <v>31158</v>
      </c>
      <c r="T53" s="88">
        <f ca="1" t="shared" si="1"/>
        <v>41</v>
      </c>
      <c r="U53" s="27" t="s">
        <v>573</v>
      </c>
      <c r="V53" s="27"/>
      <c r="W53" s="27" t="s">
        <v>574</v>
      </c>
      <c r="X53" s="27" t="s">
        <v>51</v>
      </c>
      <c r="Y53" s="232" t="s">
        <v>416</v>
      </c>
      <c r="Z53" s="27" t="s">
        <v>51</v>
      </c>
      <c r="AA53" s="233" t="s">
        <v>575</v>
      </c>
      <c r="AB53" s="27" t="s">
        <v>576</v>
      </c>
      <c r="AC53" s="27" t="s">
        <v>68</v>
      </c>
      <c r="AD53" s="27" t="s">
        <v>577</v>
      </c>
      <c r="AE53" s="27"/>
      <c r="AF53" s="27"/>
      <c r="AG53" s="27" t="s">
        <v>190</v>
      </c>
      <c r="AH53" s="27" t="s">
        <v>153</v>
      </c>
      <c r="AI53" s="27"/>
      <c r="AJ53" s="27" t="s">
        <v>578</v>
      </c>
      <c r="AK53" s="27" t="s">
        <v>579</v>
      </c>
      <c r="AL53" s="27" t="s">
        <v>51</v>
      </c>
      <c r="AM53" s="27" t="s">
        <v>51</v>
      </c>
      <c r="AN53" s="27" t="s">
        <v>562</v>
      </c>
      <c r="AO53" s="27" t="s">
        <v>580</v>
      </c>
      <c r="AP53" s="27" t="s">
        <v>581</v>
      </c>
      <c r="AQ53" s="27"/>
    </row>
    <row r="54" ht="15.75" customHeight="1" spans="1:43">
      <c r="A54" s="29"/>
      <c r="B54" s="29"/>
      <c r="C54" s="29"/>
      <c r="D54" s="32" t="s">
        <v>51</v>
      </c>
      <c r="E54" s="32"/>
      <c r="F54" s="32" t="s">
        <v>309</v>
      </c>
      <c r="G54" s="32"/>
      <c r="H54" s="32" t="s">
        <v>81</v>
      </c>
      <c r="I54" s="27" t="str">
        <f t="shared" si="0"/>
        <v>Cabay, Fermina</v>
      </c>
      <c r="J54" s="32" t="s">
        <v>552</v>
      </c>
      <c r="K54" s="32" t="s">
        <v>582</v>
      </c>
      <c r="L54" s="33"/>
      <c r="M54" s="32" t="s">
        <v>57</v>
      </c>
      <c r="N54" s="32" t="s">
        <v>583</v>
      </c>
      <c r="O54" s="32" t="s">
        <v>298</v>
      </c>
      <c r="P54" s="32"/>
      <c r="Q54" s="32" t="s">
        <v>584</v>
      </c>
      <c r="R54" s="32"/>
      <c r="S54" s="31">
        <v>21523</v>
      </c>
      <c r="T54" s="88">
        <f ca="1" t="shared" si="1"/>
        <v>67</v>
      </c>
      <c r="U54" s="27" t="s">
        <v>573</v>
      </c>
      <c r="V54" s="27" t="s">
        <v>585</v>
      </c>
      <c r="W54" s="27" t="s">
        <v>586</v>
      </c>
      <c r="X54" s="27" t="s">
        <v>51</v>
      </c>
      <c r="Y54" s="98" t="s">
        <v>587</v>
      </c>
      <c r="Z54" s="27" t="s">
        <v>51</v>
      </c>
      <c r="AA54" s="31"/>
      <c r="AB54" s="27" t="s">
        <v>149</v>
      </c>
      <c r="AC54" s="27" t="s">
        <v>514</v>
      </c>
      <c r="AD54" s="27"/>
      <c r="AE54" s="27"/>
      <c r="AF54" s="27"/>
      <c r="AG54" s="27"/>
      <c r="AH54" s="27"/>
      <c r="AI54" s="27"/>
      <c r="AJ54" s="27" t="s">
        <v>588</v>
      </c>
      <c r="AK54" s="27"/>
      <c r="AL54" s="27" t="s">
        <v>51</v>
      </c>
      <c r="AM54" s="27" t="s">
        <v>51</v>
      </c>
      <c r="AN54" s="27" t="s">
        <v>589</v>
      </c>
      <c r="AO54" s="27" t="s">
        <v>590</v>
      </c>
      <c r="AP54" s="27" t="s">
        <v>219</v>
      </c>
      <c r="AQ54" s="27" t="s">
        <v>591</v>
      </c>
    </row>
    <row r="55" ht="15.75" customHeight="1" spans="1:43">
      <c r="A55" s="29"/>
      <c r="B55" s="29"/>
      <c r="C55" s="29"/>
      <c r="D55" s="32" t="s">
        <v>79</v>
      </c>
      <c r="E55" s="32"/>
      <c r="F55" s="32" t="s">
        <v>52</v>
      </c>
      <c r="G55" s="32"/>
      <c r="H55" s="32" t="s">
        <v>81</v>
      </c>
      <c r="I55" s="27" t="str">
        <f t="shared" si="0"/>
        <v>Cadiay, Merriam</v>
      </c>
      <c r="J55" s="32" t="s">
        <v>592</v>
      </c>
      <c r="K55" s="32" t="s">
        <v>593</v>
      </c>
      <c r="L55" s="33"/>
      <c r="M55" s="32" t="s">
        <v>57</v>
      </c>
      <c r="N55" s="32" t="s">
        <v>594</v>
      </c>
      <c r="O55" s="32" t="s">
        <v>354</v>
      </c>
      <c r="P55" s="32"/>
      <c r="Q55" s="32" t="s">
        <v>595</v>
      </c>
      <c r="R55" s="32"/>
      <c r="S55" s="31">
        <v>27944</v>
      </c>
      <c r="T55" s="88">
        <f ca="1" t="shared" si="1"/>
        <v>50</v>
      </c>
      <c r="U55" s="27"/>
      <c r="V55" s="27"/>
      <c r="W55" s="27"/>
      <c r="X55" s="27"/>
      <c r="Y55" s="98"/>
      <c r="Z55" s="27"/>
      <c r="AA55" s="31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</row>
    <row r="56" ht="15.75" customHeight="1" spans="1:43">
      <c r="A56" s="29"/>
      <c r="B56" s="29"/>
      <c r="C56" s="29"/>
      <c r="D56" s="32" t="s">
        <v>79</v>
      </c>
      <c r="E56" s="32"/>
      <c r="F56" s="32" t="s">
        <v>52</v>
      </c>
      <c r="G56" s="32"/>
      <c r="H56" s="32" t="s">
        <v>81</v>
      </c>
      <c r="I56" s="27" t="str">
        <f t="shared" si="0"/>
        <v>Cadiay, Vivian</v>
      </c>
      <c r="J56" s="32" t="s">
        <v>592</v>
      </c>
      <c r="K56" s="32" t="s">
        <v>596</v>
      </c>
      <c r="L56" s="33"/>
      <c r="M56" s="32" t="s">
        <v>57</v>
      </c>
      <c r="N56" s="32" t="s">
        <v>594</v>
      </c>
      <c r="O56" s="32" t="s">
        <v>354</v>
      </c>
      <c r="P56" s="32"/>
      <c r="Q56" s="32"/>
      <c r="R56" s="32"/>
      <c r="S56" s="31">
        <v>32363</v>
      </c>
      <c r="T56" s="88">
        <f ca="1" t="shared" si="1"/>
        <v>38</v>
      </c>
      <c r="U56" s="27"/>
      <c r="V56" s="27"/>
      <c r="W56" s="27"/>
      <c r="X56" s="27"/>
      <c r="Y56" s="98"/>
      <c r="Z56" s="27"/>
      <c r="AA56" s="31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</row>
    <row r="57" ht="15.75" customHeight="1" spans="1:43">
      <c r="A57" s="29"/>
      <c r="B57" s="29"/>
      <c r="C57" s="29"/>
      <c r="D57" s="32" t="s">
        <v>51</v>
      </c>
      <c r="E57" s="32"/>
      <c r="F57" s="32"/>
      <c r="G57" s="32"/>
      <c r="H57" s="32"/>
      <c r="I57" s="27" t="str">
        <f t="shared" si="0"/>
        <v>Calias, Pilora</v>
      </c>
      <c r="J57" s="32" t="s">
        <v>597</v>
      </c>
      <c r="K57" s="32" t="s">
        <v>598</v>
      </c>
      <c r="L57" s="33" t="s">
        <v>538</v>
      </c>
      <c r="M57" s="32" t="s">
        <v>57</v>
      </c>
      <c r="N57" s="32" t="s">
        <v>599</v>
      </c>
      <c r="O57" s="32" t="s">
        <v>600</v>
      </c>
      <c r="P57" s="32" t="s">
        <v>601</v>
      </c>
      <c r="Q57" s="32" t="s">
        <v>602</v>
      </c>
      <c r="R57" s="32"/>
      <c r="S57" s="31">
        <v>20056</v>
      </c>
      <c r="T57" s="88">
        <f ca="1" t="shared" si="1"/>
        <v>71</v>
      </c>
      <c r="U57" s="27" t="s">
        <v>603</v>
      </c>
      <c r="V57" s="27" t="s">
        <v>604</v>
      </c>
      <c r="W57" s="27" t="s">
        <v>605</v>
      </c>
      <c r="X57" s="27" t="s">
        <v>51</v>
      </c>
      <c r="Y57" s="232" t="s">
        <v>606</v>
      </c>
      <c r="Z57" s="27" t="s">
        <v>51</v>
      </c>
      <c r="AA57" s="233" t="s">
        <v>606</v>
      </c>
      <c r="AB57" s="27" t="s">
        <v>121</v>
      </c>
      <c r="AC57" s="27" t="s">
        <v>103</v>
      </c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 t="s">
        <v>607</v>
      </c>
      <c r="AO57" s="27"/>
      <c r="AP57" s="27" t="s">
        <v>608</v>
      </c>
      <c r="AQ57" s="27"/>
    </row>
    <row r="58" ht="15.75" customHeight="1" spans="1:43">
      <c r="A58" s="29"/>
      <c r="B58" s="29"/>
      <c r="C58" s="29"/>
      <c r="D58" s="87" t="s">
        <v>51</v>
      </c>
      <c r="E58" s="32"/>
      <c r="F58" s="32"/>
      <c r="G58" s="32"/>
      <c r="H58" s="32"/>
      <c r="I58" s="27" t="str">
        <f t="shared" si="0"/>
        <v>Calimlim, Jamielyn</v>
      </c>
      <c r="J58" s="87" t="s">
        <v>609</v>
      </c>
      <c r="K58" s="87" t="s">
        <v>610</v>
      </c>
      <c r="L58" s="94" t="s">
        <v>611</v>
      </c>
      <c r="M58" s="32"/>
      <c r="N58" s="87" t="s">
        <v>612</v>
      </c>
      <c r="O58" s="87" t="s">
        <v>613</v>
      </c>
      <c r="P58" s="87" t="s">
        <v>614</v>
      </c>
      <c r="Q58" s="87" t="s">
        <v>615</v>
      </c>
      <c r="R58" s="87" t="s">
        <v>616</v>
      </c>
      <c r="S58" s="207">
        <v>34204</v>
      </c>
      <c r="T58" s="88">
        <f ca="1" t="shared" si="1"/>
        <v>33</v>
      </c>
      <c r="U58" s="178" t="s">
        <v>617</v>
      </c>
      <c r="V58" s="178" t="s">
        <v>618</v>
      </c>
      <c r="W58" s="178" t="s">
        <v>619</v>
      </c>
      <c r="X58" s="178" t="s">
        <v>51</v>
      </c>
      <c r="Y58" s="214">
        <v>43408</v>
      </c>
      <c r="Z58" s="178" t="s">
        <v>51</v>
      </c>
      <c r="AA58" s="207">
        <v>43418</v>
      </c>
      <c r="AB58" s="178" t="s">
        <v>620</v>
      </c>
      <c r="AC58" s="178" t="s">
        <v>621</v>
      </c>
      <c r="AD58" s="27"/>
      <c r="AE58" s="27"/>
      <c r="AF58" s="27"/>
      <c r="AG58" s="178" t="s">
        <v>622</v>
      </c>
      <c r="AH58" s="178" t="s">
        <v>153</v>
      </c>
      <c r="AI58" s="178" t="s">
        <v>154</v>
      </c>
      <c r="AJ58" s="178" t="s">
        <v>623</v>
      </c>
      <c r="AK58" s="178" t="s">
        <v>624</v>
      </c>
      <c r="AL58" s="178" t="s">
        <v>51</v>
      </c>
      <c r="AM58" s="178" t="s">
        <v>51</v>
      </c>
      <c r="AN58" s="178" t="s">
        <v>623</v>
      </c>
      <c r="AO58" s="178" t="s">
        <v>625</v>
      </c>
      <c r="AP58" s="27" t="s">
        <v>77</v>
      </c>
      <c r="AQ58" s="27"/>
    </row>
    <row r="59" ht="15.75" customHeight="1" spans="1:43">
      <c r="A59" s="29"/>
      <c r="B59" s="29"/>
      <c r="C59" s="29"/>
      <c r="D59" s="32" t="s">
        <v>51</v>
      </c>
      <c r="E59" s="32"/>
      <c r="F59" s="32" t="s">
        <v>396</v>
      </c>
      <c r="G59" s="32"/>
      <c r="H59" s="32" t="s">
        <v>126</v>
      </c>
      <c r="I59" s="27" t="str">
        <f t="shared" si="0"/>
        <v>Camil, Marissa</v>
      </c>
      <c r="J59" s="32" t="s">
        <v>626</v>
      </c>
      <c r="K59" s="32" t="s">
        <v>627</v>
      </c>
      <c r="L59" s="33" t="s">
        <v>628</v>
      </c>
      <c r="M59" s="32" t="s">
        <v>57</v>
      </c>
      <c r="N59" s="32" t="s">
        <v>327</v>
      </c>
      <c r="O59" s="32" t="s">
        <v>328</v>
      </c>
      <c r="P59" s="32"/>
      <c r="Q59" s="32" t="s">
        <v>629</v>
      </c>
      <c r="R59" s="32"/>
      <c r="S59" s="31">
        <v>28974</v>
      </c>
      <c r="T59" s="88">
        <f ca="1" t="shared" si="1"/>
        <v>47</v>
      </c>
      <c r="U59" s="27" t="s">
        <v>123</v>
      </c>
      <c r="V59" s="27" t="s">
        <v>630</v>
      </c>
      <c r="W59" s="27" t="s">
        <v>631</v>
      </c>
      <c r="X59" s="27"/>
      <c r="Y59" s="98"/>
      <c r="Z59" s="27"/>
      <c r="AA59" s="31"/>
      <c r="AB59" s="27" t="s">
        <v>632</v>
      </c>
      <c r="AC59" s="27" t="s">
        <v>68</v>
      </c>
      <c r="AD59" s="27"/>
      <c r="AE59" s="27" t="s">
        <v>247</v>
      </c>
      <c r="AF59" s="27" t="s">
        <v>633</v>
      </c>
      <c r="AG59" s="27"/>
      <c r="AH59" s="27"/>
      <c r="AI59" s="27"/>
      <c r="AJ59" s="27" t="s">
        <v>634</v>
      </c>
      <c r="AK59" s="27" t="s">
        <v>109</v>
      </c>
      <c r="AL59" s="27" t="s">
        <v>157</v>
      </c>
      <c r="AM59" s="27" t="s">
        <v>157</v>
      </c>
      <c r="AN59" s="27" t="s">
        <v>634</v>
      </c>
      <c r="AO59" s="27" t="s">
        <v>635</v>
      </c>
      <c r="AP59" s="27" t="s">
        <v>77</v>
      </c>
      <c r="AQ59" s="27"/>
    </row>
    <row r="60" ht="15.75" customHeight="1" spans="1:43">
      <c r="A60" s="29"/>
      <c r="B60" s="29"/>
      <c r="C60" s="29"/>
      <c r="D60" s="32" t="s">
        <v>79</v>
      </c>
      <c r="E60" s="32"/>
      <c r="F60" s="32" t="s">
        <v>91</v>
      </c>
      <c r="G60" s="32"/>
      <c r="H60" s="32" t="s">
        <v>81</v>
      </c>
      <c r="I60" s="190" t="str">
        <f t="shared" si="0"/>
        <v>Camodag, Juliet</v>
      </c>
      <c r="J60" s="32" t="s">
        <v>636</v>
      </c>
      <c r="K60" s="32" t="s">
        <v>637</v>
      </c>
      <c r="L60" s="33"/>
      <c r="M60" s="32" t="s">
        <v>57</v>
      </c>
      <c r="N60" s="32"/>
      <c r="O60" s="32"/>
      <c r="P60" s="32"/>
      <c r="Q60" s="32"/>
      <c r="R60" s="32"/>
      <c r="S60" s="31"/>
      <c r="T60" s="88" t="str">
        <f ca="1" t="shared" si="1"/>
        <v/>
      </c>
      <c r="U60" s="27"/>
      <c r="V60" s="27"/>
      <c r="W60" s="27"/>
      <c r="X60" s="27"/>
      <c r="Y60" s="98"/>
      <c r="Z60" s="27"/>
      <c r="AA60" s="31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</row>
    <row r="61" ht="15.75" customHeight="1" spans="1:43">
      <c r="A61" s="29"/>
      <c r="B61" s="29"/>
      <c r="C61" s="29"/>
      <c r="D61" s="32" t="s">
        <v>51</v>
      </c>
      <c r="E61" s="32"/>
      <c r="F61" s="32" t="s">
        <v>80</v>
      </c>
      <c r="G61" s="32"/>
      <c r="H61" s="32" t="s">
        <v>81</v>
      </c>
      <c r="I61" s="27" t="str">
        <f t="shared" si="0"/>
        <v>Camora, Cheril</v>
      </c>
      <c r="J61" s="32" t="s">
        <v>638</v>
      </c>
      <c r="K61" s="32" t="s">
        <v>639</v>
      </c>
      <c r="L61" s="33" t="s">
        <v>161</v>
      </c>
      <c r="M61" s="32" t="s">
        <v>57</v>
      </c>
      <c r="N61" s="32" t="s">
        <v>640</v>
      </c>
      <c r="O61" s="32" t="s">
        <v>163</v>
      </c>
      <c r="P61" s="32"/>
      <c r="Q61" s="32" t="s">
        <v>641</v>
      </c>
      <c r="R61" s="32" t="s">
        <v>642</v>
      </c>
      <c r="S61" s="31">
        <v>26901</v>
      </c>
      <c r="T61" s="88">
        <f ca="1" t="shared" si="1"/>
        <v>53</v>
      </c>
      <c r="U61" s="27" t="s">
        <v>123</v>
      </c>
      <c r="V61" s="27"/>
      <c r="W61" s="27"/>
      <c r="X61" s="27" t="s">
        <v>51</v>
      </c>
      <c r="Y61" s="98"/>
      <c r="Z61" s="27" t="s">
        <v>51</v>
      </c>
      <c r="AA61" s="31"/>
      <c r="AB61" s="27"/>
      <c r="AC61" s="27" t="s">
        <v>230</v>
      </c>
      <c r="AD61" s="27" t="s">
        <v>104</v>
      </c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</row>
    <row r="62" ht="15.75" customHeight="1" spans="1:43">
      <c r="A62" s="29"/>
      <c r="B62" s="29"/>
      <c r="C62" s="29"/>
      <c r="D62" s="32" t="s">
        <v>79</v>
      </c>
      <c r="E62" s="32"/>
      <c r="F62" s="32" t="s">
        <v>52</v>
      </c>
      <c r="G62" s="32"/>
      <c r="H62" s="32" t="s">
        <v>81</v>
      </c>
      <c r="I62" s="27" t="str">
        <f t="shared" si="0"/>
        <v>Camora, Glenda</v>
      </c>
      <c r="J62" s="32" t="s">
        <v>638</v>
      </c>
      <c r="K62" s="32" t="s">
        <v>643</v>
      </c>
      <c r="L62" s="33" t="s">
        <v>644</v>
      </c>
      <c r="M62" s="32" t="s">
        <v>57</v>
      </c>
      <c r="N62" s="32" t="s">
        <v>645</v>
      </c>
      <c r="O62" s="32" t="s">
        <v>384</v>
      </c>
      <c r="P62" s="32"/>
      <c r="Q62" s="32" t="s">
        <v>646</v>
      </c>
      <c r="R62" s="32"/>
      <c r="S62" s="31">
        <v>25759</v>
      </c>
      <c r="T62" s="88">
        <f ca="1" t="shared" si="1"/>
        <v>56</v>
      </c>
      <c r="U62" s="27"/>
      <c r="V62" s="27"/>
      <c r="W62" s="27"/>
      <c r="X62" s="27"/>
      <c r="Y62" s="98"/>
      <c r="Z62" s="27"/>
      <c r="AA62" s="31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</row>
    <row r="63" ht="15.75" customHeight="1" spans="1:43">
      <c r="A63" s="29"/>
      <c r="B63" s="29"/>
      <c r="C63" s="29"/>
      <c r="D63" s="32" t="s">
        <v>51</v>
      </c>
      <c r="E63" s="32"/>
      <c r="F63" s="32" t="s">
        <v>52</v>
      </c>
      <c r="G63" s="32"/>
      <c r="H63" s="32" t="s">
        <v>81</v>
      </c>
      <c r="I63" s="27" t="str">
        <f t="shared" si="0"/>
        <v>Camora, Marlyn</v>
      </c>
      <c r="J63" s="32" t="s">
        <v>638</v>
      </c>
      <c r="K63" s="32" t="s">
        <v>647</v>
      </c>
      <c r="L63" s="33"/>
      <c r="M63" s="32" t="s">
        <v>57</v>
      </c>
      <c r="N63" s="32">
        <v>774</v>
      </c>
      <c r="O63" s="32" t="s">
        <v>648</v>
      </c>
      <c r="P63" s="32"/>
      <c r="Q63" s="32" t="s">
        <v>649</v>
      </c>
      <c r="R63" s="32"/>
      <c r="S63" s="31">
        <v>25250</v>
      </c>
      <c r="T63" s="88">
        <f ca="1" t="shared" si="1"/>
        <v>57</v>
      </c>
      <c r="U63" s="27" t="s">
        <v>301</v>
      </c>
      <c r="V63" s="27" t="s">
        <v>650</v>
      </c>
      <c r="W63" s="27" t="s">
        <v>651</v>
      </c>
      <c r="X63" s="27" t="s">
        <v>51</v>
      </c>
      <c r="Y63" s="98"/>
      <c r="Z63" s="27" t="s">
        <v>51</v>
      </c>
      <c r="AA63" s="31"/>
      <c r="AB63" s="27"/>
      <c r="AC63" s="27" t="s">
        <v>230</v>
      </c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</row>
    <row r="64" ht="15.75" customHeight="1" spans="1:43">
      <c r="A64" s="29"/>
      <c r="B64" s="29"/>
      <c r="C64" s="29"/>
      <c r="D64" s="32" t="s">
        <v>79</v>
      </c>
      <c r="E64" s="32"/>
      <c r="F64" s="32" t="s">
        <v>52</v>
      </c>
      <c r="G64" s="32"/>
      <c r="H64" s="32" t="s">
        <v>81</v>
      </c>
      <c r="I64" s="27" t="str">
        <f t="shared" si="0"/>
        <v>Cano, Rena</v>
      </c>
      <c r="J64" s="32" t="s">
        <v>652</v>
      </c>
      <c r="K64" s="32" t="s">
        <v>653</v>
      </c>
      <c r="L64" s="33"/>
      <c r="M64" s="32" t="s">
        <v>57</v>
      </c>
      <c r="N64" s="32" t="s">
        <v>654</v>
      </c>
      <c r="O64" s="32" t="s">
        <v>399</v>
      </c>
      <c r="P64" s="32"/>
      <c r="Q64" s="32" t="s">
        <v>655</v>
      </c>
      <c r="R64" s="32"/>
      <c r="S64" s="31">
        <v>35171</v>
      </c>
      <c r="T64" s="88">
        <f ca="1" t="shared" si="1"/>
        <v>30</v>
      </c>
      <c r="U64" s="27"/>
      <c r="V64" s="27"/>
      <c r="W64" s="27"/>
      <c r="X64" s="27"/>
      <c r="Y64" s="98"/>
      <c r="Z64" s="27"/>
      <c r="AA64" s="31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</row>
    <row r="65" ht="15.75" customHeight="1" spans="1:43">
      <c r="A65" s="29"/>
      <c r="B65" s="29"/>
      <c r="C65" s="29"/>
      <c r="D65" s="32" t="s">
        <v>79</v>
      </c>
      <c r="E65" s="32"/>
      <c r="F65" s="32" t="s">
        <v>91</v>
      </c>
      <c r="G65" s="32"/>
      <c r="H65" s="32" t="s">
        <v>81</v>
      </c>
      <c r="I65" s="27" t="str">
        <f t="shared" si="0"/>
        <v>Caragay, Cita</v>
      </c>
      <c r="J65" s="32" t="s">
        <v>656</v>
      </c>
      <c r="K65" s="32" t="s">
        <v>657</v>
      </c>
      <c r="L65" s="33"/>
      <c r="M65" s="32" t="s">
        <v>57</v>
      </c>
      <c r="N65" s="32"/>
      <c r="O65" s="32"/>
      <c r="P65" s="32"/>
      <c r="Q65" s="32"/>
      <c r="R65" s="32"/>
      <c r="S65" s="31"/>
      <c r="T65" s="88" t="str">
        <f ca="1" t="shared" si="1"/>
        <v/>
      </c>
      <c r="U65" s="27"/>
      <c r="V65" s="27"/>
      <c r="W65" s="27"/>
      <c r="X65" s="27"/>
      <c r="Y65" s="98"/>
      <c r="Z65" s="27"/>
      <c r="AA65" s="31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</row>
    <row r="66" ht="15.75" customHeight="1" spans="1:43">
      <c r="A66" s="29"/>
      <c r="B66" s="29"/>
      <c r="C66" s="29"/>
      <c r="D66" s="32" t="s">
        <v>79</v>
      </c>
      <c r="E66" s="32"/>
      <c r="F66" s="32" t="s">
        <v>196</v>
      </c>
      <c r="G66" s="32"/>
      <c r="H66" s="32" t="s">
        <v>81</v>
      </c>
      <c r="I66" s="27" t="str">
        <f t="shared" si="0"/>
        <v>Caragay, Erla</v>
      </c>
      <c r="J66" s="32" t="s">
        <v>656</v>
      </c>
      <c r="K66" s="32" t="s">
        <v>658</v>
      </c>
      <c r="L66" s="33"/>
      <c r="M66" s="32" t="s">
        <v>57</v>
      </c>
      <c r="N66" s="32" t="s">
        <v>659</v>
      </c>
      <c r="O66" s="32" t="s">
        <v>281</v>
      </c>
      <c r="P66" s="32"/>
      <c r="Q66" s="32" t="s">
        <v>660</v>
      </c>
      <c r="R66" s="32"/>
      <c r="S66" s="31">
        <v>29153</v>
      </c>
      <c r="T66" s="88">
        <f ca="1" t="shared" si="1"/>
        <v>47</v>
      </c>
      <c r="U66" s="27"/>
      <c r="V66" s="27"/>
      <c r="W66" s="27"/>
      <c r="X66" s="27"/>
      <c r="Y66" s="98"/>
      <c r="Z66" s="27"/>
      <c r="AA66" s="31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</row>
    <row r="67" ht="15.75" customHeight="1" spans="1:43">
      <c r="A67" s="29"/>
      <c r="B67" s="29"/>
      <c r="C67" s="29"/>
      <c r="D67" s="32" t="s">
        <v>79</v>
      </c>
      <c r="E67" s="32"/>
      <c r="F67" s="32" t="s">
        <v>274</v>
      </c>
      <c r="G67" s="32"/>
      <c r="H67" s="32" t="s">
        <v>53</v>
      </c>
      <c r="I67" s="27" t="str">
        <f t="shared" si="0"/>
        <v>Caragay, Kimberly</v>
      </c>
      <c r="J67" s="32" t="s">
        <v>656</v>
      </c>
      <c r="K67" s="32" t="s">
        <v>661</v>
      </c>
      <c r="L67" s="33" t="s">
        <v>662</v>
      </c>
      <c r="M67" s="32" t="s">
        <v>57</v>
      </c>
      <c r="N67" s="32"/>
      <c r="O67" s="32"/>
      <c r="P67" s="32"/>
      <c r="Q67" s="32"/>
      <c r="R67" s="32"/>
      <c r="S67" s="31"/>
      <c r="T67" s="88" t="str">
        <f ca="1" t="shared" si="1"/>
        <v/>
      </c>
      <c r="U67" s="27"/>
      <c r="V67" s="27"/>
      <c r="W67" s="27"/>
      <c r="X67" s="27"/>
      <c r="Y67" s="98"/>
      <c r="Z67" s="27"/>
      <c r="AA67" s="31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</row>
    <row r="68" ht="15.75" customHeight="1" spans="1:43">
      <c r="A68" s="29"/>
      <c r="B68" s="29"/>
      <c r="C68" s="29"/>
      <c r="D68" s="32" t="s">
        <v>51</v>
      </c>
      <c r="E68" s="32"/>
      <c r="F68" s="32" t="s">
        <v>236</v>
      </c>
      <c r="G68" s="32"/>
      <c r="H68" s="32" t="s">
        <v>81</v>
      </c>
      <c r="I68" s="27" t="str">
        <f t="shared" si="0"/>
        <v>Cariño, Emelita</v>
      </c>
      <c r="J68" s="32" t="s">
        <v>663</v>
      </c>
      <c r="K68" s="32" t="s">
        <v>664</v>
      </c>
      <c r="L68" s="33"/>
      <c r="M68" s="32" t="s">
        <v>57</v>
      </c>
      <c r="N68" s="32">
        <v>53</v>
      </c>
      <c r="O68" s="32" t="s">
        <v>665</v>
      </c>
      <c r="P68" s="32"/>
      <c r="Q68" s="32" t="s">
        <v>666</v>
      </c>
      <c r="R68" s="32"/>
      <c r="S68" s="31">
        <v>22543</v>
      </c>
      <c r="T68" s="88">
        <f ca="1" t="shared" si="1"/>
        <v>65</v>
      </c>
      <c r="U68" s="27" t="s">
        <v>123</v>
      </c>
      <c r="V68" s="27"/>
      <c r="W68" s="27"/>
      <c r="X68" s="27" t="s">
        <v>51</v>
      </c>
      <c r="Y68" s="98" t="s">
        <v>667</v>
      </c>
      <c r="Z68" s="27" t="s">
        <v>51</v>
      </c>
      <c r="AA68" s="31" t="s">
        <v>668</v>
      </c>
      <c r="AB68" s="27" t="s">
        <v>121</v>
      </c>
      <c r="AC68" s="27" t="s">
        <v>230</v>
      </c>
      <c r="AD68" s="27"/>
      <c r="AE68" s="27"/>
      <c r="AF68" s="27"/>
      <c r="AG68" s="27" t="s">
        <v>669</v>
      </c>
      <c r="AH68" s="27"/>
      <c r="AI68" s="27"/>
      <c r="AJ68" s="27"/>
      <c r="AK68" s="27"/>
      <c r="AL68" s="27"/>
      <c r="AM68" s="27"/>
      <c r="AN68" s="27"/>
      <c r="AO68" s="27"/>
      <c r="AP68" s="27"/>
      <c r="AQ68" s="27"/>
    </row>
    <row r="69" ht="15.75" customHeight="1" spans="1:43">
      <c r="A69" s="29"/>
      <c r="B69" s="29"/>
      <c r="C69" s="29"/>
      <c r="D69" s="32" t="s">
        <v>51</v>
      </c>
      <c r="E69" s="32"/>
      <c r="F69" s="32" t="s">
        <v>85</v>
      </c>
      <c r="G69" s="32"/>
      <c r="H69" s="32" t="s">
        <v>126</v>
      </c>
      <c r="I69" s="27" t="str">
        <f t="shared" si="0"/>
        <v>Castro, Ellen</v>
      </c>
      <c r="J69" s="32" t="s">
        <v>670</v>
      </c>
      <c r="K69" s="32" t="s">
        <v>671</v>
      </c>
      <c r="L69" s="33" t="s">
        <v>222</v>
      </c>
      <c r="M69" s="32" t="s">
        <v>57</v>
      </c>
      <c r="N69" s="32" t="s">
        <v>672</v>
      </c>
      <c r="O69" s="32" t="s">
        <v>673</v>
      </c>
      <c r="P69" s="32"/>
      <c r="Q69" s="32" t="s">
        <v>674</v>
      </c>
      <c r="R69" s="32"/>
      <c r="S69" s="31">
        <v>26067</v>
      </c>
      <c r="T69" s="88">
        <f ca="1" t="shared" si="1"/>
        <v>55</v>
      </c>
      <c r="U69" s="27" t="s">
        <v>412</v>
      </c>
      <c r="V69" s="27"/>
      <c r="W69" s="27"/>
      <c r="X69" s="27" t="s">
        <v>51</v>
      </c>
      <c r="Y69" s="98"/>
      <c r="Z69" s="27" t="s">
        <v>51</v>
      </c>
      <c r="AA69" s="31" t="s">
        <v>675</v>
      </c>
      <c r="AB69" s="27" t="s">
        <v>149</v>
      </c>
      <c r="AC69" s="27" t="s">
        <v>68</v>
      </c>
      <c r="AD69" s="27" t="s">
        <v>189</v>
      </c>
      <c r="AE69" s="27" t="s">
        <v>676</v>
      </c>
      <c r="AF69" s="27" t="s">
        <v>677</v>
      </c>
      <c r="AG69" s="27"/>
      <c r="AH69" s="27"/>
      <c r="AI69" s="27"/>
      <c r="AJ69" s="27" t="s">
        <v>678</v>
      </c>
      <c r="AK69" s="27"/>
      <c r="AL69" s="27"/>
      <c r="AM69" s="27"/>
      <c r="AN69" s="27" t="s">
        <v>679</v>
      </c>
      <c r="AO69" s="27" t="s">
        <v>680</v>
      </c>
      <c r="AP69" s="27" t="s">
        <v>681</v>
      </c>
      <c r="AQ69" s="27" t="s">
        <v>682</v>
      </c>
    </row>
    <row r="70" ht="15.75" customHeight="1" spans="1:43">
      <c r="A70" s="29"/>
      <c r="B70" s="29"/>
      <c r="C70" s="29"/>
      <c r="D70" s="32" t="s">
        <v>79</v>
      </c>
      <c r="E70" s="32"/>
      <c r="F70" s="32" t="s">
        <v>80</v>
      </c>
      <c r="G70" s="32"/>
      <c r="H70" s="32" t="s">
        <v>81</v>
      </c>
      <c r="I70" s="27" t="str">
        <f t="shared" si="0"/>
        <v>Castro, Rizalina</v>
      </c>
      <c r="J70" s="32" t="s">
        <v>670</v>
      </c>
      <c r="K70" s="32" t="s">
        <v>683</v>
      </c>
      <c r="L70" s="33"/>
      <c r="M70" s="32" t="s">
        <v>57</v>
      </c>
      <c r="N70" s="32" t="s">
        <v>162</v>
      </c>
      <c r="O70" s="32" t="s">
        <v>163</v>
      </c>
      <c r="P70" s="32"/>
      <c r="Q70" s="32" t="s">
        <v>684</v>
      </c>
      <c r="R70" s="32"/>
      <c r="S70" s="31">
        <v>23908</v>
      </c>
      <c r="T70" s="88">
        <f ca="1" t="shared" si="1"/>
        <v>61</v>
      </c>
      <c r="U70" s="27"/>
      <c r="V70" s="27"/>
      <c r="W70" s="27"/>
      <c r="X70" s="27"/>
      <c r="Y70" s="98"/>
      <c r="Z70" s="27"/>
      <c r="AA70" s="31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</row>
    <row r="71" ht="15.75" customHeight="1" spans="1:43">
      <c r="A71" s="29"/>
      <c r="B71" s="29"/>
      <c r="C71" s="29"/>
      <c r="D71" s="32" t="s">
        <v>79</v>
      </c>
      <c r="E71" s="32"/>
      <c r="F71" s="32" t="s">
        <v>85</v>
      </c>
      <c r="G71" s="32"/>
      <c r="H71" s="32" t="s">
        <v>81</v>
      </c>
      <c r="I71" s="27" t="str">
        <f t="shared" si="0"/>
        <v>Catacutan, Jurina</v>
      </c>
      <c r="J71" s="32" t="s">
        <v>685</v>
      </c>
      <c r="K71" s="32" t="s">
        <v>686</v>
      </c>
      <c r="L71" s="33"/>
      <c r="M71" s="32" t="s">
        <v>57</v>
      </c>
      <c r="N71" s="215">
        <v>49710.2846655093</v>
      </c>
      <c r="O71" s="32" t="s">
        <v>687</v>
      </c>
      <c r="P71" s="32"/>
      <c r="Q71" s="32" t="s">
        <v>688</v>
      </c>
      <c r="R71" s="32"/>
      <c r="S71" s="31">
        <v>25569</v>
      </c>
      <c r="T71" s="88">
        <f ca="1" t="shared" si="1"/>
        <v>56</v>
      </c>
      <c r="U71" s="27"/>
      <c r="V71" s="27"/>
      <c r="W71" s="27"/>
      <c r="X71" s="27"/>
      <c r="Y71" s="98"/>
      <c r="Z71" s="27"/>
      <c r="AA71" s="31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</row>
    <row r="72" ht="15.75" customHeight="1" spans="1:43">
      <c r="A72" s="29"/>
      <c r="B72" s="29"/>
      <c r="C72" s="29"/>
      <c r="D72" s="32" t="s">
        <v>51</v>
      </c>
      <c r="E72" s="32"/>
      <c r="F72" s="32" t="s">
        <v>566</v>
      </c>
      <c r="G72" s="32"/>
      <c r="H72" s="32" t="s">
        <v>92</v>
      </c>
      <c r="I72" s="190" t="str">
        <f t="shared" si="0"/>
        <v>Cayandag, Marilou</v>
      </c>
      <c r="J72" s="32" t="s">
        <v>689</v>
      </c>
      <c r="K72" s="32" t="s">
        <v>690</v>
      </c>
      <c r="L72" s="33"/>
      <c r="M72" s="32" t="s">
        <v>57</v>
      </c>
      <c r="N72" s="32" t="s">
        <v>691</v>
      </c>
      <c r="O72" s="32" t="s">
        <v>692</v>
      </c>
      <c r="P72" s="32"/>
      <c r="Q72" s="32" t="s">
        <v>693</v>
      </c>
      <c r="R72" s="32" t="s">
        <v>694</v>
      </c>
      <c r="S72" s="31">
        <v>29768</v>
      </c>
      <c r="T72" s="88">
        <f ca="1" t="shared" si="1"/>
        <v>45</v>
      </c>
      <c r="U72" s="27" t="s">
        <v>695</v>
      </c>
      <c r="V72" s="27" t="s">
        <v>696</v>
      </c>
      <c r="W72" s="27" t="s">
        <v>697</v>
      </c>
      <c r="X72" s="27" t="s">
        <v>51</v>
      </c>
      <c r="Y72" s="98" t="s">
        <v>169</v>
      </c>
      <c r="Z72" s="27" t="s">
        <v>51</v>
      </c>
      <c r="AA72" s="31" t="s">
        <v>169</v>
      </c>
      <c r="AB72" s="27" t="s">
        <v>149</v>
      </c>
      <c r="AC72" s="27" t="s">
        <v>68</v>
      </c>
      <c r="AD72" s="27" t="s">
        <v>698</v>
      </c>
      <c r="AE72" s="27"/>
      <c r="AF72" s="27" t="s">
        <v>633</v>
      </c>
      <c r="AG72" s="27" t="s">
        <v>268</v>
      </c>
      <c r="AH72" s="27"/>
      <c r="AI72" s="27"/>
      <c r="AJ72" s="27" t="s">
        <v>699</v>
      </c>
      <c r="AK72" s="27" t="s">
        <v>700</v>
      </c>
      <c r="AL72" s="27" t="s">
        <v>51</v>
      </c>
      <c r="AM72" s="27" t="s">
        <v>51</v>
      </c>
      <c r="AN72" s="27" t="s">
        <v>699</v>
      </c>
      <c r="AO72" s="27" t="s">
        <v>701</v>
      </c>
      <c r="AP72" s="27" t="s">
        <v>77</v>
      </c>
      <c r="AQ72" s="27"/>
    </row>
    <row r="73" ht="15.75" customHeight="1" spans="1:43">
      <c r="A73" s="29"/>
      <c r="B73" s="29"/>
      <c r="C73" s="29"/>
      <c r="D73" s="32" t="s">
        <v>51</v>
      </c>
      <c r="E73" s="32"/>
      <c r="F73" s="32"/>
      <c r="G73" s="32"/>
      <c r="H73" s="32"/>
      <c r="I73" s="27" t="str">
        <f t="shared" si="0"/>
        <v>Ciriaco, Ginalyn</v>
      </c>
      <c r="J73" s="32" t="s">
        <v>702</v>
      </c>
      <c r="K73" s="32" t="s">
        <v>703</v>
      </c>
      <c r="L73" s="33" t="s">
        <v>538</v>
      </c>
      <c r="M73" s="32" t="s">
        <v>57</v>
      </c>
      <c r="N73" s="32" t="s">
        <v>704</v>
      </c>
      <c r="O73" s="32" t="s">
        <v>281</v>
      </c>
      <c r="P73" s="32" t="s">
        <v>705</v>
      </c>
      <c r="Q73" s="32" t="s">
        <v>706</v>
      </c>
      <c r="R73" s="32"/>
      <c r="S73" s="31">
        <v>28955</v>
      </c>
      <c r="T73" s="88">
        <f ca="1" t="shared" si="1"/>
        <v>47</v>
      </c>
      <c r="U73" s="27" t="s">
        <v>705</v>
      </c>
      <c r="V73" s="27" t="s">
        <v>707</v>
      </c>
      <c r="W73" s="27" t="s">
        <v>708</v>
      </c>
      <c r="X73" s="27" t="s">
        <v>51</v>
      </c>
      <c r="Y73" s="98"/>
      <c r="Z73" s="27" t="s">
        <v>51</v>
      </c>
      <c r="AA73" s="31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</row>
    <row r="74" ht="15.75" customHeight="1" spans="1:43">
      <c r="A74" s="29"/>
      <c r="B74" s="29"/>
      <c r="C74" s="29"/>
      <c r="D74" s="32" t="s">
        <v>51</v>
      </c>
      <c r="E74" s="32"/>
      <c r="F74" s="32" t="s">
        <v>566</v>
      </c>
      <c r="G74" s="32"/>
      <c r="H74" s="32" t="s">
        <v>81</v>
      </c>
      <c r="I74" s="27" t="str">
        <f t="shared" si="0"/>
        <v>Coraza, Jean</v>
      </c>
      <c r="J74" s="32" t="s">
        <v>709</v>
      </c>
      <c r="K74" s="32" t="s">
        <v>710</v>
      </c>
      <c r="L74" s="33" t="s">
        <v>538</v>
      </c>
      <c r="M74" s="32" t="s">
        <v>57</v>
      </c>
      <c r="N74" s="32" t="s">
        <v>711</v>
      </c>
      <c r="O74" s="32" t="s">
        <v>712</v>
      </c>
      <c r="P74" s="32"/>
      <c r="Q74" s="32" t="s">
        <v>713</v>
      </c>
      <c r="R74" s="32"/>
      <c r="S74" s="31">
        <v>22547</v>
      </c>
      <c r="T74" s="88">
        <f ca="1" t="shared" si="1"/>
        <v>65</v>
      </c>
      <c r="U74" s="27" t="s">
        <v>145</v>
      </c>
      <c r="V74" s="27" t="s">
        <v>714</v>
      </c>
      <c r="W74" s="27" t="s">
        <v>715</v>
      </c>
      <c r="X74" s="27" t="s">
        <v>51</v>
      </c>
      <c r="Y74" s="98" t="s">
        <v>716</v>
      </c>
      <c r="Z74" s="27" t="s">
        <v>51</v>
      </c>
      <c r="AA74" s="31" t="s">
        <v>717</v>
      </c>
      <c r="AB74" s="27" t="s">
        <v>149</v>
      </c>
      <c r="AC74" s="27" t="s">
        <v>230</v>
      </c>
      <c r="AD74" s="27"/>
      <c r="AE74" s="27"/>
      <c r="AF74" s="27" t="s">
        <v>215</v>
      </c>
      <c r="AG74" s="27"/>
      <c r="AH74" s="27" t="s">
        <v>305</v>
      </c>
      <c r="AI74" s="27" t="s">
        <v>718</v>
      </c>
      <c r="AJ74" s="27" t="s">
        <v>719</v>
      </c>
      <c r="AK74" s="27" t="s">
        <v>720</v>
      </c>
      <c r="AL74" s="27" t="s">
        <v>51</v>
      </c>
      <c r="AM74" s="27" t="s">
        <v>157</v>
      </c>
      <c r="AN74" s="27" t="s">
        <v>721</v>
      </c>
      <c r="AO74" s="27" t="s">
        <v>722</v>
      </c>
      <c r="AP74" s="27" t="s">
        <v>219</v>
      </c>
      <c r="AQ74" s="27" t="s">
        <v>723</v>
      </c>
    </row>
    <row r="75" ht="15.75" customHeight="1" spans="1:43">
      <c r="A75" s="29"/>
      <c r="B75" s="29"/>
      <c r="C75" s="29"/>
      <c r="D75" s="32" t="s">
        <v>51</v>
      </c>
      <c r="E75" s="32"/>
      <c r="F75" s="32" t="s">
        <v>236</v>
      </c>
      <c r="G75" s="32"/>
      <c r="H75" s="32" t="s">
        <v>81</v>
      </c>
      <c r="I75" s="27" t="str">
        <f t="shared" si="0"/>
        <v>Coyasan, Mary Joe</v>
      </c>
      <c r="J75" s="32" t="s">
        <v>724</v>
      </c>
      <c r="K75" s="32" t="s">
        <v>725</v>
      </c>
      <c r="L75" s="33" t="s">
        <v>726</v>
      </c>
      <c r="M75" s="32" t="s">
        <v>57</v>
      </c>
      <c r="N75" s="32" t="s">
        <v>727</v>
      </c>
      <c r="O75" s="32" t="s">
        <v>224</v>
      </c>
      <c r="P75" s="32" t="s">
        <v>728</v>
      </c>
      <c r="Q75" s="32" t="s">
        <v>729</v>
      </c>
      <c r="R75" s="32"/>
      <c r="S75" s="31">
        <v>27516</v>
      </c>
      <c r="T75" s="88">
        <f ca="1" t="shared" si="1"/>
        <v>51</v>
      </c>
      <c r="U75" s="27" t="s">
        <v>728</v>
      </c>
      <c r="V75" s="27" t="s">
        <v>730</v>
      </c>
      <c r="W75" s="27" t="s">
        <v>731</v>
      </c>
      <c r="X75" s="27" t="s">
        <v>51</v>
      </c>
      <c r="Y75" s="98"/>
      <c r="Z75" s="27" t="s">
        <v>51</v>
      </c>
      <c r="AA75" s="31"/>
      <c r="AB75" s="27" t="s">
        <v>121</v>
      </c>
      <c r="AC75" s="27" t="s">
        <v>68</v>
      </c>
      <c r="AD75" s="27"/>
      <c r="AE75" s="27"/>
      <c r="AF75" s="27"/>
      <c r="AG75" s="27" t="s">
        <v>190</v>
      </c>
      <c r="AH75" s="27"/>
      <c r="AI75" s="27" t="s">
        <v>732</v>
      </c>
      <c r="AJ75" s="27" t="s">
        <v>733</v>
      </c>
      <c r="AK75" s="27" t="s">
        <v>734</v>
      </c>
      <c r="AL75" s="27" t="s">
        <v>51</v>
      </c>
      <c r="AM75" s="27" t="s">
        <v>51</v>
      </c>
      <c r="AN75" s="27" t="s">
        <v>733</v>
      </c>
      <c r="AO75" s="27" t="s">
        <v>735</v>
      </c>
      <c r="AP75" s="27" t="s">
        <v>77</v>
      </c>
      <c r="AQ75" s="27" t="s">
        <v>736</v>
      </c>
    </row>
    <row r="76" ht="15.75" customHeight="1" spans="1:43">
      <c r="A76" s="29"/>
      <c r="B76" s="29"/>
      <c r="C76" s="29"/>
      <c r="D76" s="32" t="s">
        <v>51</v>
      </c>
      <c r="E76" s="32"/>
      <c r="F76" s="32" t="s">
        <v>196</v>
      </c>
      <c r="G76" s="32"/>
      <c r="H76" s="32" t="s">
        <v>53</v>
      </c>
      <c r="I76" s="27" t="str">
        <f t="shared" si="0"/>
        <v>Coyasan, Sonia</v>
      </c>
      <c r="J76" s="32" t="s">
        <v>724</v>
      </c>
      <c r="K76" s="32" t="s">
        <v>737</v>
      </c>
      <c r="L76" s="33" t="s">
        <v>738</v>
      </c>
      <c r="M76" s="32" t="s">
        <v>57</v>
      </c>
      <c r="N76" s="32" t="s">
        <v>739</v>
      </c>
      <c r="O76" s="32" t="s">
        <v>298</v>
      </c>
      <c r="P76" s="32" t="s">
        <v>740</v>
      </c>
      <c r="Q76" s="32" t="s">
        <v>741</v>
      </c>
      <c r="R76" s="32" t="s">
        <v>742</v>
      </c>
      <c r="S76" s="31">
        <v>19770</v>
      </c>
      <c r="T76" s="88">
        <f ca="1" t="shared" si="1"/>
        <v>72</v>
      </c>
      <c r="U76" s="27" t="s">
        <v>743</v>
      </c>
      <c r="V76" s="27" t="s">
        <v>744</v>
      </c>
      <c r="W76" s="27" t="s">
        <v>745</v>
      </c>
      <c r="X76" s="27" t="s">
        <v>51</v>
      </c>
      <c r="Y76" s="98" t="s">
        <v>746</v>
      </c>
      <c r="Z76" s="27" t="s">
        <v>51</v>
      </c>
      <c r="AA76" s="31" t="s">
        <v>747</v>
      </c>
      <c r="AB76" s="27" t="s">
        <v>121</v>
      </c>
      <c r="AC76" s="27" t="s">
        <v>230</v>
      </c>
      <c r="AD76" s="27" t="s">
        <v>151</v>
      </c>
      <c r="AE76" s="27"/>
      <c r="AF76" s="27" t="s">
        <v>748</v>
      </c>
      <c r="AG76" s="27" t="s">
        <v>748</v>
      </c>
      <c r="AH76" s="27"/>
      <c r="AI76" s="27" t="s">
        <v>154</v>
      </c>
      <c r="AJ76" s="27" t="s">
        <v>749</v>
      </c>
      <c r="AK76" s="27" t="s">
        <v>750</v>
      </c>
      <c r="AL76" s="27" t="s">
        <v>51</v>
      </c>
      <c r="AM76" s="27" t="s">
        <v>51</v>
      </c>
      <c r="AN76" s="27" t="s">
        <v>749</v>
      </c>
      <c r="AO76" s="27" t="s">
        <v>751</v>
      </c>
      <c r="AP76" s="27" t="s">
        <v>77</v>
      </c>
      <c r="AQ76" s="27" t="s">
        <v>752</v>
      </c>
    </row>
    <row r="77" ht="15.75" customHeight="1" spans="1:43">
      <c r="A77" s="29"/>
      <c r="B77" s="29"/>
      <c r="C77" s="29"/>
      <c r="D77" s="32" t="s">
        <v>51</v>
      </c>
      <c r="E77" s="32"/>
      <c r="F77" s="32" t="s">
        <v>80</v>
      </c>
      <c r="G77" s="32"/>
      <c r="H77" s="32" t="s">
        <v>81</v>
      </c>
      <c r="I77" s="27" t="str">
        <f t="shared" si="0"/>
        <v>Cruz, Juanita</v>
      </c>
      <c r="J77" s="32" t="s">
        <v>753</v>
      </c>
      <c r="K77" s="32" t="s">
        <v>754</v>
      </c>
      <c r="L77" s="33" t="s">
        <v>755</v>
      </c>
      <c r="M77" s="32" t="s">
        <v>57</v>
      </c>
      <c r="N77" s="32" t="s">
        <v>756</v>
      </c>
      <c r="O77" s="32" t="s">
        <v>757</v>
      </c>
      <c r="P77" s="32" t="s">
        <v>758</v>
      </c>
      <c r="Q77" s="32" t="s">
        <v>759</v>
      </c>
      <c r="R77" s="32"/>
      <c r="S77" s="31">
        <v>19720</v>
      </c>
      <c r="T77" s="88">
        <f ca="1" t="shared" si="1"/>
        <v>72</v>
      </c>
      <c r="U77" s="27" t="s">
        <v>760</v>
      </c>
      <c r="V77" s="27" t="s">
        <v>761</v>
      </c>
      <c r="W77" s="27" t="s">
        <v>762</v>
      </c>
      <c r="X77" s="27" t="s">
        <v>51</v>
      </c>
      <c r="Y77" s="98" t="s">
        <v>763</v>
      </c>
      <c r="Z77" s="27" t="s">
        <v>51</v>
      </c>
      <c r="AA77" s="31" t="s">
        <v>764</v>
      </c>
      <c r="AB77" s="27" t="s">
        <v>121</v>
      </c>
      <c r="AC77" s="27" t="s">
        <v>230</v>
      </c>
      <c r="AD77" s="27"/>
      <c r="AE77" s="27" t="s">
        <v>319</v>
      </c>
      <c r="AF77" s="27" t="s">
        <v>765</v>
      </c>
      <c r="AG77" s="27" t="s">
        <v>487</v>
      </c>
      <c r="AH77" s="27" t="s">
        <v>766</v>
      </c>
      <c r="AI77" s="27" t="s">
        <v>767</v>
      </c>
      <c r="AJ77" s="27" t="s">
        <v>768</v>
      </c>
      <c r="AK77" s="27"/>
      <c r="AL77" s="27"/>
      <c r="AM77" s="27"/>
      <c r="AN77" s="27" t="s">
        <v>769</v>
      </c>
      <c r="AO77" s="27" t="s">
        <v>770</v>
      </c>
      <c r="AP77" s="27" t="s">
        <v>437</v>
      </c>
      <c r="AQ77" s="27" t="s">
        <v>771</v>
      </c>
    </row>
    <row r="78" ht="15.75" customHeight="1" spans="1:43">
      <c r="A78" s="29"/>
      <c r="B78" s="29"/>
      <c r="C78" s="29"/>
      <c r="D78" s="32" t="s">
        <v>51</v>
      </c>
      <c r="E78" s="32"/>
      <c r="F78" s="32" t="s">
        <v>396</v>
      </c>
      <c r="G78" s="32"/>
      <c r="H78" s="32" t="s">
        <v>81</v>
      </c>
      <c r="I78" s="27" t="str">
        <f t="shared" si="0"/>
        <v>Cruz, Kristine</v>
      </c>
      <c r="J78" s="32" t="s">
        <v>753</v>
      </c>
      <c r="K78" s="32" t="s">
        <v>772</v>
      </c>
      <c r="L78" s="33" t="s">
        <v>113</v>
      </c>
      <c r="M78" s="32" t="s">
        <v>57</v>
      </c>
      <c r="N78" s="32" t="s">
        <v>773</v>
      </c>
      <c r="O78" s="32" t="s">
        <v>495</v>
      </c>
      <c r="P78" s="32"/>
      <c r="Q78" s="32" t="s">
        <v>774</v>
      </c>
      <c r="R78" s="32" t="s">
        <v>775</v>
      </c>
      <c r="S78" s="31">
        <v>30266</v>
      </c>
      <c r="T78" s="88">
        <f ca="1" t="shared" si="1"/>
        <v>43</v>
      </c>
      <c r="U78" s="27" t="s">
        <v>301</v>
      </c>
      <c r="V78" s="27" t="s">
        <v>776</v>
      </c>
      <c r="W78" s="27" t="s">
        <v>777</v>
      </c>
      <c r="X78" s="27" t="s">
        <v>51</v>
      </c>
      <c r="Y78" s="98" t="s">
        <v>778</v>
      </c>
      <c r="Z78" s="27" t="s">
        <v>51</v>
      </c>
      <c r="AA78" s="31"/>
      <c r="AB78" s="27"/>
      <c r="AC78" s="27"/>
      <c r="AD78" s="27" t="s">
        <v>779</v>
      </c>
      <c r="AE78" s="27" t="s">
        <v>780</v>
      </c>
      <c r="AF78" s="27" t="s">
        <v>781</v>
      </c>
      <c r="AG78" s="27"/>
      <c r="AH78" s="27"/>
      <c r="AI78" s="27"/>
      <c r="AJ78" s="27" t="s">
        <v>782</v>
      </c>
      <c r="AK78" s="27" t="s">
        <v>783</v>
      </c>
      <c r="AL78" s="27" t="s">
        <v>51</v>
      </c>
      <c r="AM78" s="27" t="s">
        <v>51</v>
      </c>
      <c r="AN78" s="27" t="s">
        <v>782</v>
      </c>
      <c r="AO78" s="27" t="s">
        <v>784</v>
      </c>
      <c r="AP78" s="27" t="s">
        <v>77</v>
      </c>
      <c r="AQ78" s="27"/>
    </row>
    <row r="79" ht="15.75" customHeight="1" spans="1:43">
      <c r="A79" s="29"/>
      <c r="B79" s="29"/>
      <c r="C79" s="29"/>
      <c r="D79" s="32" t="s">
        <v>51</v>
      </c>
      <c r="E79" s="32"/>
      <c r="F79" s="32" t="s">
        <v>125</v>
      </c>
      <c r="G79" s="32"/>
      <c r="H79" s="32" t="s">
        <v>81</v>
      </c>
      <c r="I79" s="27" t="str">
        <f t="shared" si="0"/>
        <v>Cutay, Freda</v>
      </c>
      <c r="J79" s="32" t="s">
        <v>785</v>
      </c>
      <c r="K79" s="32" t="s">
        <v>786</v>
      </c>
      <c r="L79" s="33" t="s">
        <v>787</v>
      </c>
      <c r="M79" s="32" t="s">
        <v>57</v>
      </c>
      <c r="N79" s="32" t="s">
        <v>788</v>
      </c>
      <c r="O79" s="32" t="s">
        <v>163</v>
      </c>
      <c r="P79" s="32" t="s">
        <v>789</v>
      </c>
      <c r="Q79" s="32" t="s">
        <v>790</v>
      </c>
      <c r="R79" s="32"/>
      <c r="S79" s="31">
        <v>24178</v>
      </c>
      <c r="T79" s="88">
        <f ca="1" t="shared" si="1"/>
        <v>60</v>
      </c>
      <c r="U79" s="27" t="s">
        <v>791</v>
      </c>
      <c r="V79" s="27" t="s">
        <v>792</v>
      </c>
      <c r="W79" s="27" t="s">
        <v>793</v>
      </c>
      <c r="X79" s="27" t="s">
        <v>51</v>
      </c>
      <c r="Y79" s="98" t="s">
        <v>794</v>
      </c>
      <c r="Z79" s="27" t="s">
        <v>51</v>
      </c>
      <c r="AA79" s="233" t="s">
        <v>795</v>
      </c>
      <c r="AB79" s="27" t="s">
        <v>121</v>
      </c>
      <c r="AC79" s="27" t="s">
        <v>68</v>
      </c>
      <c r="AD79" s="27" t="s">
        <v>376</v>
      </c>
      <c r="AE79" s="27" t="s">
        <v>796</v>
      </c>
      <c r="AF79" s="27" t="s">
        <v>797</v>
      </c>
      <c r="AG79" s="27"/>
      <c r="AH79" s="27" t="s">
        <v>561</v>
      </c>
      <c r="AI79" s="27"/>
      <c r="AJ79" s="27"/>
      <c r="AK79" s="27"/>
      <c r="AL79" s="27"/>
      <c r="AM79" s="27"/>
      <c r="AN79" s="27" t="s">
        <v>798</v>
      </c>
      <c r="AO79" s="27" t="s">
        <v>799</v>
      </c>
      <c r="AP79" s="27" t="s">
        <v>437</v>
      </c>
      <c r="AQ79" s="27" t="s">
        <v>800</v>
      </c>
    </row>
    <row r="80" ht="15.75" customHeight="1" spans="1:43">
      <c r="A80" s="29"/>
      <c r="B80" s="29"/>
      <c r="C80" s="29"/>
      <c r="D80" s="32" t="s">
        <v>79</v>
      </c>
      <c r="E80" s="32"/>
      <c r="F80" s="32" t="s">
        <v>274</v>
      </c>
      <c r="G80" s="32"/>
      <c r="H80" s="32" t="s">
        <v>92</v>
      </c>
      <c r="I80" s="199" t="str">
        <f t="shared" si="0"/>
        <v>Cutay, Johanna Faith</v>
      </c>
      <c r="J80" s="32" t="s">
        <v>785</v>
      </c>
      <c r="K80" s="32" t="s">
        <v>801</v>
      </c>
      <c r="L80" s="33" t="s">
        <v>802</v>
      </c>
      <c r="M80" s="32" t="s">
        <v>57</v>
      </c>
      <c r="N80" s="32"/>
      <c r="O80" s="32"/>
      <c r="P80" s="32"/>
      <c r="Q80" s="32"/>
      <c r="R80" s="32"/>
      <c r="S80" s="31"/>
      <c r="T80" s="88" t="str">
        <f ca="1" t="shared" si="1"/>
        <v/>
      </c>
      <c r="U80" s="27"/>
      <c r="V80" s="27"/>
      <c r="W80" s="27"/>
      <c r="X80" s="27"/>
      <c r="Y80" s="98"/>
      <c r="Z80" s="27"/>
      <c r="AA80" s="31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</row>
    <row r="81" ht="15.75" customHeight="1" spans="1:43">
      <c r="A81" s="29"/>
      <c r="B81" s="29"/>
      <c r="C81" s="29"/>
      <c r="D81" s="32" t="s">
        <v>51</v>
      </c>
      <c r="E81" s="32"/>
      <c r="F81" s="32" t="s">
        <v>85</v>
      </c>
      <c r="G81" s="32"/>
      <c r="H81" s="32" t="s">
        <v>92</v>
      </c>
      <c r="I81" s="190" t="str">
        <f t="shared" si="0"/>
        <v>Cutay, Regina</v>
      </c>
      <c r="J81" s="32" t="s">
        <v>785</v>
      </c>
      <c r="K81" s="32" t="s">
        <v>803</v>
      </c>
      <c r="L81" s="33"/>
      <c r="M81" s="32" t="s">
        <v>57</v>
      </c>
      <c r="N81" s="32" t="s">
        <v>804</v>
      </c>
      <c r="O81" s="32" t="s">
        <v>163</v>
      </c>
      <c r="P81" s="32"/>
      <c r="Q81" s="32" t="s">
        <v>805</v>
      </c>
      <c r="R81" s="32"/>
      <c r="S81" s="31">
        <v>25820</v>
      </c>
      <c r="T81" s="88">
        <f ca="1" t="shared" si="1"/>
        <v>56</v>
      </c>
      <c r="U81" s="27" t="s">
        <v>806</v>
      </c>
      <c r="V81" s="27" t="s">
        <v>807</v>
      </c>
      <c r="W81" s="27" t="s">
        <v>808</v>
      </c>
      <c r="X81" s="27" t="s">
        <v>51</v>
      </c>
      <c r="Y81" s="98" t="s">
        <v>809</v>
      </c>
      <c r="Z81" s="27" t="s">
        <v>51</v>
      </c>
      <c r="AA81" s="31" t="s">
        <v>810</v>
      </c>
      <c r="AB81" s="27" t="s">
        <v>121</v>
      </c>
      <c r="AC81" s="27" t="s">
        <v>230</v>
      </c>
      <c r="AD81" s="27" t="s">
        <v>376</v>
      </c>
      <c r="AE81" s="27"/>
      <c r="AF81" s="27"/>
      <c r="AG81" s="27"/>
      <c r="AH81" s="27" t="s">
        <v>811</v>
      </c>
      <c r="AI81" s="27" t="s">
        <v>812</v>
      </c>
      <c r="AJ81" s="27" t="s">
        <v>813</v>
      </c>
      <c r="AK81" s="27" t="s">
        <v>109</v>
      </c>
      <c r="AL81" s="27" t="s">
        <v>51</v>
      </c>
      <c r="AM81" s="27" t="s">
        <v>51</v>
      </c>
      <c r="AN81" s="27" t="s">
        <v>813</v>
      </c>
      <c r="AO81" s="27" t="s">
        <v>814</v>
      </c>
      <c r="AP81" s="27" t="s">
        <v>77</v>
      </c>
      <c r="AQ81" s="27" t="s">
        <v>815</v>
      </c>
    </row>
    <row r="82" ht="15.75" customHeight="1" spans="1:43">
      <c r="A82" s="29"/>
      <c r="B82" s="29"/>
      <c r="C82" s="29"/>
      <c r="D82" s="32" t="s">
        <v>51</v>
      </c>
      <c r="E82" s="32"/>
      <c r="F82" s="32" t="s">
        <v>85</v>
      </c>
      <c r="G82" s="32"/>
      <c r="H82" s="32" t="s">
        <v>81</v>
      </c>
      <c r="I82" s="27" t="str">
        <f t="shared" si="0"/>
        <v>Dacanay, Lanie</v>
      </c>
      <c r="J82" s="32" t="s">
        <v>816</v>
      </c>
      <c r="K82" s="32" t="s">
        <v>817</v>
      </c>
      <c r="L82" s="33" t="s">
        <v>818</v>
      </c>
      <c r="M82" s="32" t="s">
        <v>57</v>
      </c>
      <c r="N82" s="32" t="s">
        <v>819</v>
      </c>
      <c r="O82" s="32" t="s">
        <v>820</v>
      </c>
      <c r="P82" s="32"/>
      <c r="Q82" s="32" t="s">
        <v>821</v>
      </c>
      <c r="R82" s="32"/>
      <c r="S82" s="31">
        <v>28131</v>
      </c>
      <c r="T82" s="88">
        <f ca="1" t="shared" si="1"/>
        <v>49</v>
      </c>
      <c r="U82" s="27" t="s">
        <v>822</v>
      </c>
      <c r="V82" s="27" t="s">
        <v>823</v>
      </c>
      <c r="W82" s="27" t="s">
        <v>708</v>
      </c>
      <c r="X82" s="27" t="s">
        <v>51</v>
      </c>
      <c r="Y82" s="98"/>
      <c r="Z82" s="27" t="s">
        <v>51</v>
      </c>
      <c r="AA82" s="31"/>
      <c r="AB82" s="27"/>
      <c r="AC82" s="27" t="s">
        <v>68</v>
      </c>
      <c r="AD82" s="27"/>
      <c r="AE82" s="27"/>
      <c r="AF82" s="27"/>
      <c r="AG82" s="27"/>
      <c r="AH82" s="27"/>
      <c r="AI82" s="27"/>
      <c r="AJ82" s="27" t="s">
        <v>824</v>
      </c>
      <c r="AK82" s="27" t="s">
        <v>825</v>
      </c>
      <c r="AL82" s="27" t="s">
        <v>51</v>
      </c>
      <c r="AM82" s="27" t="s">
        <v>51</v>
      </c>
      <c r="AN82" s="27" t="s">
        <v>824</v>
      </c>
      <c r="AO82" s="27" t="s">
        <v>826</v>
      </c>
      <c r="AP82" s="27" t="s">
        <v>77</v>
      </c>
      <c r="AQ82" s="27" t="s">
        <v>827</v>
      </c>
    </row>
    <row r="83" ht="15.75" customHeight="1" spans="1:43">
      <c r="A83" s="29"/>
      <c r="B83" s="29"/>
      <c r="C83" s="29"/>
      <c r="D83" s="32" t="s">
        <v>51</v>
      </c>
      <c r="E83" s="32"/>
      <c r="F83" s="32" t="s">
        <v>396</v>
      </c>
      <c r="G83" s="32"/>
      <c r="H83" s="32" t="s">
        <v>81</v>
      </c>
      <c r="I83" s="27" t="str">
        <f t="shared" si="0"/>
        <v>Dagupen, Josephine</v>
      </c>
      <c r="J83" s="32" t="s">
        <v>828</v>
      </c>
      <c r="K83" s="32" t="s">
        <v>829</v>
      </c>
      <c r="L83" s="33"/>
      <c r="M83" s="32" t="s">
        <v>57</v>
      </c>
      <c r="N83" s="32" t="s">
        <v>830</v>
      </c>
      <c r="O83" s="32" t="s">
        <v>163</v>
      </c>
      <c r="P83" s="32" t="s">
        <v>831</v>
      </c>
      <c r="Q83" s="32" t="s">
        <v>832</v>
      </c>
      <c r="R83" s="32"/>
      <c r="S83" s="31">
        <v>24916</v>
      </c>
      <c r="T83" s="88">
        <f ca="1" t="shared" si="1"/>
        <v>58</v>
      </c>
      <c r="U83" s="27" t="s">
        <v>833</v>
      </c>
      <c r="V83" s="27" t="s">
        <v>834</v>
      </c>
      <c r="W83" s="27" t="s">
        <v>835</v>
      </c>
      <c r="X83" s="27" t="s">
        <v>51</v>
      </c>
      <c r="Y83" s="98" t="s">
        <v>836</v>
      </c>
      <c r="Z83" s="27" t="s">
        <v>51</v>
      </c>
      <c r="AA83" s="31" t="s">
        <v>836</v>
      </c>
      <c r="AB83" s="27" t="s">
        <v>837</v>
      </c>
      <c r="AC83" s="27" t="s">
        <v>68</v>
      </c>
      <c r="AD83" s="27" t="s">
        <v>838</v>
      </c>
      <c r="AE83" s="27"/>
      <c r="AF83" s="27"/>
      <c r="AG83" s="27"/>
      <c r="AH83" s="27"/>
      <c r="AI83" s="27" t="s">
        <v>154</v>
      </c>
      <c r="AJ83" s="27" t="s">
        <v>839</v>
      </c>
      <c r="AK83" s="27" t="s">
        <v>840</v>
      </c>
      <c r="AL83" s="27" t="s">
        <v>51</v>
      </c>
      <c r="AM83" s="27" t="s">
        <v>51</v>
      </c>
      <c r="AN83" s="27" t="s">
        <v>839</v>
      </c>
      <c r="AO83" s="27" t="s">
        <v>841</v>
      </c>
      <c r="AP83" s="27" t="s">
        <v>77</v>
      </c>
      <c r="AQ83" s="27" t="s">
        <v>842</v>
      </c>
    </row>
    <row r="84" ht="15.75" customHeight="1" spans="1:43">
      <c r="A84" s="29"/>
      <c r="B84" s="29"/>
      <c r="C84" s="29"/>
      <c r="D84" s="32" t="s">
        <v>79</v>
      </c>
      <c r="E84" s="32"/>
      <c r="F84" s="32" t="s">
        <v>396</v>
      </c>
      <c r="G84" s="32"/>
      <c r="H84" s="32" t="s">
        <v>81</v>
      </c>
      <c r="I84" s="27" t="str">
        <f t="shared" si="0"/>
        <v>Daiwey, Babet</v>
      </c>
      <c r="J84" s="32" t="s">
        <v>843</v>
      </c>
      <c r="K84" s="32" t="s">
        <v>844</v>
      </c>
      <c r="L84" s="33"/>
      <c r="M84" s="32" t="s">
        <v>57</v>
      </c>
      <c r="N84" s="29" t="s">
        <v>845</v>
      </c>
      <c r="O84" s="29" t="s">
        <v>163</v>
      </c>
      <c r="P84" s="32"/>
      <c r="Q84" s="32"/>
      <c r="R84" s="32"/>
      <c r="S84" s="31"/>
      <c r="T84" s="88" t="str">
        <f ca="1" t="shared" si="1"/>
        <v/>
      </c>
      <c r="U84" s="27"/>
      <c r="V84" s="27"/>
      <c r="W84" s="27"/>
      <c r="X84" s="27"/>
      <c r="Y84" s="98"/>
      <c r="Z84" s="27"/>
      <c r="AA84" s="31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</row>
    <row r="85" ht="15.75" customHeight="1" spans="1:43">
      <c r="A85" s="29"/>
      <c r="B85" s="29"/>
      <c r="C85" s="29"/>
      <c r="D85" s="32" t="s">
        <v>79</v>
      </c>
      <c r="E85" s="32"/>
      <c r="F85" s="32" t="s">
        <v>91</v>
      </c>
      <c r="G85" s="32"/>
      <c r="H85" s="32" t="s">
        <v>53</v>
      </c>
      <c r="I85" s="27" t="str">
        <f t="shared" si="0"/>
        <v>Dalisan, Jenifer Apple</v>
      </c>
      <c r="J85" s="32" t="s">
        <v>846</v>
      </c>
      <c r="K85" s="32" t="s">
        <v>847</v>
      </c>
      <c r="L85" s="33"/>
      <c r="M85" s="32" t="s">
        <v>57</v>
      </c>
      <c r="N85" s="32"/>
      <c r="O85" s="32"/>
      <c r="P85" s="32"/>
      <c r="Q85" s="32"/>
      <c r="R85" s="32"/>
      <c r="S85" s="31"/>
      <c r="T85" s="88" t="str">
        <f ca="1" t="shared" si="1"/>
        <v/>
      </c>
      <c r="U85" s="27"/>
      <c r="V85" s="27"/>
      <c r="W85" s="27"/>
      <c r="X85" s="27"/>
      <c r="Y85" s="98"/>
      <c r="Z85" s="27"/>
      <c r="AA85" s="31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</row>
    <row r="86" ht="15.75" customHeight="1" spans="1:43">
      <c r="A86" s="29"/>
      <c r="B86" s="29"/>
      <c r="C86" s="29"/>
      <c r="D86" s="32" t="s">
        <v>79</v>
      </c>
      <c r="E86" s="32"/>
      <c r="F86" s="32" t="s">
        <v>52</v>
      </c>
      <c r="G86" s="32"/>
      <c r="H86" s="32" t="s">
        <v>81</v>
      </c>
      <c r="I86" s="27" t="str">
        <f t="shared" si="0"/>
        <v>Danganon, Analyn</v>
      </c>
      <c r="J86" s="32" t="s">
        <v>848</v>
      </c>
      <c r="K86" s="32" t="s">
        <v>849</v>
      </c>
      <c r="L86" s="33"/>
      <c r="M86" s="32" t="s">
        <v>57</v>
      </c>
      <c r="N86" s="32" t="s">
        <v>850</v>
      </c>
      <c r="O86" s="32" t="s">
        <v>399</v>
      </c>
      <c r="P86" s="32"/>
      <c r="Q86" s="32" t="s">
        <v>851</v>
      </c>
      <c r="R86" s="32"/>
      <c r="S86" s="31">
        <v>29156</v>
      </c>
      <c r="T86" s="88">
        <f ca="1" t="shared" si="1"/>
        <v>46</v>
      </c>
      <c r="U86" s="27"/>
      <c r="V86" s="27"/>
      <c r="W86" s="27"/>
      <c r="X86" s="27"/>
      <c r="Y86" s="98"/>
      <c r="Z86" s="27"/>
      <c r="AA86" s="31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</row>
    <row r="87" ht="15.75" customHeight="1" spans="1:43">
      <c r="A87" s="29"/>
      <c r="B87" s="29"/>
      <c r="C87" s="29"/>
      <c r="D87" s="32" t="s">
        <v>51</v>
      </c>
      <c r="E87" s="32"/>
      <c r="F87" s="32" t="s">
        <v>196</v>
      </c>
      <c r="G87" s="32"/>
      <c r="H87" s="32" t="s">
        <v>92</v>
      </c>
      <c r="I87" s="190" t="str">
        <f t="shared" si="0"/>
        <v>Dangla, Nancy</v>
      </c>
      <c r="J87" s="32" t="s">
        <v>852</v>
      </c>
      <c r="K87" s="32" t="s">
        <v>853</v>
      </c>
      <c r="L87" s="33" t="s">
        <v>854</v>
      </c>
      <c r="M87" s="32" t="s">
        <v>57</v>
      </c>
      <c r="N87" s="32" t="s">
        <v>855</v>
      </c>
      <c r="O87" s="32" t="s">
        <v>368</v>
      </c>
      <c r="P87" s="32"/>
      <c r="Q87" s="32" t="s">
        <v>856</v>
      </c>
      <c r="R87" s="32"/>
      <c r="S87" s="31">
        <v>23993</v>
      </c>
      <c r="T87" s="88">
        <f ca="1" t="shared" si="1"/>
        <v>61</v>
      </c>
      <c r="U87" s="27" t="s">
        <v>857</v>
      </c>
      <c r="V87" s="27" t="s">
        <v>858</v>
      </c>
      <c r="W87" s="27" t="s">
        <v>859</v>
      </c>
      <c r="X87" s="27" t="s">
        <v>51</v>
      </c>
      <c r="Y87" s="98" t="s">
        <v>860</v>
      </c>
      <c r="Z87" s="27" t="s">
        <v>51</v>
      </c>
      <c r="AA87" s="233" t="s">
        <v>861</v>
      </c>
      <c r="AB87" s="27" t="s">
        <v>862</v>
      </c>
      <c r="AC87" s="27" t="s">
        <v>230</v>
      </c>
      <c r="AD87" s="27"/>
      <c r="AE87" s="27" t="s">
        <v>215</v>
      </c>
      <c r="AF87" s="27" t="s">
        <v>105</v>
      </c>
      <c r="AG87" s="27"/>
      <c r="AH87" s="27"/>
      <c r="AI87" s="27"/>
      <c r="AJ87" s="27" t="s">
        <v>863</v>
      </c>
      <c r="AK87" s="27" t="s">
        <v>720</v>
      </c>
      <c r="AL87" s="27" t="s">
        <v>51</v>
      </c>
      <c r="AM87" s="27" t="s">
        <v>51</v>
      </c>
      <c r="AN87" s="27" t="s">
        <v>864</v>
      </c>
      <c r="AO87" s="27" t="s">
        <v>865</v>
      </c>
      <c r="AP87" s="27" t="s">
        <v>219</v>
      </c>
      <c r="AQ87" s="27" t="s">
        <v>866</v>
      </c>
    </row>
    <row r="88" ht="15.75" customHeight="1" spans="1:43">
      <c r="A88" s="29"/>
      <c r="B88" s="29"/>
      <c r="C88" s="29"/>
      <c r="D88" s="32" t="s">
        <v>51</v>
      </c>
      <c r="E88" s="32"/>
      <c r="F88" s="32" t="s">
        <v>236</v>
      </c>
      <c r="G88" s="32"/>
      <c r="H88" s="32" t="s">
        <v>81</v>
      </c>
      <c r="I88" s="27" t="str">
        <f t="shared" si="0"/>
        <v>Daskeo, May</v>
      </c>
      <c r="J88" s="32" t="s">
        <v>867</v>
      </c>
      <c r="K88" s="32" t="s">
        <v>868</v>
      </c>
      <c r="L88" s="33" t="s">
        <v>869</v>
      </c>
      <c r="M88" s="32" t="s">
        <v>57</v>
      </c>
      <c r="N88" s="32" t="s">
        <v>870</v>
      </c>
      <c r="O88" s="32" t="s">
        <v>241</v>
      </c>
      <c r="P88" s="32" t="s">
        <v>871</v>
      </c>
      <c r="Q88" s="32" t="s">
        <v>872</v>
      </c>
      <c r="R88" s="32" t="s">
        <v>873</v>
      </c>
      <c r="S88" s="31">
        <v>30458</v>
      </c>
      <c r="T88" s="88">
        <f ca="1" t="shared" si="1"/>
        <v>43</v>
      </c>
      <c r="U88" s="27" t="s">
        <v>573</v>
      </c>
      <c r="V88" s="27" t="s">
        <v>874</v>
      </c>
      <c r="W88" s="27" t="s">
        <v>875</v>
      </c>
      <c r="X88" s="27"/>
      <c r="Y88" s="98"/>
      <c r="Z88" s="27"/>
      <c r="AA88" s="31"/>
      <c r="AB88" s="27" t="s">
        <v>149</v>
      </c>
      <c r="AC88" s="27" t="s">
        <v>68</v>
      </c>
      <c r="AD88" s="27" t="s">
        <v>531</v>
      </c>
      <c r="AE88" s="27"/>
      <c r="AF88" s="27"/>
      <c r="AG88" s="27" t="s">
        <v>190</v>
      </c>
      <c r="AH88" s="27" t="s">
        <v>876</v>
      </c>
      <c r="AI88" s="27" t="s">
        <v>154</v>
      </c>
      <c r="AJ88" s="27" t="s">
        <v>877</v>
      </c>
      <c r="AK88" s="27" t="s">
        <v>878</v>
      </c>
      <c r="AL88" s="27" t="s">
        <v>51</v>
      </c>
      <c r="AM88" s="27" t="s">
        <v>51</v>
      </c>
      <c r="AN88" s="27" t="s">
        <v>877</v>
      </c>
      <c r="AO88" s="27" t="s">
        <v>879</v>
      </c>
      <c r="AP88" s="27" t="s">
        <v>77</v>
      </c>
      <c r="AQ88" s="27" t="s">
        <v>880</v>
      </c>
    </row>
    <row r="89" ht="15.75" customHeight="1" spans="1:43">
      <c r="A89" s="29"/>
      <c r="B89" s="29"/>
      <c r="C89" s="29"/>
      <c r="D89" s="32" t="s">
        <v>79</v>
      </c>
      <c r="E89" s="32"/>
      <c r="F89" s="32" t="s">
        <v>566</v>
      </c>
      <c r="G89" s="32"/>
      <c r="H89" s="32" t="s">
        <v>126</v>
      </c>
      <c r="I89" s="190" t="str">
        <f t="shared" si="0"/>
        <v>De Castro, Rebecca</v>
      </c>
      <c r="J89" s="32" t="s">
        <v>881</v>
      </c>
      <c r="K89" s="32" t="s">
        <v>882</v>
      </c>
      <c r="L89" s="33" t="s">
        <v>440</v>
      </c>
      <c r="M89" s="32" t="s">
        <v>57</v>
      </c>
      <c r="N89" s="32" t="s">
        <v>883</v>
      </c>
      <c r="O89" s="32" t="s">
        <v>884</v>
      </c>
      <c r="P89" s="32"/>
      <c r="Q89" s="32" t="s">
        <v>885</v>
      </c>
      <c r="R89" s="32"/>
      <c r="S89" s="31">
        <v>29700</v>
      </c>
      <c r="T89" s="88">
        <f ca="1" t="shared" si="1"/>
        <v>45</v>
      </c>
      <c r="U89" s="27"/>
      <c r="V89" s="27"/>
      <c r="W89" s="27"/>
      <c r="X89" s="27"/>
      <c r="Y89" s="98"/>
      <c r="Z89" s="27"/>
      <c r="AA89" s="31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</row>
    <row r="90" ht="15.75" customHeight="1" spans="1:43">
      <c r="A90" s="29"/>
      <c r="B90" s="29"/>
      <c r="C90" s="29"/>
      <c r="D90" s="32" t="s">
        <v>79</v>
      </c>
      <c r="E90" s="32"/>
      <c r="F90" s="32" t="s">
        <v>309</v>
      </c>
      <c r="G90" s="32"/>
      <c r="H90" s="32" t="s">
        <v>81</v>
      </c>
      <c r="I90" s="27" t="str">
        <f t="shared" si="0"/>
        <v>De Guzman, Marissa</v>
      </c>
      <c r="J90" s="32" t="s">
        <v>886</v>
      </c>
      <c r="K90" s="32" t="s">
        <v>627</v>
      </c>
      <c r="L90" s="33"/>
      <c r="M90" s="32" t="s">
        <v>57</v>
      </c>
      <c r="N90" s="32"/>
      <c r="O90" s="32"/>
      <c r="P90" s="32"/>
      <c r="Q90" s="32"/>
      <c r="R90" s="32"/>
      <c r="S90" s="31"/>
      <c r="T90" s="88" t="str">
        <f ca="1" t="shared" si="1"/>
        <v/>
      </c>
      <c r="U90" s="27"/>
      <c r="V90" s="27"/>
      <c r="W90" s="27"/>
      <c r="X90" s="27"/>
      <c r="Y90" s="98"/>
      <c r="Z90" s="27"/>
      <c r="AA90" s="31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</row>
    <row r="91" ht="15.75" customHeight="1" spans="1:43">
      <c r="A91" s="29"/>
      <c r="B91" s="29"/>
      <c r="C91" s="29"/>
      <c r="D91" s="32" t="s">
        <v>79</v>
      </c>
      <c r="E91" s="32"/>
      <c r="F91" s="32" t="s">
        <v>236</v>
      </c>
      <c r="G91" s="32"/>
      <c r="H91" s="32" t="s">
        <v>92</v>
      </c>
      <c r="I91" s="190" t="str">
        <f t="shared" si="0"/>
        <v>Dela Peña, Imelda</v>
      </c>
      <c r="J91" s="87" t="s">
        <v>887</v>
      </c>
      <c r="K91" s="32" t="s">
        <v>888</v>
      </c>
      <c r="L91" s="33"/>
      <c r="M91" s="32" t="s">
        <v>57</v>
      </c>
      <c r="N91" s="32" t="s">
        <v>889</v>
      </c>
      <c r="O91" s="32" t="s">
        <v>163</v>
      </c>
      <c r="P91" s="32"/>
      <c r="Q91" s="32" t="s">
        <v>890</v>
      </c>
      <c r="R91" s="32"/>
      <c r="S91" s="31">
        <v>25120</v>
      </c>
      <c r="T91" s="88">
        <f ca="1" t="shared" si="1"/>
        <v>58</v>
      </c>
      <c r="U91" s="27"/>
      <c r="V91" s="27"/>
      <c r="W91" s="27"/>
      <c r="X91" s="27"/>
      <c r="Y91" s="98"/>
      <c r="Z91" s="27"/>
      <c r="AA91" s="31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</row>
    <row r="92" ht="15.75" customHeight="1" spans="1:43">
      <c r="A92" s="29"/>
      <c r="B92" s="29"/>
      <c r="C92" s="29"/>
      <c r="D92" s="32" t="s">
        <v>79</v>
      </c>
      <c r="E92" s="32"/>
      <c r="F92" s="32" t="s">
        <v>196</v>
      </c>
      <c r="G92" s="32"/>
      <c r="H92" s="32" t="s">
        <v>81</v>
      </c>
      <c r="I92" s="27" t="str">
        <f t="shared" si="0"/>
        <v>Delos Trinos, Julieta</v>
      </c>
      <c r="J92" s="32" t="s">
        <v>891</v>
      </c>
      <c r="K92" s="32" t="s">
        <v>892</v>
      </c>
      <c r="L92" s="33"/>
      <c r="M92" s="32" t="s">
        <v>57</v>
      </c>
      <c r="N92" s="32"/>
      <c r="O92" s="32"/>
      <c r="P92" s="32"/>
      <c r="Q92" s="32"/>
      <c r="R92" s="32"/>
      <c r="S92" s="31"/>
      <c r="T92" s="88" t="str">
        <f ca="1" t="shared" si="1"/>
        <v/>
      </c>
      <c r="U92" s="27"/>
      <c r="V92" s="27"/>
      <c r="W92" s="27"/>
      <c r="X92" s="27"/>
      <c r="Y92" s="98"/>
      <c r="Z92" s="27"/>
      <c r="AA92" s="31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</row>
    <row r="93" ht="15.75" customHeight="1" spans="1:43">
      <c r="A93" s="29"/>
      <c r="B93" s="29"/>
      <c r="C93" s="29"/>
      <c r="D93" s="32" t="s">
        <v>51</v>
      </c>
      <c r="E93" s="32"/>
      <c r="F93" s="32" t="s">
        <v>236</v>
      </c>
      <c r="G93" s="32"/>
      <c r="H93" s="32" t="s">
        <v>81</v>
      </c>
      <c r="I93" s="27" t="str">
        <f t="shared" si="0"/>
        <v>Deloterio, Veronica</v>
      </c>
      <c r="J93" s="32" t="s">
        <v>893</v>
      </c>
      <c r="K93" s="32" t="s">
        <v>894</v>
      </c>
      <c r="L93" s="33"/>
      <c r="M93" s="32" t="s">
        <v>57</v>
      </c>
      <c r="N93" s="32">
        <v>9</v>
      </c>
      <c r="O93" s="32" t="s">
        <v>895</v>
      </c>
      <c r="P93" s="32" t="s">
        <v>896</v>
      </c>
      <c r="Q93" s="32" t="s">
        <v>897</v>
      </c>
      <c r="R93" s="32"/>
      <c r="S93" s="31">
        <v>22280</v>
      </c>
      <c r="T93" s="88">
        <f ca="1" t="shared" si="1"/>
        <v>65</v>
      </c>
      <c r="U93" s="27" t="s">
        <v>898</v>
      </c>
      <c r="V93" s="27" t="s">
        <v>899</v>
      </c>
      <c r="W93" s="27" t="s">
        <v>900</v>
      </c>
      <c r="X93" s="27" t="s">
        <v>51</v>
      </c>
      <c r="Y93" s="232" t="s">
        <v>901</v>
      </c>
      <c r="Z93" s="27" t="s">
        <v>51</v>
      </c>
      <c r="AA93" s="233" t="s">
        <v>901</v>
      </c>
      <c r="AB93" s="27" t="s">
        <v>902</v>
      </c>
      <c r="AC93" s="27" t="s">
        <v>230</v>
      </c>
      <c r="AD93" s="27" t="s">
        <v>104</v>
      </c>
      <c r="AE93" s="27"/>
      <c r="AF93" s="27"/>
      <c r="AG93" s="27"/>
      <c r="AH93" s="27"/>
      <c r="AI93" s="27"/>
      <c r="AJ93" s="27" t="s">
        <v>903</v>
      </c>
      <c r="AK93" s="27"/>
      <c r="AL93" s="27" t="s">
        <v>157</v>
      </c>
      <c r="AM93" s="27" t="s">
        <v>157</v>
      </c>
      <c r="AN93" s="27" t="s">
        <v>904</v>
      </c>
      <c r="AO93" s="27"/>
      <c r="AP93" s="27" t="s">
        <v>219</v>
      </c>
      <c r="AQ93" s="27"/>
    </row>
    <row r="94" ht="15.75" customHeight="1" spans="1:43">
      <c r="A94" s="29"/>
      <c r="B94" s="29"/>
      <c r="C94" s="29"/>
      <c r="D94" s="32" t="s">
        <v>79</v>
      </c>
      <c r="E94" s="32"/>
      <c r="F94" s="32" t="s">
        <v>396</v>
      </c>
      <c r="G94" s="32"/>
      <c r="H94" s="32" t="s">
        <v>81</v>
      </c>
      <c r="I94" s="27" t="str">
        <f t="shared" si="0"/>
        <v>Diamsay, Alma</v>
      </c>
      <c r="J94" s="32" t="s">
        <v>905</v>
      </c>
      <c r="K94" s="32" t="s">
        <v>906</v>
      </c>
      <c r="L94" s="33" t="s">
        <v>907</v>
      </c>
      <c r="M94" s="32" t="s">
        <v>57</v>
      </c>
      <c r="N94" s="32" t="s">
        <v>908</v>
      </c>
      <c r="O94" s="32" t="s">
        <v>909</v>
      </c>
      <c r="P94" s="32"/>
      <c r="Q94" s="32" t="s">
        <v>910</v>
      </c>
      <c r="R94" s="32"/>
      <c r="S94" s="31">
        <v>32720</v>
      </c>
      <c r="T94" s="88">
        <f ca="1" t="shared" si="1"/>
        <v>37</v>
      </c>
      <c r="U94" s="27"/>
      <c r="V94" s="27"/>
      <c r="W94" s="27"/>
      <c r="X94" s="27"/>
      <c r="Y94" s="98"/>
      <c r="Z94" s="27"/>
      <c r="AA94" s="31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</row>
    <row r="95" ht="15.75" customHeight="1" spans="1:43">
      <c r="A95" s="29"/>
      <c r="B95" s="29"/>
      <c r="C95" s="29"/>
      <c r="D95" s="32" t="s">
        <v>51</v>
      </c>
      <c r="E95" s="32"/>
      <c r="F95" s="32" t="s">
        <v>309</v>
      </c>
      <c r="G95" s="32"/>
      <c r="H95" s="32" t="s">
        <v>81</v>
      </c>
      <c r="I95" s="27" t="str">
        <f t="shared" si="0"/>
        <v>Domigsi, Rosemarie</v>
      </c>
      <c r="J95" s="32" t="s">
        <v>911</v>
      </c>
      <c r="K95" s="32" t="s">
        <v>912</v>
      </c>
      <c r="L95" s="33"/>
      <c r="M95" s="32" t="s">
        <v>57</v>
      </c>
      <c r="N95" s="32" t="s">
        <v>913</v>
      </c>
      <c r="O95" s="32" t="s">
        <v>193</v>
      </c>
      <c r="P95" s="32"/>
      <c r="Q95" s="32" t="s">
        <v>914</v>
      </c>
      <c r="R95" s="32"/>
      <c r="S95" s="31">
        <v>24943</v>
      </c>
      <c r="T95" s="88">
        <f ca="1" t="shared" si="1"/>
        <v>58</v>
      </c>
      <c r="U95" s="27" t="s">
        <v>915</v>
      </c>
      <c r="V95" s="27" t="s">
        <v>916</v>
      </c>
      <c r="W95" s="27" t="s">
        <v>917</v>
      </c>
      <c r="X95" s="27" t="s">
        <v>51</v>
      </c>
      <c r="Y95" s="232" t="s">
        <v>918</v>
      </c>
      <c r="Z95" s="27" t="s">
        <v>51</v>
      </c>
      <c r="AA95" s="233" t="s">
        <v>918</v>
      </c>
      <c r="AB95" s="27"/>
      <c r="AC95" s="27"/>
      <c r="AD95" s="27"/>
      <c r="AE95" s="27"/>
      <c r="AF95" s="27"/>
      <c r="AG95" s="27"/>
      <c r="AH95" s="27"/>
      <c r="AI95" s="27"/>
      <c r="AJ95" s="27" t="s">
        <v>919</v>
      </c>
      <c r="AK95" s="27"/>
      <c r="AL95" s="27"/>
      <c r="AM95" s="27"/>
      <c r="AN95" s="27"/>
      <c r="AO95" s="27"/>
      <c r="AP95" s="27"/>
      <c r="AQ95" s="27"/>
    </row>
    <row r="96" ht="15.75" customHeight="1" spans="1:43">
      <c r="A96" s="29"/>
      <c r="B96" s="29"/>
      <c r="C96" s="29"/>
      <c r="D96" s="32" t="s">
        <v>79</v>
      </c>
      <c r="E96" s="32"/>
      <c r="F96" s="32" t="s">
        <v>177</v>
      </c>
      <c r="G96" s="32"/>
      <c r="H96" s="32" t="s">
        <v>81</v>
      </c>
      <c r="I96" s="27" t="str">
        <f t="shared" si="0"/>
        <v>Donaire, Romelie</v>
      </c>
      <c r="J96" s="32" t="s">
        <v>920</v>
      </c>
      <c r="K96" s="32" t="s">
        <v>921</v>
      </c>
      <c r="L96" s="33"/>
      <c r="M96" s="32" t="s">
        <v>57</v>
      </c>
      <c r="N96" s="32"/>
      <c r="O96" s="32"/>
      <c r="P96" s="32"/>
      <c r="Q96" s="32"/>
      <c r="R96" s="32"/>
      <c r="S96" s="31"/>
      <c r="T96" s="88" t="str">
        <f ca="1" t="shared" si="1"/>
        <v/>
      </c>
      <c r="U96" s="27"/>
      <c r="V96" s="27"/>
      <c r="W96" s="27"/>
      <c r="X96" s="27"/>
      <c r="Y96" s="98"/>
      <c r="Z96" s="27"/>
      <c r="AA96" s="31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</row>
    <row r="97" ht="15.75" customHeight="1" spans="1:43">
      <c r="A97" s="29"/>
      <c r="B97" s="29"/>
      <c r="C97" s="29"/>
      <c r="D97" s="32" t="s">
        <v>51</v>
      </c>
      <c r="E97" s="32"/>
      <c r="F97" s="32" t="s">
        <v>309</v>
      </c>
      <c r="G97" s="32"/>
      <c r="H97" s="32" t="s">
        <v>81</v>
      </c>
      <c r="I97" s="27" t="str">
        <f t="shared" si="0"/>
        <v>Dongpoen, Zeny</v>
      </c>
      <c r="J97" s="32" t="s">
        <v>922</v>
      </c>
      <c r="K97" s="32" t="s">
        <v>923</v>
      </c>
      <c r="L97" s="33"/>
      <c r="M97" s="32" t="s">
        <v>57</v>
      </c>
      <c r="N97" s="32"/>
      <c r="O97" s="32" t="s">
        <v>183</v>
      </c>
      <c r="P97" s="32"/>
      <c r="Q97" s="32" t="s">
        <v>924</v>
      </c>
      <c r="R97" s="32"/>
      <c r="S97" s="31">
        <v>22899</v>
      </c>
      <c r="T97" s="88">
        <f ca="1" t="shared" si="1"/>
        <v>64</v>
      </c>
      <c r="U97" s="27" t="s">
        <v>301</v>
      </c>
      <c r="V97" s="27" t="s">
        <v>925</v>
      </c>
      <c r="W97" s="27" t="s">
        <v>926</v>
      </c>
      <c r="X97" s="27" t="s">
        <v>51</v>
      </c>
      <c r="Y97" s="232" t="s">
        <v>927</v>
      </c>
      <c r="Z97" s="27" t="s">
        <v>51</v>
      </c>
      <c r="AA97" s="233" t="s">
        <v>927</v>
      </c>
      <c r="AB97" s="27" t="s">
        <v>149</v>
      </c>
      <c r="AC97" s="27" t="s">
        <v>68</v>
      </c>
      <c r="AD97" s="27"/>
      <c r="AE97" s="27"/>
      <c r="AF97" s="27"/>
      <c r="AG97" s="27"/>
      <c r="AH97" s="27"/>
      <c r="AI97" s="27"/>
      <c r="AJ97" s="27" t="s">
        <v>928</v>
      </c>
      <c r="AK97" s="27" t="s">
        <v>563</v>
      </c>
      <c r="AL97" s="27" t="s">
        <v>51</v>
      </c>
      <c r="AM97" s="27" t="s">
        <v>157</v>
      </c>
      <c r="AN97" s="27" t="s">
        <v>929</v>
      </c>
      <c r="AO97" s="27" t="s">
        <v>930</v>
      </c>
      <c r="AP97" s="27" t="s">
        <v>931</v>
      </c>
      <c r="AQ97" s="27" t="s">
        <v>932</v>
      </c>
    </row>
    <row r="98" ht="15.75" customHeight="1" spans="1:43">
      <c r="A98" s="29"/>
      <c r="B98" s="29"/>
      <c r="C98" s="29"/>
      <c r="D98" s="32" t="s">
        <v>79</v>
      </c>
      <c r="E98" s="32"/>
      <c r="F98" s="32" t="s">
        <v>125</v>
      </c>
      <c r="G98" s="32"/>
      <c r="H98" s="32" t="s">
        <v>81</v>
      </c>
      <c r="I98" s="27" t="str">
        <f t="shared" si="0"/>
        <v>Dulnuan, Helen</v>
      </c>
      <c r="J98" s="32" t="s">
        <v>933</v>
      </c>
      <c r="K98" s="32" t="s">
        <v>934</v>
      </c>
      <c r="L98" s="33"/>
      <c r="M98" s="32" t="s">
        <v>57</v>
      </c>
      <c r="N98" s="32"/>
      <c r="O98" s="32"/>
      <c r="P98" s="32"/>
      <c r="Q98" s="32"/>
      <c r="R98" s="32"/>
      <c r="S98" s="31"/>
      <c r="T98" s="88" t="str">
        <f ca="1" t="shared" si="1"/>
        <v/>
      </c>
      <c r="U98" s="27"/>
      <c r="V98" s="27"/>
      <c r="W98" s="27"/>
      <c r="X98" s="27"/>
      <c r="Y98" s="98"/>
      <c r="Z98" s="27"/>
      <c r="AA98" s="31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</row>
    <row r="99" ht="15.75" customHeight="1" spans="1:43">
      <c r="A99" s="29"/>
      <c r="B99" s="29"/>
      <c r="C99" s="29"/>
      <c r="D99" s="32" t="s">
        <v>51</v>
      </c>
      <c r="E99" s="32"/>
      <c r="F99" s="32" t="s">
        <v>380</v>
      </c>
      <c r="G99" s="32"/>
      <c r="H99" s="32" t="s">
        <v>81</v>
      </c>
      <c r="I99" s="27" t="str">
        <f t="shared" si="0"/>
        <v>Dy, Mary Antonette</v>
      </c>
      <c r="J99" s="32" t="s">
        <v>935</v>
      </c>
      <c r="K99" s="32" t="s">
        <v>936</v>
      </c>
      <c r="L99" s="33" t="s">
        <v>937</v>
      </c>
      <c r="M99" s="32" t="s">
        <v>57</v>
      </c>
      <c r="N99" s="32" t="s">
        <v>938</v>
      </c>
      <c r="O99" s="32" t="s">
        <v>939</v>
      </c>
      <c r="P99" s="32"/>
      <c r="Q99" s="32" t="s">
        <v>940</v>
      </c>
      <c r="R99" s="32"/>
      <c r="S99" s="31">
        <v>24342</v>
      </c>
      <c r="T99" s="88">
        <f ca="1" t="shared" si="1"/>
        <v>60</v>
      </c>
      <c r="U99" s="27" t="s">
        <v>385</v>
      </c>
      <c r="V99" s="27" t="s">
        <v>941</v>
      </c>
      <c r="W99" s="27" t="s">
        <v>942</v>
      </c>
      <c r="X99" s="27" t="s">
        <v>51</v>
      </c>
      <c r="Y99" s="232" t="s">
        <v>943</v>
      </c>
      <c r="Z99" s="27" t="s">
        <v>51</v>
      </c>
      <c r="AA99" s="31"/>
      <c r="AB99" s="27" t="s">
        <v>121</v>
      </c>
      <c r="AC99" s="27" t="s">
        <v>944</v>
      </c>
      <c r="AD99" s="27" t="s">
        <v>945</v>
      </c>
      <c r="AE99" s="27"/>
      <c r="AF99" s="27"/>
      <c r="AG99" s="27"/>
      <c r="AH99" s="27"/>
      <c r="AI99" s="27"/>
      <c r="AJ99" s="27" t="s">
        <v>946</v>
      </c>
      <c r="AK99" s="27" t="s">
        <v>563</v>
      </c>
      <c r="AL99" s="27" t="s">
        <v>51</v>
      </c>
      <c r="AM99" s="27" t="s">
        <v>157</v>
      </c>
      <c r="AN99" s="27" t="s">
        <v>947</v>
      </c>
      <c r="AO99" s="27" t="s">
        <v>948</v>
      </c>
      <c r="AP99" s="27" t="s">
        <v>949</v>
      </c>
      <c r="AQ99" s="27" t="s">
        <v>950</v>
      </c>
    </row>
    <row r="100" ht="15.75" customHeight="1" spans="1:43">
      <c r="A100" s="29"/>
      <c r="B100" s="29"/>
      <c r="C100" s="29"/>
      <c r="D100" s="32" t="s">
        <v>79</v>
      </c>
      <c r="E100" s="32"/>
      <c r="F100" s="32" t="s">
        <v>80</v>
      </c>
      <c r="G100" s="32"/>
      <c r="H100" s="32" t="s">
        <v>81</v>
      </c>
      <c r="I100" s="27" t="str">
        <f t="shared" si="0"/>
        <v>Esteban, Teresita</v>
      </c>
      <c r="J100" s="32" t="s">
        <v>951</v>
      </c>
      <c r="K100" s="32" t="s">
        <v>952</v>
      </c>
      <c r="L100" s="33"/>
      <c r="M100" s="32" t="s">
        <v>57</v>
      </c>
      <c r="N100" s="32"/>
      <c r="O100" s="32"/>
      <c r="P100" s="32"/>
      <c r="Q100" s="32" t="s">
        <v>953</v>
      </c>
      <c r="R100" s="32"/>
      <c r="S100" s="31">
        <v>22872</v>
      </c>
      <c r="T100" s="88">
        <f ca="1" t="shared" si="1"/>
        <v>64</v>
      </c>
      <c r="U100" s="27"/>
      <c r="V100" s="27"/>
      <c r="W100" s="27"/>
      <c r="X100" s="27"/>
      <c r="Y100" s="98"/>
      <c r="Z100" s="27"/>
      <c r="AA100" s="31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</row>
    <row r="101" ht="15.75" customHeight="1" spans="1:43">
      <c r="A101" s="29"/>
      <c r="B101" s="29"/>
      <c r="C101" s="29"/>
      <c r="D101" s="32" t="s">
        <v>51</v>
      </c>
      <c r="E101" s="32"/>
      <c r="F101" s="32"/>
      <c r="G101" s="32"/>
      <c r="H101" s="32"/>
      <c r="I101" s="27" t="str">
        <f t="shared" si="0"/>
        <v>Estipular, Corazon</v>
      </c>
      <c r="J101" s="32" t="s">
        <v>954</v>
      </c>
      <c r="K101" s="32" t="s">
        <v>955</v>
      </c>
      <c r="L101" s="33"/>
      <c r="M101" s="32" t="s">
        <v>57</v>
      </c>
      <c r="N101" s="32" t="s">
        <v>956</v>
      </c>
      <c r="O101" s="32" t="s">
        <v>957</v>
      </c>
      <c r="P101" s="32" t="s">
        <v>958</v>
      </c>
      <c r="Q101" s="32" t="s">
        <v>959</v>
      </c>
      <c r="R101" s="32"/>
      <c r="S101" s="31">
        <v>20914</v>
      </c>
      <c r="T101" s="88">
        <f ca="1" t="shared" si="1"/>
        <v>69</v>
      </c>
      <c r="U101" s="27" t="s">
        <v>958</v>
      </c>
      <c r="V101" s="27" t="s">
        <v>960</v>
      </c>
      <c r="W101" s="27" t="s">
        <v>961</v>
      </c>
      <c r="X101" s="27" t="s">
        <v>51</v>
      </c>
      <c r="Y101" s="232" t="s">
        <v>962</v>
      </c>
      <c r="Z101" s="27" t="s">
        <v>79</v>
      </c>
      <c r="AA101" s="31"/>
      <c r="AB101" s="27" t="s">
        <v>121</v>
      </c>
      <c r="AC101" s="27" t="s">
        <v>230</v>
      </c>
      <c r="AD101" s="27"/>
      <c r="AE101" s="27"/>
      <c r="AF101" s="27"/>
      <c r="AG101" s="27"/>
      <c r="AH101" s="27"/>
      <c r="AI101" s="27"/>
      <c r="AJ101" s="27" t="s">
        <v>963</v>
      </c>
      <c r="AK101" s="27" t="s">
        <v>964</v>
      </c>
      <c r="AL101" s="27" t="s">
        <v>51</v>
      </c>
      <c r="AM101" s="27" t="s">
        <v>51</v>
      </c>
      <c r="AN101" s="27" t="s">
        <v>965</v>
      </c>
      <c r="AO101" s="27" t="s">
        <v>966</v>
      </c>
      <c r="AP101" s="27" t="s">
        <v>437</v>
      </c>
      <c r="AQ101" s="27" t="s">
        <v>967</v>
      </c>
    </row>
    <row r="102" ht="15.75" customHeight="1" spans="1:43">
      <c r="A102" s="29"/>
      <c r="B102" s="29"/>
      <c r="C102" s="29"/>
      <c r="D102" s="32" t="s">
        <v>79</v>
      </c>
      <c r="E102" s="32"/>
      <c r="F102" s="32" t="s">
        <v>52</v>
      </c>
      <c r="G102" s="32"/>
      <c r="H102" s="32" t="s">
        <v>81</v>
      </c>
      <c r="I102" s="27" t="str">
        <f t="shared" si="0"/>
        <v>Felipe, Gennie</v>
      </c>
      <c r="J102" s="32" t="s">
        <v>968</v>
      </c>
      <c r="K102" s="32" t="s">
        <v>969</v>
      </c>
      <c r="L102" s="33"/>
      <c r="M102" s="32" t="s">
        <v>57</v>
      </c>
      <c r="N102" s="32" t="s">
        <v>970</v>
      </c>
      <c r="O102" s="32" t="s">
        <v>692</v>
      </c>
      <c r="P102" s="32"/>
      <c r="Q102" s="32" t="s">
        <v>971</v>
      </c>
      <c r="R102" s="32"/>
      <c r="S102" s="31">
        <v>25579</v>
      </c>
      <c r="T102" s="88">
        <f ca="1" t="shared" si="1"/>
        <v>56</v>
      </c>
      <c r="U102" s="27"/>
      <c r="V102" s="27"/>
      <c r="W102" s="27"/>
      <c r="X102" s="27"/>
      <c r="Y102" s="98"/>
      <c r="Z102" s="27"/>
      <c r="AA102" s="31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</row>
    <row r="103" ht="15.75" customHeight="1" spans="1:43">
      <c r="A103" s="29"/>
      <c r="B103" s="29"/>
      <c r="C103" s="29"/>
      <c r="D103" s="32" t="s">
        <v>79</v>
      </c>
      <c r="E103" s="32"/>
      <c r="F103" s="32" t="s">
        <v>85</v>
      </c>
      <c r="G103" s="32"/>
      <c r="H103" s="32" t="s">
        <v>81</v>
      </c>
      <c r="I103" s="27" t="str">
        <f t="shared" si="0"/>
        <v>Felipe, Vilma</v>
      </c>
      <c r="J103" s="32" t="s">
        <v>968</v>
      </c>
      <c r="K103" s="32" t="s">
        <v>972</v>
      </c>
      <c r="L103" s="33"/>
      <c r="M103" s="32" t="s">
        <v>57</v>
      </c>
      <c r="N103" s="32" t="s">
        <v>973</v>
      </c>
      <c r="O103" s="32" t="s">
        <v>281</v>
      </c>
      <c r="P103" s="32"/>
      <c r="Q103" s="32" t="s">
        <v>974</v>
      </c>
      <c r="R103" s="32"/>
      <c r="S103" s="31">
        <v>23801</v>
      </c>
      <c r="T103" s="88">
        <f ca="1" t="shared" si="1"/>
        <v>61</v>
      </c>
      <c r="U103" s="27"/>
      <c r="V103" s="27"/>
      <c r="W103" s="27"/>
      <c r="X103" s="27"/>
      <c r="Y103" s="98"/>
      <c r="Z103" s="27"/>
      <c r="AA103" s="31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</row>
    <row r="104" ht="15.75" customHeight="1" spans="1:43">
      <c r="A104" s="29"/>
      <c r="B104" s="29"/>
      <c r="C104" s="29"/>
      <c r="D104" s="32" t="s">
        <v>79</v>
      </c>
      <c r="E104" s="32"/>
      <c r="F104" s="32" t="s">
        <v>380</v>
      </c>
      <c r="G104" s="32"/>
      <c r="H104" s="32" t="s">
        <v>81</v>
      </c>
      <c r="I104" s="27" t="str">
        <f t="shared" si="0"/>
        <v>Flores, Azalea</v>
      </c>
      <c r="J104" s="32" t="s">
        <v>975</v>
      </c>
      <c r="K104" s="32" t="s">
        <v>976</v>
      </c>
      <c r="L104" s="33"/>
      <c r="M104" s="32" t="s">
        <v>57</v>
      </c>
      <c r="N104" s="32"/>
      <c r="O104" s="32"/>
      <c r="P104" s="32"/>
      <c r="Q104" s="32"/>
      <c r="R104" s="32"/>
      <c r="S104" s="31"/>
      <c r="T104" s="88" t="str">
        <f ca="1" t="shared" si="1"/>
        <v/>
      </c>
      <c r="U104" s="27"/>
      <c r="V104" s="27"/>
      <c r="W104" s="27"/>
      <c r="X104" s="27"/>
      <c r="Y104" s="98"/>
      <c r="Z104" s="27"/>
      <c r="AA104" s="31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</row>
    <row r="105" ht="15.75" customHeight="1" spans="1:43">
      <c r="A105" s="29"/>
      <c r="B105" s="29"/>
      <c r="C105" s="29"/>
      <c r="D105" s="32" t="s">
        <v>79</v>
      </c>
      <c r="E105" s="32"/>
      <c r="F105" s="32" t="s">
        <v>274</v>
      </c>
      <c r="G105" s="32"/>
      <c r="H105" s="32" t="s">
        <v>81</v>
      </c>
      <c r="I105" s="27" t="str">
        <f t="shared" si="0"/>
        <v>Foyagan, Daisy</v>
      </c>
      <c r="J105" s="32" t="s">
        <v>977</v>
      </c>
      <c r="K105" s="32" t="s">
        <v>978</v>
      </c>
      <c r="L105" s="33"/>
      <c r="M105" s="32" t="s">
        <v>57</v>
      </c>
      <c r="N105" s="32"/>
      <c r="O105" s="32"/>
      <c r="P105" s="32"/>
      <c r="Q105" s="32"/>
      <c r="R105" s="32"/>
      <c r="S105" s="31"/>
      <c r="T105" s="88" t="str">
        <f ca="1" t="shared" si="1"/>
        <v/>
      </c>
      <c r="U105" s="27"/>
      <c r="V105" s="27"/>
      <c r="W105" s="27"/>
      <c r="X105" s="27"/>
      <c r="Y105" s="98"/>
      <c r="Z105" s="27"/>
      <c r="AA105" s="31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</row>
    <row r="106" ht="15.75" customHeight="1" spans="1:43">
      <c r="A106" s="29"/>
      <c r="B106" s="29"/>
      <c r="C106" s="29"/>
      <c r="D106" s="32" t="s">
        <v>79</v>
      </c>
      <c r="E106" s="32"/>
      <c r="F106" s="32" t="s">
        <v>177</v>
      </c>
      <c r="G106" s="32"/>
      <c r="H106" s="32" t="s">
        <v>126</v>
      </c>
      <c r="I106" s="27" t="str">
        <f t="shared" si="0"/>
        <v>Gayados, Noli Nickey</v>
      </c>
      <c r="J106" s="87" t="s">
        <v>979</v>
      </c>
      <c r="K106" s="32" t="s">
        <v>980</v>
      </c>
      <c r="L106" s="33"/>
      <c r="M106" s="32" t="s">
        <v>57</v>
      </c>
      <c r="N106" s="32"/>
      <c r="O106" s="32"/>
      <c r="P106" s="32"/>
      <c r="Q106" s="32"/>
      <c r="R106" s="32"/>
      <c r="S106" s="31"/>
      <c r="T106" s="88" t="str">
        <f ca="1" t="shared" si="1"/>
        <v/>
      </c>
      <c r="U106" s="27"/>
      <c r="V106" s="27"/>
      <c r="W106" s="27"/>
      <c r="X106" s="27"/>
      <c r="Y106" s="98"/>
      <c r="Z106" s="27"/>
      <c r="AA106" s="31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</row>
    <row r="107" ht="15.75" customHeight="1" spans="1:43">
      <c r="A107" s="29"/>
      <c r="B107" s="29"/>
      <c r="C107" s="29"/>
      <c r="D107" s="32" t="s">
        <v>51</v>
      </c>
      <c r="E107" s="32"/>
      <c r="F107" s="32" t="s">
        <v>196</v>
      </c>
      <c r="G107" s="32"/>
      <c r="H107" s="32" t="s">
        <v>81</v>
      </c>
      <c r="I107" s="27" t="str">
        <f t="shared" si="0"/>
        <v>Gumpal, Aimee</v>
      </c>
      <c r="J107" s="32" t="s">
        <v>981</v>
      </c>
      <c r="K107" s="32" t="s">
        <v>982</v>
      </c>
      <c r="L107" s="33" t="s">
        <v>552</v>
      </c>
      <c r="M107" s="32" t="s">
        <v>57</v>
      </c>
      <c r="N107" s="32">
        <v>70</v>
      </c>
      <c r="O107" s="32" t="s">
        <v>555</v>
      </c>
      <c r="P107" s="32"/>
      <c r="Q107" s="32" t="s">
        <v>684</v>
      </c>
      <c r="R107" s="32" t="s">
        <v>983</v>
      </c>
      <c r="S107" s="31">
        <v>34235</v>
      </c>
      <c r="T107" s="88">
        <f ca="1" t="shared" si="1"/>
        <v>33</v>
      </c>
      <c r="U107" s="27" t="s">
        <v>301</v>
      </c>
      <c r="V107" s="27" t="s">
        <v>562</v>
      </c>
      <c r="W107" s="27" t="s">
        <v>984</v>
      </c>
      <c r="X107" s="27" t="s">
        <v>51</v>
      </c>
      <c r="Y107" s="98"/>
      <c r="Z107" s="27" t="s">
        <v>51</v>
      </c>
      <c r="AA107" s="31"/>
      <c r="AB107" s="27"/>
      <c r="AC107" s="27" t="s">
        <v>985</v>
      </c>
      <c r="AD107" s="27" t="s">
        <v>986</v>
      </c>
      <c r="AE107" s="27"/>
      <c r="AF107" s="27"/>
      <c r="AG107" s="27" t="s">
        <v>987</v>
      </c>
      <c r="AH107" s="27"/>
      <c r="AI107" s="27"/>
      <c r="AJ107" s="27" t="s">
        <v>988</v>
      </c>
      <c r="AK107" s="27" t="s">
        <v>989</v>
      </c>
      <c r="AL107" s="27" t="s">
        <v>51</v>
      </c>
      <c r="AM107" s="27" t="s">
        <v>51</v>
      </c>
      <c r="AN107" s="27" t="s">
        <v>988</v>
      </c>
      <c r="AO107" s="27" t="s">
        <v>564</v>
      </c>
      <c r="AP107" s="27" t="s">
        <v>77</v>
      </c>
      <c r="AQ107" s="27" t="s">
        <v>990</v>
      </c>
    </row>
    <row r="108" ht="15.75" customHeight="1" spans="1:43">
      <c r="A108" s="29"/>
      <c r="B108" s="29"/>
      <c r="C108" s="29"/>
      <c r="D108" s="32" t="s">
        <v>51</v>
      </c>
      <c r="E108" s="32"/>
      <c r="F108" s="32" t="s">
        <v>125</v>
      </c>
      <c r="G108" s="32"/>
      <c r="H108" s="32" t="s">
        <v>81</v>
      </c>
      <c r="I108" s="27" t="str">
        <f t="shared" si="0"/>
        <v>Ibañez, Julie Anne</v>
      </c>
      <c r="J108" s="32" t="s">
        <v>991</v>
      </c>
      <c r="K108" s="32" t="s">
        <v>992</v>
      </c>
      <c r="L108" s="33"/>
      <c r="M108" s="32" t="s">
        <v>57</v>
      </c>
      <c r="N108" s="32" t="s">
        <v>993</v>
      </c>
      <c r="O108" s="32" t="s">
        <v>994</v>
      </c>
      <c r="P108" s="32"/>
      <c r="Q108" s="32" t="s">
        <v>995</v>
      </c>
      <c r="R108" s="32" t="s">
        <v>996</v>
      </c>
      <c r="S108" s="31">
        <v>34167</v>
      </c>
      <c r="T108" s="88">
        <f ca="1" t="shared" si="1"/>
        <v>33</v>
      </c>
      <c r="U108" s="27" t="s">
        <v>63</v>
      </c>
      <c r="V108" s="27" t="s">
        <v>997</v>
      </c>
      <c r="W108" s="27" t="s">
        <v>998</v>
      </c>
      <c r="X108" s="27" t="s">
        <v>51</v>
      </c>
      <c r="Y108" s="232" t="s">
        <v>999</v>
      </c>
      <c r="Z108" s="27" t="s">
        <v>51</v>
      </c>
      <c r="AA108" s="233" t="s">
        <v>341</v>
      </c>
      <c r="AB108" s="27"/>
      <c r="AC108" s="27" t="s">
        <v>68</v>
      </c>
      <c r="AD108" s="27" t="s">
        <v>74</v>
      </c>
      <c r="AE108" s="27"/>
      <c r="AF108" s="27" t="s">
        <v>1000</v>
      </c>
      <c r="AG108" s="27"/>
      <c r="AH108" s="27"/>
      <c r="AI108" s="27"/>
      <c r="AJ108" s="27" t="s">
        <v>1001</v>
      </c>
      <c r="AK108" s="27"/>
      <c r="AL108" s="27" t="s">
        <v>51</v>
      </c>
      <c r="AM108" s="27" t="s">
        <v>51</v>
      </c>
      <c r="AN108" s="27"/>
      <c r="AO108" s="27"/>
      <c r="AP108" s="27"/>
      <c r="AQ108" s="27"/>
    </row>
    <row r="109" ht="15.75" customHeight="1" spans="1:43">
      <c r="A109" s="29"/>
      <c r="B109" s="29"/>
      <c r="C109" s="29"/>
      <c r="D109" s="32" t="s">
        <v>51</v>
      </c>
      <c r="E109" s="32"/>
      <c r="F109" s="32"/>
      <c r="G109" s="32"/>
      <c r="H109" s="32"/>
      <c r="I109" s="27" t="str">
        <f t="shared" si="0"/>
        <v>Imbang, Aileen</v>
      </c>
      <c r="J109" s="32" t="s">
        <v>1002</v>
      </c>
      <c r="K109" s="32" t="s">
        <v>1003</v>
      </c>
      <c r="L109" s="33"/>
      <c r="M109" s="32" t="s">
        <v>57</v>
      </c>
      <c r="N109" s="32" t="s">
        <v>327</v>
      </c>
      <c r="O109" s="32" t="s">
        <v>328</v>
      </c>
      <c r="P109" s="32"/>
      <c r="Q109" s="32" t="s">
        <v>1004</v>
      </c>
      <c r="R109" s="32"/>
      <c r="S109" s="31">
        <v>30649</v>
      </c>
      <c r="T109" s="88">
        <f ca="1" t="shared" si="1"/>
        <v>42</v>
      </c>
      <c r="U109" s="27" t="s">
        <v>1005</v>
      </c>
      <c r="V109" s="27" t="s">
        <v>1006</v>
      </c>
      <c r="W109" s="27"/>
      <c r="X109" s="27" t="s">
        <v>51</v>
      </c>
      <c r="Y109" s="98"/>
      <c r="Z109" s="27" t="s">
        <v>51</v>
      </c>
      <c r="AA109" s="31"/>
      <c r="AB109" s="27"/>
      <c r="AC109" s="27" t="s">
        <v>68</v>
      </c>
      <c r="AD109" s="27" t="s">
        <v>1007</v>
      </c>
      <c r="AE109" s="27"/>
      <c r="AF109" s="27"/>
      <c r="AG109" s="27" t="s">
        <v>987</v>
      </c>
      <c r="AH109" s="27" t="s">
        <v>153</v>
      </c>
      <c r="AI109" s="27" t="s">
        <v>154</v>
      </c>
      <c r="AJ109" s="27"/>
      <c r="AK109" s="27"/>
      <c r="AL109" s="27"/>
      <c r="AM109" s="27"/>
      <c r="AN109" s="27" t="s">
        <v>1008</v>
      </c>
      <c r="AO109" s="27" t="s">
        <v>635</v>
      </c>
      <c r="AP109" s="27"/>
      <c r="AQ109" s="27" t="s">
        <v>1009</v>
      </c>
    </row>
    <row r="110" ht="15.75" customHeight="1" spans="1:43">
      <c r="A110" s="29"/>
      <c r="B110" s="29"/>
      <c r="C110" s="29"/>
      <c r="D110" s="32" t="s">
        <v>79</v>
      </c>
      <c r="E110" s="32"/>
      <c r="F110" s="32" t="s">
        <v>196</v>
      </c>
      <c r="G110" s="32"/>
      <c r="H110" s="32" t="s">
        <v>81</v>
      </c>
      <c r="I110" s="27" t="str">
        <f t="shared" si="0"/>
        <v>Joaquin, Teresita</v>
      </c>
      <c r="J110" s="32" t="s">
        <v>1010</v>
      </c>
      <c r="K110" s="32" t="s">
        <v>952</v>
      </c>
      <c r="L110" s="33"/>
      <c r="M110" s="32" t="s">
        <v>57</v>
      </c>
      <c r="N110" s="32" t="s">
        <v>1011</v>
      </c>
      <c r="O110" s="32" t="s">
        <v>281</v>
      </c>
      <c r="P110" s="32"/>
      <c r="Q110" s="32" t="s">
        <v>1012</v>
      </c>
      <c r="R110" s="32"/>
      <c r="S110" s="31">
        <v>33030</v>
      </c>
      <c r="T110" s="88">
        <f ca="1" t="shared" si="1"/>
        <v>36</v>
      </c>
      <c r="U110" s="27"/>
      <c r="V110" s="27"/>
      <c r="W110" s="27"/>
      <c r="X110" s="27"/>
      <c r="Y110" s="98"/>
      <c r="Z110" s="27"/>
      <c r="AA110" s="31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</row>
    <row r="111" ht="15.75" customHeight="1" spans="1:43">
      <c r="A111" s="29"/>
      <c r="B111" s="29"/>
      <c r="C111" s="29"/>
      <c r="D111" s="32" t="s">
        <v>51</v>
      </c>
      <c r="E111" s="32"/>
      <c r="F111" s="32" t="s">
        <v>52</v>
      </c>
      <c r="G111" s="32"/>
      <c r="H111" s="32" t="s">
        <v>81</v>
      </c>
      <c r="I111" s="27" t="str">
        <f t="shared" si="0"/>
        <v>Kebasen, Dorothy</v>
      </c>
      <c r="J111" s="32" t="s">
        <v>1013</v>
      </c>
      <c r="K111" s="32" t="s">
        <v>1014</v>
      </c>
      <c r="L111" s="33" t="s">
        <v>538</v>
      </c>
      <c r="M111" s="32" t="s">
        <v>57</v>
      </c>
      <c r="N111" s="32" t="s">
        <v>1015</v>
      </c>
      <c r="O111" s="32" t="s">
        <v>1016</v>
      </c>
      <c r="P111" s="32"/>
      <c r="Q111" s="32"/>
      <c r="R111" s="32"/>
      <c r="S111" s="31">
        <v>22438</v>
      </c>
      <c r="T111" s="88">
        <f ca="1" t="shared" si="1"/>
        <v>65</v>
      </c>
      <c r="U111" s="27" t="s">
        <v>695</v>
      </c>
      <c r="V111" s="27"/>
      <c r="W111" s="27"/>
      <c r="X111" s="27" t="s">
        <v>51</v>
      </c>
      <c r="Y111" s="98"/>
      <c r="Z111" s="27"/>
      <c r="AA111" s="31"/>
      <c r="AB111" s="27"/>
      <c r="AC111" s="27"/>
      <c r="AD111" s="27" t="s">
        <v>391</v>
      </c>
      <c r="AE111" s="27"/>
      <c r="AF111" s="27"/>
      <c r="AG111" s="27"/>
      <c r="AH111" s="27"/>
      <c r="AI111" s="27"/>
      <c r="AJ111" s="27" t="s">
        <v>1017</v>
      </c>
      <c r="AK111" s="27"/>
      <c r="AL111" s="27" t="s">
        <v>51</v>
      </c>
      <c r="AM111" s="27"/>
      <c r="AN111" s="27" t="s">
        <v>1017</v>
      </c>
      <c r="AO111" s="27" t="s">
        <v>1015</v>
      </c>
      <c r="AP111" s="27" t="s">
        <v>77</v>
      </c>
      <c r="AQ111" s="27"/>
    </row>
    <row r="112" ht="15.75" customHeight="1" spans="1:43">
      <c r="A112" s="29"/>
      <c r="B112" s="29"/>
      <c r="C112" s="29"/>
      <c r="D112" s="32" t="s">
        <v>51</v>
      </c>
      <c r="E112" s="32"/>
      <c r="F112" s="32" t="s">
        <v>80</v>
      </c>
      <c r="G112" s="32"/>
      <c r="H112" s="32" t="s">
        <v>81</v>
      </c>
      <c r="I112" s="27" t="str">
        <f t="shared" si="0"/>
        <v>Kiaki, Maria Luningning</v>
      </c>
      <c r="J112" s="32" t="s">
        <v>1018</v>
      </c>
      <c r="K112" s="32" t="s">
        <v>1019</v>
      </c>
      <c r="L112" s="33" t="s">
        <v>113</v>
      </c>
      <c r="M112" s="32" t="s">
        <v>57</v>
      </c>
      <c r="N112" s="32" t="s">
        <v>1020</v>
      </c>
      <c r="O112" s="32" t="s">
        <v>1021</v>
      </c>
      <c r="P112" s="32"/>
      <c r="Q112" s="32" t="s">
        <v>1022</v>
      </c>
      <c r="R112" s="32" t="s">
        <v>1023</v>
      </c>
      <c r="S112" s="31">
        <v>34660</v>
      </c>
      <c r="T112" s="88">
        <f ca="1" t="shared" si="1"/>
        <v>31</v>
      </c>
      <c r="U112" s="27" t="s">
        <v>1024</v>
      </c>
      <c r="V112" s="27" t="s">
        <v>1025</v>
      </c>
      <c r="W112" s="27" t="s">
        <v>1026</v>
      </c>
      <c r="X112" s="27" t="s">
        <v>51</v>
      </c>
      <c r="Y112" s="232" t="s">
        <v>1027</v>
      </c>
      <c r="Z112" s="27" t="s">
        <v>51</v>
      </c>
      <c r="AA112" s="233" t="s">
        <v>1027</v>
      </c>
      <c r="AB112" s="27" t="s">
        <v>121</v>
      </c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</row>
    <row r="113" ht="15.75" customHeight="1" spans="1:43">
      <c r="A113" s="29"/>
      <c r="B113" s="29"/>
      <c r="C113" s="29"/>
      <c r="D113" s="32" t="s">
        <v>79</v>
      </c>
      <c r="E113" s="32"/>
      <c r="F113" s="32" t="s">
        <v>274</v>
      </c>
      <c r="G113" s="32"/>
      <c r="H113" s="32" t="s">
        <v>81</v>
      </c>
      <c r="I113" s="27" t="str">
        <f t="shared" si="0"/>
        <v>Kidpalos, Angeline</v>
      </c>
      <c r="J113" s="32" t="s">
        <v>1028</v>
      </c>
      <c r="K113" s="32" t="s">
        <v>522</v>
      </c>
      <c r="L113" s="33"/>
      <c r="M113" s="32" t="s">
        <v>57</v>
      </c>
      <c r="N113" s="32"/>
      <c r="O113" s="32"/>
      <c r="P113" s="32"/>
      <c r="Q113" s="32"/>
      <c r="R113" s="32"/>
      <c r="S113" s="31"/>
      <c r="T113" s="88" t="str">
        <f ca="1" t="shared" si="1"/>
        <v/>
      </c>
      <c r="U113" s="27"/>
      <c r="V113" s="27"/>
      <c r="W113" s="27"/>
      <c r="X113" s="27"/>
      <c r="Y113" s="98"/>
      <c r="Z113" s="27"/>
      <c r="AA113" s="31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</row>
    <row r="114" ht="15.75" customHeight="1" spans="1:43">
      <c r="A114" s="29"/>
      <c r="B114" s="29"/>
      <c r="C114" s="29"/>
      <c r="D114" s="32" t="s">
        <v>51</v>
      </c>
      <c r="E114" s="32"/>
      <c r="F114" s="32"/>
      <c r="G114" s="32"/>
      <c r="H114" s="32"/>
      <c r="I114" s="27" t="str">
        <f t="shared" si="0"/>
        <v>Langgoy, Ranelda</v>
      </c>
      <c r="J114" s="32" t="s">
        <v>1029</v>
      </c>
      <c r="K114" s="32" t="s">
        <v>455</v>
      </c>
      <c r="L114" s="33" t="s">
        <v>222</v>
      </c>
      <c r="M114" s="32" t="s">
        <v>57</v>
      </c>
      <c r="N114" s="32" t="s">
        <v>1030</v>
      </c>
      <c r="O114" s="32" t="s">
        <v>1031</v>
      </c>
      <c r="P114" s="32"/>
      <c r="Q114" s="32" t="s">
        <v>1032</v>
      </c>
      <c r="R114" s="32"/>
      <c r="S114" s="31">
        <v>28272</v>
      </c>
      <c r="T114" s="88">
        <f ca="1" t="shared" si="1"/>
        <v>49</v>
      </c>
      <c r="U114" s="27" t="s">
        <v>1033</v>
      </c>
      <c r="V114" s="27"/>
      <c r="W114" s="27" t="s">
        <v>1034</v>
      </c>
      <c r="X114" s="27" t="s">
        <v>51</v>
      </c>
      <c r="Y114" s="98"/>
      <c r="Z114" s="27" t="s">
        <v>51</v>
      </c>
      <c r="AA114" s="31"/>
      <c r="AB114" s="27"/>
      <c r="AC114" s="27" t="s">
        <v>1035</v>
      </c>
      <c r="AD114" s="27"/>
      <c r="AE114" s="27"/>
      <c r="AF114" s="27"/>
      <c r="AG114" s="27"/>
      <c r="AH114" s="27"/>
      <c r="AI114" s="27"/>
      <c r="AJ114" s="27" t="s">
        <v>1036</v>
      </c>
      <c r="AK114" s="27" t="s">
        <v>1037</v>
      </c>
      <c r="AL114" s="27" t="s">
        <v>51</v>
      </c>
      <c r="AM114" s="27" t="s">
        <v>157</v>
      </c>
      <c r="AN114" s="27"/>
      <c r="AO114" s="27"/>
      <c r="AP114" s="27"/>
      <c r="AQ114" s="27"/>
    </row>
    <row r="115" ht="15.75" customHeight="1" spans="1:43">
      <c r="A115" s="29"/>
      <c r="B115" s="29"/>
      <c r="C115" s="29"/>
      <c r="D115" s="32" t="s">
        <v>79</v>
      </c>
      <c r="E115" s="32"/>
      <c r="F115" s="32" t="s">
        <v>309</v>
      </c>
      <c r="G115" s="32"/>
      <c r="H115" s="32" t="s">
        <v>81</v>
      </c>
      <c r="I115" s="27" t="str">
        <f t="shared" si="0"/>
        <v>Laraya, Merriam</v>
      </c>
      <c r="J115" s="32" t="s">
        <v>1038</v>
      </c>
      <c r="K115" s="32" t="s">
        <v>593</v>
      </c>
      <c r="L115" s="33"/>
      <c r="M115" s="32" t="s">
        <v>57</v>
      </c>
      <c r="N115" s="32"/>
      <c r="O115" s="32"/>
      <c r="P115" s="32"/>
      <c r="Q115" s="32"/>
      <c r="R115" s="32"/>
      <c r="S115" s="31"/>
      <c r="T115" s="88" t="str">
        <f ca="1" t="shared" si="1"/>
        <v/>
      </c>
      <c r="U115" s="27"/>
      <c r="V115" s="27"/>
      <c r="W115" s="27"/>
      <c r="X115" s="27"/>
      <c r="Y115" s="98"/>
      <c r="Z115" s="27"/>
      <c r="AA115" s="31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</row>
    <row r="116" ht="15.75" customHeight="1" spans="1:43">
      <c r="A116" s="29"/>
      <c r="B116" s="29"/>
      <c r="C116" s="29"/>
      <c r="D116" s="87" t="s">
        <v>51</v>
      </c>
      <c r="E116" s="32"/>
      <c r="F116" s="32"/>
      <c r="G116" s="32"/>
      <c r="H116" s="32"/>
      <c r="I116" s="27" t="str">
        <f t="shared" si="0"/>
        <v>Laresma, Arlene</v>
      </c>
      <c r="J116" s="87" t="s">
        <v>1039</v>
      </c>
      <c r="K116" s="87" t="s">
        <v>1040</v>
      </c>
      <c r="L116" s="94" t="s">
        <v>1041</v>
      </c>
      <c r="M116" s="32"/>
      <c r="N116" s="87" t="s">
        <v>1042</v>
      </c>
      <c r="O116" s="87" t="s">
        <v>224</v>
      </c>
      <c r="P116" s="32"/>
      <c r="Q116" s="87" t="s">
        <v>1043</v>
      </c>
      <c r="R116" s="32"/>
      <c r="S116" s="207">
        <v>34600</v>
      </c>
      <c r="T116" s="88">
        <f ca="1" t="shared" si="1"/>
        <v>32</v>
      </c>
      <c r="U116" s="178" t="s">
        <v>1044</v>
      </c>
      <c r="V116" s="178" t="s">
        <v>1045</v>
      </c>
      <c r="W116" s="178" t="s">
        <v>1046</v>
      </c>
      <c r="X116" s="178" t="s">
        <v>51</v>
      </c>
      <c r="Y116" s="214">
        <v>43016</v>
      </c>
      <c r="Z116" s="178" t="s">
        <v>51</v>
      </c>
      <c r="AA116" s="207">
        <v>43016</v>
      </c>
      <c r="AB116" s="27"/>
      <c r="AC116" s="178" t="s">
        <v>1047</v>
      </c>
      <c r="AD116" s="178" t="s">
        <v>151</v>
      </c>
      <c r="AE116" s="27"/>
      <c r="AF116" s="178" t="s">
        <v>1048</v>
      </c>
      <c r="AG116" s="178" t="s">
        <v>1049</v>
      </c>
      <c r="AH116" s="178" t="s">
        <v>561</v>
      </c>
      <c r="AI116" s="178" t="s">
        <v>154</v>
      </c>
      <c r="AJ116" s="178" t="s">
        <v>1050</v>
      </c>
      <c r="AK116" s="178" t="s">
        <v>1051</v>
      </c>
      <c r="AL116" s="178" t="s">
        <v>51</v>
      </c>
      <c r="AM116" s="178" t="s">
        <v>51</v>
      </c>
      <c r="AN116" s="178" t="s">
        <v>1050</v>
      </c>
      <c r="AO116" s="178" t="s">
        <v>625</v>
      </c>
      <c r="AP116" s="178" t="s">
        <v>77</v>
      </c>
      <c r="AQ116" s="178" t="s">
        <v>1052</v>
      </c>
    </row>
    <row r="117" ht="15.75" customHeight="1" spans="1:43">
      <c r="A117" s="29"/>
      <c r="B117" s="29"/>
      <c r="C117" s="29"/>
      <c r="D117" s="32" t="s">
        <v>79</v>
      </c>
      <c r="E117" s="32"/>
      <c r="F117" s="32" t="s">
        <v>177</v>
      </c>
      <c r="G117" s="32"/>
      <c r="H117" s="32" t="s">
        <v>81</v>
      </c>
      <c r="I117" s="27" t="str">
        <f t="shared" si="0"/>
        <v>Larida, Gegie</v>
      </c>
      <c r="J117" s="32" t="s">
        <v>256</v>
      </c>
      <c r="K117" s="32" t="s">
        <v>1053</v>
      </c>
      <c r="L117" s="33"/>
      <c r="M117" s="32" t="s">
        <v>57</v>
      </c>
      <c r="N117" s="32"/>
      <c r="O117" s="32"/>
      <c r="P117" s="32"/>
      <c r="Q117" s="32"/>
      <c r="R117" s="32"/>
      <c r="S117" s="31"/>
      <c r="T117" s="88" t="str">
        <f ca="1" t="shared" si="1"/>
        <v/>
      </c>
      <c r="U117" s="27"/>
      <c r="V117" s="27"/>
      <c r="W117" s="27"/>
      <c r="X117" s="27"/>
      <c r="Y117" s="98"/>
      <c r="Z117" s="27"/>
      <c r="AA117" s="31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</row>
    <row r="118" ht="15.75" customHeight="1" spans="1:43">
      <c r="A118" s="29"/>
      <c r="B118" s="29"/>
      <c r="C118" s="29"/>
      <c r="D118" s="32" t="s">
        <v>79</v>
      </c>
      <c r="E118" s="32"/>
      <c r="F118" s="32" t="s">
        <v>236</v>
      </c>
      <c r="G118" s="32"/>
      <c r="H118" s="32" t="s">
        <v>81</v>
      </c>
      <c r="I118" s="27" t="str">
        <f t="shared" si="0"/>
        <v>Lasay, Rafuncel</v>
      </c>
      <c r="J118" s="32" t="s">
        <v>1054</v>
      </c>
      <c r="K118" s="32" t="s">
        <v>1055</v>
      </c>
      <c r="L118" s="33"/>
      <c r="M118" s="32" t="s">
        <v>57</v>
      </c>
      <c r="N118" s="32"/>
      <c r="O118" s="32"/>
      <c r="P118" s="32"/>
      <c r="Q118" s="32"/>
      <c r="R118" s="32"/>
      <c r="S118" s="31"/>
      <c r="T118" s="88" t="str">
        <f ca="1" t="shared" si="1"/>
        <v/>
      </c>
      <c r="U118" s="27"/>
      <c r="V118" s="27"/>
      <c r="W118" s="27"/>
      <c r="X118" s="27"/>
      <c r="Y118" s="98"/>
      <c r="Z118" s="27"/>
      <c r="AA118" s="31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</row>
    <row r="119" ht="15.75" customHeight="1" spans="1:43">
      <c r="A119" s="29"/>
      <c r="B119" s="29"/>
      <c r="C119" s="29"/>
      <c r="D119" s="32" t="s">
        <v>51</v>
      </c>
      <c r="E119" s="32"/>
      <c r="F119" s="32" t="s">
        <v>52</v>
      </c>
      <c r="G119" s="32"/>
      <c r="H119" s="32" t="s">
        <v>92</v>
      </c>
      <c r="I119" s="190" t="str">
        <f t="shared" si="0"/>
        <v>Lipaen, Cristina</v>
      </c>
      <c r="J119" s="32" t="s">
        <v>1056</v>
      </c>
      <c r="K119" s="32" t="s">
        <v>1057</v>
      </c>
      <c r="L119" s="33" t="s">
        <v>161</v>
      </c>
      <c r="M119" s="32" t="s">
        <v>57</v>
      </c>
      <c r="N119" s="32" t="s">
        <v>1058</v>
      </c>
      <c r="O119" s="32" t="s">
        <v>163</v>
      </c>
      <c r="P119" s="32" t="s">
        <v>1059</v>
      </c>
      <c r="Q119" s="32" t="s">
        <v>1060</v>
      </c>
      <c r="R119" s="32"/>
      <c r="S119" s="31">
        <v>24525</v>
      </c>
      <c r="T119" s="88">
        <f ca="1" t="shared" si="1"/>
        <v>59</v>
      </c>
      <c r="U119" s="27" t="s">
        <v>791</v>
      </c>
      <c r="V119" s="27" t="s">
        <v>1061</v>
      </c>
      <c r="W119" s="27" t="s">
        <v>1062</v>
      </c>
      <c r="X119" s="27" t="s">
        <v>51</v>
      </c>
      <c r="Y119" s="232" t="s">
        <v>1063</v>
      </c>
      <c r="Z119" s="27" t="s">
        <v>51</v>
      </c>
      <c r="AA119" s="233" t="s">
        <v>1063</v>
      </c>
      <c r="AB119" s="27" t="s">
        <v>121</v>
      </c>
      <c r="AC119" s="27" t="s">
        <v>1064</v>
      </c>
      <c r="AD119" s="27" t="s">
        <v>531</v>
      </c>
      <c r="AE119" s="27" t="s">
        <v>215</v>
      </c>
      <c r="AF119" s="27"/>
      <c r="AG119" s="27"/>
      <c r="AH119" s="27" t="s">
        <v>153</v>
      </c>
      <c r="AI119" s="27"/>
      <c r="AJ119" s="27" t="s">
        <v>1065</v>
      </c>
      <c r="AK119" s="27" t="s">
        <v>825</v>
      </c>
      <c r="AL119" s="27" t="s">
        <v>51</v>
      </c>
      <c r="AM119" s="27" t="s">
        <v>51</v>
      </c>
      <c r="AN119" s="27" t="s">
        <v>1065</v>
      </c>
      <c r="AO119" s="27" t="s">
        <v>1066</v>
      </c>
      <c r="AP119" s="27" t="s">
        <v>77</v>
      </c>
      <c r="AQ119" s="27" t="s">
        <v>1067</v>
      </c>
    </row>
    <row r="120" ht="15.75" customHeight="1" spans="1:43">
      <c r="A120" s="29"/>
      <c r="B120" s="29"/>
      <c r="C120" s="29"/>
      <c r="D120" s="32" t="s">
        <v>51</v>
      </c>
      <c r="E120" s="32"/>
      <c r="F120" s="32" t="s">
        <v>236</v>
      </c>
      <c r="G120" s="32"/>
      <c r="H120" s="32" t="s">
        <v>81</v>
      </c>
      <c r="I120" s="27" t="str">
        <f t="shared" si="0"/>
        <v>Lipaen, Yolanda</v>
      </c>
      <c r="J120" s="32" t="s">
        <v>1056</v>
      </c>
      <c r="K120" s="32" t="s">
        <v>1068</v>
      </c>
      <c r="L120" s="33"/>
      <c r="M120" s="32" t="s">
        <v>57</v>
      </c>
      <c r="N120" s="32" t="s">
        <v>1069</v>
      </c>
      <c r="O120" s="32" t="s">
        <v>1070</v>
      </c>
      <c r="P120" s="32" t="s">
        <v>1071</v>
      </c>
      <c r="Q120" s="32" t="s">
        <v>1072</v>
      </c>
      <c r="R120" s="32" t="s">
        <v>1073</v>
      </c>
      <c r="S120" s="31">
        <v>26199</v>
      </c>
      <c r="T120" s="88">
        <f ca="1" t="shared" si="1"/>
        <v>55</v>
      </c>
      <c r="U120" s="27" t="s">
        <v>603</v>
      </c>
      <c r="V120" s="27"/>
      <c r="W120" s="27"/>
      <c r="X120" s="27" t="s">
        <v>51</v>
      </c>
      <c r="Y120" s="98" t="s">
        <v>1074</v>
      </c>
      <c r="Z120" s="27"/>
      <c r="AA120" s="31"/>
      <c r="AB120" s="27" t="s">
        <v>1075</v>
      </c>
      <c r="AC120" s="27" t="s">
        <v>1076</v>
      </c>
      <c r="AD120" s="27" t="s">
        <v>531</v>
      </c>
      <c r="AE120" s="27"/>
      <c r="AF120" s="27"/>
      <c r="AG120" s="27" t="s">
        <v>1077</v>
      </c>
      <c r="AH120" s="27" t="s">
        <v>153</v>
      </c>
      <c r="AI120" s="27" t="s">
        <v>1078</v>
      </c>
      <c r="AJ120" s="27" t="s">
        <v>1079</v>
      </c>
      <c r="AK120" s="27" t="s">
        <v>1080</v>
      </c>
      <c r="AL120" s="27" t="s">
        <v>51</v>
      </c>
      <c r="AM120" s="27" t="s">
        <v>51</v>
      </c>
      <c r="AN120" s="27" t="s">
        <v>1079</v>
      </c>
      <c r="AO120" s="27" t="s">
        <v>1081</v>
      </c>
      <c r="AP120" s="27" t="s">
        <v>77</v>
      </c>
      <c r="AQ120" s="27" t="s">
        <v>1082</v>
      </c>
    </row>
    <row r="121" ht="15.75" customHeight="1" spans="1:43">
      <c r="A121" s="29"/>
      <c r="B121" s="29"/>
      <c r="C121" s="29"/>
      <c r="D121" s="32" t="s">
        <v>79</v>
      </c>
      <c r="E121" s="32"/>
      <c r="F121" s="32" t="s">
        <v>396</v>
      </c>
      <c r="G121" s="32"/>
      <c r="H121" s="32" t="s">
        <v>81</v>
      </c>
      <c r="I121" s="27" t="str">
        <f t="shared" si="0"/>
        <v>Liwana, Julie Anne</v>
      </c>
      <c r="J121" s="32" t="s">
        <v>1083</v>
      </c>
      <c r="K121" s="32" t="s">
        <v>992</v>
      </c>
      <c r="L121" s="33" t="s">
        <v>905</v>
      </c>
      <c r="M121" s="32" t="s">
        <v>57</v>
      </c>
      <c r="N121" s="32" t="s">
        <v>1084</v>
      </c>
      <c r="O121" s="32" t="s">
        <v>163</v>
      </c>
      <c r="P121" s="32"/>
      <c r="Q121" s="32" t="s">
        <v>1085</v>
      </c>
      <c r="R121" s="32"/>
      <c r="S121" s="31">
        <v>32718</v>
      </c>
      <c r="T121" s="88">
        <f ca="1" t="shared" si="1"/>
        <v>37</v>
      </c>
      <c r="U121" s="27"/>
      <c r="V121" s="27"/>
      <c r="W121" s="27"/>
      <c r="X121" s="27"/>
      <c r="Y121" s="98"/>
      <c r="Z121" s="27"/>
      <c r="AA121" s="31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</row>
    <row r="122" ht="15.75" customHeight="1" spans="1:43">
      <c r="A122" s="29"/>
      <c r="B122" s="29"/>
      <c r="C122" s="29"/>
      <c r="D122" s="32" t="s">
        <v>79</v>
      </c>
      <c r="E122" s="32"/>
      <c r="F122" s="32" t="s">
        <v>236</v>
      </c>
      <c r="G122" s="32"/>
      <c r="H122" s="32" t="s">
        <v>81</v>
      </c>
      <c r="I122" s="27" t="str">
        <f t="shared" si="0"/>
        <v>Lomibao, Rose</v>
      </c>
      <c r="J122" s="87" t="s">
        <v>1086</v>
      </c>
      <c r="K122" s="32" t="s">
        <v>365</v>
      </c>
      <c r="L122" s="33"/>
      <c r="M122" s="32" t="s">
        <v>57</v>
      </c>
      <c r="N122" s="32"/>
      <c r="O122" s="32"/>
      <c r="P122" s="32"/>
      <c r="Q122" s="32"/>
      <c r="R122" s="32"/>
      <c r="S122" s="31"/>
      <c r="T122" s="88" t="str">
        <f ca="1" t="shared" si="1"/>
        <v/>
      </c>
      <c r="U122" s="27"/>
      <c r="V122" s="27"/>
      <c r="W122" s="27"/>
      <c r="X122" s="27"/>
      <c r="Y122" s="98"/>
      <c r="Z122" s="27"/>
      <c r="AA122" s="31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</row>
    <row r="123" ht="15.75" customHeight="1" spans="1:43">
      <c r="A123" s="29"/>
      <c r="B123" s="29"/>
      <c r="C123" s="29"/>
      <c r="D123" s="32" t="s">
        <v>79</v>
      </c>
      <c r="E123" s="32"/>
      <c r="F123" s="32" t="s">
        <v>196</v>
      </c>
      <c r="G123" s="32"/>
      <c r="H123" s="32" t="s">
        <v>81</v>
      </c>
      <c r="I123" s="27" t="str">
        <f t="shared" si="0"/>
        <v>Mabanglo, Jocelyn</v>
      </c>
      <c r="J123" s="32" t="s">
        <v>1087</v>
      </c>
      <c r="K123" s="32" t="s">
        <v>128</v>
      </c>
      <c r="L123" s="33"/>
      <c r="M123" s="32" t="s">
        <v>57</v>
      </c>
      <c r="N123" s="32"/>
      <c r="O123" s="32" t="s">
        <v>1088</v>
      </c>
      <c r="P123" s="32"/>
      <c r="Q123" s="32" t="s">
        <v>1089</v>
      </c>
      <c r="R123" s="32"/>
      <c r="S123" s="31">
        <v>29568</v>
      </c>
      <c r="T123" s="88">
        <f ca="1" t="shared" si="1"/>
        <v>45</v>
      </c>
      <c r="U123" s="27"/>
      <c r="V123" s="27"/>
      <c r="W123" s="27"/>
      <c r="X123" s="27"/>
      <c r="Y123" s="98"/>
      <c r="Z123" s="27"/>
      <c r="AA123" s="31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</row>
    <row r="124" ht="15.75" customHeight="1" spans="1:43">
      <c r="A124" s="29"/>
      <c r="B124" s="29"/>
      <c r="C124" s="29"/>
      <c r="D124" s="32" t="s">
        <v>51</v>
      </c>
      <c r="E124" s="32"/>
      <c r="F124" s="32" t="s">
        <v>196</v>
      </c>
      <c r="G124" s="32"/>
      <c r="H124" s="32" t="s">
        <v>81</v>
      </c>
      <c r="I124" s="27" t="str">
        <f t="shared" si="0"/>
        <v>Mabanglo, Mary</v>
      </c>
      <c r="J124" s="32" t="s">
        <v>1087</v>
      </c>
      <c r="K124" s="32" t="s">
        <v>1090</v>
      </c>
      <c r="L124" s="33"/>
      <c r="M124" s="32" t="s">
        <v>57</v>
      </c>
      <c r="N124" s="32" t="s">
        <v>1091</v>
      </c>
      <c r="O124" s="32" t="s">
        <v>1088</v>
      </c>
      <c r="P124" s="32" t="s">
        <v>1092</v>
      </c>
      <c r="Q124" s="32" t="s">
        <v>1093</v>
      </c>
      <c r="R124" s="32"/>
      <c r="S124" s="31">
        <v>17670</v>
      </c>
      <c r="T124" s="88">
        <f ca="1" t="shared" si="1"/>
        <v>78</v>
      </c>
      <c r="U124" s="27" t="s">
        <v>1094</v>
      </c>
      <c r="V124" s="27" t="s">
        <v>1095</v>
      </c>
      <c r="W124" s="27" t="s">
        <v>1096</v>
      </c>
      <c r="X124" s="27" t="s">
        <v>51</v>
      </c>
      <c r="Y124" s="98"/>
      <c r="Z124" s="27"/>
      <c r="AA124" s="31"/>
      <c r="AB124" s="27" t="s">
        <v>121</v>
      </c>
      <c r="AC124" s="27" t="s">
        <v>514</v>
      </c>
      <c r="AD124" s="27"/>
      <c r="AE124" s="27" t="s">
        <v>1097</v>
      </c>
      <c r="AF124" s="27" t="s">
        <v>1097</v>
      </c>
      <c r="AG124" s="27"/>
      <c r="AH124" s="27"/>
      <c r="AI124" s="27"/>
      <c r="AJ124" s="27" t="s">
        <v>1098</v>
      </c>
      <c r="AK124" s="27"/>
      <c r="AL124" s="27" t="s">
        <v>157</v>
      </c>
      <c r="AM124" s="27" t="s">
        <v>157</v>
      </c>
      <c r="AN124" s="27" t="s">
        <v>1099</v>
      </c>
      <c r="AO124" s="27" t="s">
        <v>1100</v>
      </c>
      <c r="AP124" s="27" t="s">
        <v>931</v>
      </c>
      <c r="AQ124" s="27" t="s">
        <v>1093</v>
      </c>
    </row>
    <row r="125" ht="15.75" customHeight="1" spans="1:43">
      <c r="A125" s="29"/>
      <c r="B125" s="29"/>
      <c r="C125" s="29"/>
      <c r="D125" s="32" t="s">
        <v>79</v>
      </c>
      <c r="E125" s="32"/>
      <c r="F125" s="32" t="s">
        <v>309</v>
      </c>
      <c r="G125" s="32"/>
      <c r="H125" s="32" t="s">
        <v>81</v>
      </c>
      <c r="I125" s="27" t="str">
        <f t="shared" si="0"/>
        <v>Macapugas, Rebecca</v>
      </c>
      <c r="J125" s="32" t="s">
        <v>1101</v>
      </c>
      <c r="K125" s="32" t="s">
        <v>882</v>
      </c>
      <c r="L125" s="33" t="s">
        <v>1102</v>
      </c>
      <c r="M125" s="32" t="s">
        <v>57</v>
      </c>
      <c r="N125" s="32"/>
      <c r="O125" s="32"/>
      <c r="P125" s="32"/>
      <c r="Q125" s="32"/>
      <c r="R125" s="32"/>
      <c r="S125" s="31"/>
      <c r="T125" s="88" t="str">
        <f ca="1" t="shared" si="1"/>
        <v/>
      </c>
      <c r="U125" s="27"/>
      <c r="V125" s="27"/>
      <c r="W125" s="27"/>
      <c r="X125" s="27"/>
      <c r="Y125" s="98"/>
      <c r="Z125" s="27"/>
      <c r="AA125" s="31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</row>
    <row r="126" ht="15.75" customHeight="1" spans="1:43">
      <c r="A126" s="29"/>
      <c r="B126" s="29"/>
      <c r="C126" s="29"/>
      <c r="D126" s="32" t="s">
        <v>79</v>
      </c>
      <c r="E126" s="32"/>
      <c r="F126" s="32" t="s">
        <v>52</v>
      </c>
      <c r="G126" s="32"/>
      <c r="H126" s="32" t="s">
        <v>81</v>
      </c>
      <c r="I126" s="27" t="str">
        <f t="shared" si="0"/>
        <v>Macapugas, Teresita</v>
      </c>
      <c r="J126" s="32" t="s">
        <v>1101</v>
      </c>
      <c r="K126" s="32" t="s">
        <v>952</v>
      </c>
      <c r="L126" s="33"/>
      <c r="M126" s="32" t="s">
        <v>57</v>
      </c>
      <c r="N126" s="32" t="s">
        <v>850</v>
      </c>
      <c r="O126" s="32" t="s">
        <v>399</v>
      </c>
      <c r="P126" s="32"/>
      <c r="Q126" s="32" t="s">
        <v>1103</v>
      </c>
      <c r="R126" s="32"/>
      <c r="S126" s="31">
        <v>24697</v>
      </c>
      <c r="T126" s="88">
        <f ca="1" t="shared" si="1"/>
        <v>59</v>
      </c>
      <c r="U126" s="27"/>
      <c r="V126" s="27"/>
      <c r="W126" s="27"/>
      <c r="X126" s="27"/>
      <c r="Y126" s="98"/>
      <c r="Z126" s="27"/>
      <c r="AA126" s="31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</row>
    <row r="127" ht="15.75" customHeight="1" spans="1:43">
      <c r="A127" s="29"/>
      <c r="B127" s="29"/>
      <c r="C127" s="29"/>
      <c r="D127" s="32" t="s">
        <v>51</v>
      </c>
      <c r="E127" s="32"/>
      <c r="F127" s="32"/>
      <c r="G127" s="32"/>
      <c r="H127" s="32"/>
      <c r="I127" s="27" t="str">
        <f t="shared" si="0"/>
        <v>Madon-ep, Naty</v>
      </c>
      <c r="J127" s="32" t="s">
        <v>1104</v>
      </c>
      <c r="K127" s="32" t="s">
        <v>1105</v>
      </c>
      <c r="L127" s="33"/>
      <c r="M127" s="32" t="s">
        <v>57</v>
      </c>
      <c r="N127" s="32">
        <v>26</v>
      </c>
      <c r="O127" s="32" t="s">
        <v>1021</v>
      </c>
      <c r="P127" s="32"/>
      <c r="Q127" s="32" t="s">
        <v>1106</v>
      </c>
      <c r="R127" s="32"/>
      <c r="S127" s="31">
        <v>20775</v>
      </c>
      <c r="T127" s="88">
        <f ca="1" t="shared" si="1"/>
        <v>69</v>
      </c>
      <c r="U127" s="27" t="s">
        <v>1107</v>
      </c>
      <c r="V127" s="27" t="s">
        <v>1108</v>
      </c>
      <c r="W127" s="27"/>
      <c r="X127" s="27"/>
      <c r="Y127" s="98"/>
      <c r="Z127" s="27"/>
      <c r="AA127" s="31"/>
      <c r="AB127" s="27"/>
      <c r="AC127" s="27" t="s">
        <v>1109</v>
      </c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</row>
    <row r="128" ht="15.75" customHeight="1" spans="1:43">
      <c r="A128" s="29"/>
      <c r="B128" s="29"/>
      <c r="C128" s="29"/>
      <c r="D128" s="32" t="s">
        <v>51</v>
      </c>
      <c r="E128" s="32"/>
      <c r="F128" s="32" t="s">
        <v>177</v>
      </c>
      <c r="G128" s="32"/>
      <c r="H128" s="32" t="s">
        <v>92</v>
      </c>
      <c r="I128" s="190" t="str">
        <f t="shared" si="0"/>
        <v>Mago, Gina</v>
      </c>
      <c r="J128" s="32" t="s">
        <v>1110</v>
      </c>
      <c r="K128" s="32" t="s">
        <v>180</v>
      </c>
      <c r="L128" s="33" t="s">
        <v>161</v>
      </c>
      <c r="M128" s="32" t="s">
        <v>57</v>
      </c>
      <c r="N128" s="32" t="s">
        <v>1111</v>
      </c>
      <c r="O128" s="32" t="s">
        <v>1112</v>
      </c>
      <c r="P128" s="32" t="s">
        <v>1113</v>
      </c>
      <c r="Q128" s="32" t="s">
        <v>1114</v>
      </c>
      <c r="R128" s="32" t="s">
        <v>1115</v>
      </c>
      <c r="S128" s="31">
        <v>24784</v>
      </c>
      <c r="T128" s="88">
        <f ca="1" t="shared" si="1"/>
        <v>58</v>
      </c>
      <c r="U128" s="27" t="s">
        <v>1116</v>
      </c>
      <c r="V128" s="27" t="s">
        <v>1117</v>
      </c>
      <c r="W128" s="27" t="s">
        <v>1118</v>
      </c>
      <c r="X128" s="27" t="s">
        <v>51</v>
      </c>
      <c r="Y128" s="232" t="s">
        <v>918</v>
      </c>
      <c r="Z128" s="27" t="s">
        <v>51</v>
      </c>
      <c r="AA128" s="233" t="s">
        <v>543</v>
      </c>
      <c r="AB128" s="27" t="s">
        <v>1119</v>
      </c>
      <c r="AC128" s="27" t="s">
        <v>1120</v>
      </c>
      <c r="AD128" s="27" t="s">
        <v>1121</v>
      </c>
      <c r="AE128" s="27" t="s">
        <v>247</v>
      </c>
      <c r="AF128" s="27" t="s">
        <v>1122</v>
      </c>
      <c r="AG128" s="27" t="s">
        <v>249</v>
      </c>
      <c r="AH128" s="27" t="s">
        <v>153</v>
      </c>
      <c r="AI128" s="27" t="s">
        <v>1123</v>
      </c>
      <c r="AJ128" s="27" t="s">
        <v>1124</v>
      </c>
      <c r="AK128" s="27" t="s">
        <v>1125</v>
      </c>
      <c r="AL128" s="27" t="s">
        <v>51</v>
      </c>
      <c r="AM128" s="27" t="s">
        <v>51</v>
      </c>
      <c r="AN128" s="27" t="s">
        <v>1124</v>
      </c>
      <c r="AO128" s="27" t="s">
        <v>1126</v>
      </c>
      <c r="AP128" s="27" t="s">
        <v>77</v>
      </c>
      <c r="AQ128" s="27" t="s">
        <v>1127</v>
      </c>
    </row>
    <row r="129" ht="15.75" customHeight="1" spans="1:43">
      <c r="A129" s="29"/>
      <c r="B129" s="180" t="s">
        <v>1128</v>
      </c>
      <c r="C129" s="29"/>
      <c r="D129" s="32" t="s">
        <v>51</v>
      </c>
      <c r="E129" s="32"/>
      <c r="F129" s="32" t="s">
        <v>85</v>
      </c>
      <c r="G129" s="32"/>
      <c r="H129" s="32" t="s">
        <v>81</v>
      </c>
      <c r="I129" s="27" t="str">
        <f t="shared" si="0"/>
        <v>Maguling, Linda</v>
      </c>
      <c r="J129" s="32" t="s">
        <v>1129</v>
      </c>
      <c r="K129" s="32" t="s">
        <v>1130</v>
      </c>
      <c r="L129" s="33"/>
      <c r="M129" s="32" t="s">
        <v>57</v>
      </c>
      <c r="N129" s="32" t="s">
        <v>1131</v>
      </c>
      <c r="O129" s="32" t="s">
        <v>1132</v>
      </c>
      <c r="P129" s="32" t="s">
        <v>1133</v>
      </c>
      <c r="Q129" s="32" t="s">
        <v>1134</v>
      </c>
      <c r="R129" s="32"/>
      <c r="S129" s="31">
        <v>22063</v>
      </c>
      <c r="T129" s="88">
        <f ca="1" t="shared" si="1"/>
        <v>66</v>
      </c>
      <c r="U129" s="27" t="s">
        <v>603</v>
      </c>
      <c r="V129" s="27" t="s">
        <v>1135</v>
      </c>
      <c r="W129" s="27" t="s">
        <v>1136</v>
      </c>
      <c r="X129" s="27" t="s">
        <v>51</v>
      </c>
      <c r="Y129" s="232" t="s">
        <v>918</v>
      </c>
      <c r="Z129" s="27" t="s">
        <v>79</v>
      </c>
      <c r="AA129" s="31"/>
      <c r="AB129" s="27" t="s">
        <v>1137</v>
      </c>
      <c r="AC129" s="27" t="s">
        <v>188</v>
      </c>
      <c r="AD129" s="27"/>
      <c r="AE129" s="27"/>
      <c r="AF129" s="27"/>
      <c r="AG129" s="27"/>
      <c r="AH129" s="27"/>
      <c r="AI129" s="27"/>
      <c r="AJ129" s="27" t="s">
        <v>1138</v>
      </c>
      <c r="AK129" s="27"/>
      <c r="AL129" s="27" t="s">
        <v>51</v>
      </c>
      <c r="AM129" s="27" t="s">
        <v>157</v>
      </c>
      <c r="AN129" s="27" t="s">
        <v>1138</v>
      </c>
      <c r="AO129" s="27" t="s">
        <v>1139</v>
      </c>
      <c r="AP129" s="27" t="s">
        <v>77</v>
      </c>
      <c r="AQ129" s="27" t="s">
        <v>1140</v>
      </c>
    </row>
    <row r="130" ht="15.75" customHeight="1" spans="1:43">
      <c r="A130" s="29"/>
      <c r="B130" s="29"/>
      <c r="C130" s="29"/>
      <c r="D130" s="32" t="s">
        <v>51</v>
      </c>
      <c r="E130" s="32"/>
      <c r="F130" s="32" t="s">
        <v>380</v>
      </c>
      <c r="G130" s="32"/>
      <c r="H130" s="32" t="s">
        <v>81</v>
      </c>
      <c r="I130" s="27" t="str">
        <f t="shared" si="0"/>
        <v>Mamac, Elizabeth</v>
      </c>
      <c r="J130" s="32" t="s">
        <v>1141</v>
      </c>
      <c r="K130" s="32" t="s">
        <v>421</v>
      </c>
      <c r="L130" s="33"/>
      <c r="M130" s="32" t="s">
        <v>57</v>
      </c>
      <c r="N130" s="32"/>
      <c r="O130" s="32" t="s">
        <v>600</v>
      </c>
      <c r="P130" s="32"/>
      <c r="Q130" s="32" t="s">
        <v>1142</v>
      </c>
      <c r="R130" s="32"/>
      <c r="S130" s="31">
        <v>19612</v>
      </c>
      <c r="T130" s="88">
        <f ca="1" t="shared" si="1"/>
        <v>73</v>
      </c>
      <c r="U130" s="27" t="s">
        <v>1143</v>
      </c>
      <c r="V130" s="27" t="s">
        <v>1144</v>
      </c>
      <c r="W130" s="27" t="s">
        <v>1145</v>
      </c>
      <c r="X130" s="27" t="s">
        <v>51</v>
      </c>
      <c r="Y130" s="232" t="s">
        <v>1146</v>
      </c>
      <c r="Z130" s="27" t="s">
        <v>51</v>
      </c>
      <c r="AA130" s="233" t="s">
        <v>1147</v>
      </c>
      <c r="AB130" s="27" t="s">
        <v>121</v>
      </c>
      <c r="AC130" s="27" t="s">
        <v>1148</v>
      </c>
      <c r="AD130" s="27"/>
      <c r="AE130" s="27"/>
      <c r="AF130" s="27"/>
      <c r="AG130" s="27"/>
      <c r="AH130" s="27"/>
      <c r="AI130" s="27" t="s">
        <v>1149</v>
      </c>
      <c r="AJ130" s="27"/>
      <c r="AK130" s="27"/>
      <c r="AL130" s="27"/>
      <c r="AM130" s="27"/>
      <c r="AN130" s="27" t="s">
        <v>1150</v>
      </c>
      <c r="AO130" s="27" t="s">
        <v>1151</v>
      </c>
      <c r="AP130" s="27" t="s">
        <v>437</v>
      </c>
      <c r="AQ130" s="27" t="s">
        <v>1152</v>
      </c>
    </row>
    <row r="131" ht="15.75" customHeight="1" spans="1:43">
      <c r="A131" s="29"/>
      <c r="B131" s="29"/>
      <c r="C131" s="29"/>
      <c r="D131" s="32" t="s">
        <v>51</v>
      </c>
      <c r="E131" s="32"/>
      <c r="F131" s="32" t="s">
        <v>85</v>
      </c>
      <c r="G131" s="32"/>
      <c r="H131" s="32" t="s">
        <v>81</v>
      </c>
      <c r="I131" s="190" t="str">
        <f t="shared" si="0"/>
        <v>Mamaril, Anie</v>
      </c>
      <c r="J131" s="32" t="s">
        <v>1153</v>
      </c>
      <c r="K131" s="32" t="s">
        <v>1154</v>
      </c>
      <c r="L131" s="33" t="s">
        <v>161</v>
      </c>
      <c r="M131" s="32" t="s">
        <v>57</v>
      </c>
      <c r="N131" s="32">
        <v>142</v>
      </c>
      <c r="O131" s="32" t="s">
        <v>1112</v>
      </c>
      <c r="P131" s="32" t="s">
        <v>1155</v>
      </c>
      <c r="Q131" s="32" t="s">
        <v>1156</v>
      </c>
      <c r="R131" s="32" t="s">
        <v>1157</v>
      </c>
      <c r="S131" s="31">
        <v>26900</v>
      </c>
      <c r="T131" s="88">
        <f ca="1" t="shared" si="1"/>
        <v>53</v>
      </c>
      <c r="U131" s="27" t="s">
        <v>1116</v>
      </c>
      <c r="V131" s="27" t="s">
        <v>1117</v>
      </c>
      <c r="W131" s="27" t="s">
        <v>1158</v>
      </c>
      <c r="X131" s="27" t="s">
        <v>51</v>
      </c>
      <c r="Y131" s="232" t="s">
        <v>1159</v>
      </c>
      <c r="Z131" s="27" t="s">
        <v>51</v>
      </c>
      <c r="AA131" s="233" t="s">
        <v>169</v>
      </c>
      <c r="AB131" s="27" t="s">
        <v>1119</v>
      </c>
      <c r="AC131" s="27" t="s">
        <v>188</v>
      </c>
      <c r="AD131" s="27" t="s">
        <v>1160</v>
      </c>
      <c r="AE131" s="27" t="s">
        <v>190</v>
      </c>
      <c r="AF131" s="27" t="s">
        <v>247</v>
      </c>
      <c r="AG131" s="27" t="s">
        <v>1161</v>
      </c>
      <c r="AH131" s="27" t="s">
        <v>1162</v>
      </c>
      <c r="AI131" s="27" t="s">
        <v>107</v>
      </c>
      <c r="AJ131" s="27" t="s">
        <v>1163</v>
      </c>
      <c r="AK131" s="27" t="s">
        <v>376</v>
      </c>
      <c r="AL131" s="27" t="s">
        <v>51</v>
      </c>
      <c r="AM131" s="27" t="s">
        <v>51</v>
      </c>
      <c r="AN131" s="27" t="s">
        <v>1164</v>
      </c>
      <c r="AO131" s="27" t="s">
        <v>1165</v>
      </c>
      <c r="AP131" s="27" t="s">
        <v>1166</v>
      </c>
      <c r="AQ131" s="27" t="s">
        <v>1167</v>
      </c>
    </row>
    <row r="132" ht="15.75" customHeight="1" spans="1:43">
      <c r="A132" s="29"/>
      <c r="B132" s="29"/>
      <c r="C132" s="29"/>
      <c r="D132" s="32" t="s">
        <v>79</v>
      </c>
      <c r="E132" s="32"/>
      <c r="F132" s="32" t="s">
        <v>85</v>
      </c>
      <c r="G132" s="32"/>
      <c r="H132" s="32" t="s">
        <v>81</v>
      </c>
      <c r="I132" s="27" t="str">
        <f t="shared" si="0"/>
        <v>Manao, Brenelyne</v>
      </c>
      <c r="J132" s="32" t="s">
        <v>1168</v>
      </c>
      <c r="K132" s="32" t="s">
        <v>1169</v>
      </c>
      <c r="L132" s="33"/>
      <c r="M132" s="32" t="s">
        <v>57</v>
      </c>
      <c r="N132" s="32"/>
      <c r="O132" s="32"/>
      <c r="P132" s="32"/>
      <c r="Q132" s="32"/>
      <c r="R132" s="32"/>
      <c r="S132" s="31"/>
      <c r="T132" s="88" t="str">
        <f ca="1" t="shared" si="1"/>
        <v/>
      </c>
      <c r="U132" s="27"/>
      <c r="V132" s="27"/>
      <c r="W132" s="27"/>
      <c r="X132" s="27"/>
      <c r="Y132" s="98"/>
      <c r="Z132" s="27"/>
      <c r="AA132" s="31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</row>
    <row r="133" ht="15.75" customHeight="1" spans="1:43">
      <c r="A133" s="29"/>
      <c r="B133" s="29"/>
      <c r="C133" s="29"/>
      <c r="D133" s="32" t="s">
        <v>51</v>
      </c>
      <c r="E133" s="32"/>
      <c r="F133" s="32" t="s">
        <v>125</v>
      </c>
      <c r="G133" s="32"/>
      <c r="H133" s="32" t="s">
        <v>81</v>
      </c>
      <c r="I133" s="27" t="str">
        <f t="shared" si="0"/>
        <v>Mangili, Evelyn</v>
      </c>
      <c r="J133" s="32" t="s">
        <v>1170</v>
      </c>
      <c r="K133" s="32" t="s">
        <v>1171</v>
      </c>
      <c r="L133" s="33" t="s">
        <v>1041</v>
      </c>
      <c r="M133" s="32" t="s">
        <v>57</v>
      </c>
      <c r="N133" s="32" t="s">
        <v>1172</v>
      </c>
      <c r="O133" s="32" t="s">
        <v>163</v>
      </c>
      <c r="P133" s="32" t="s">
        <v>1173</v>
      </c>
      <c r="Q133" s="32" t="s">
        <v>1174</v>
      </c>
      <c r="R133" s="32"/>
      <c r="S133" s="31">
        <v>25669</v>
      </c>
      <c r="T133" s="88">
        <f ca="1" t="shared" si="1"/>
        <v>56</v>
      </c>
      <c r="U133" s="27" t="s">
        <v>1175</v>
      </c>
      <c r="V133" s="27" t="s">
        <v>1176</v>
      </c>
      <c r="W133" s="27" t="s">
        <v>1177</v>
      </c>
      <c r="X133" s="27" t="s">
        <v>51</v>
      </c>
      <c r="Y133" s="98"/>
      <c r="Z133" s="27" t="s">
        <v>51</v>
      </c>
      <c r="AA133" s="31"/>
      <c r="AB133" s="27" t="s">
        <v>121</v>
      </c>
      <c r="AC133" s="27" t="s">
        <v>230</v>
      </c>
      <c r="AD133" s="27" t="s">
        <v>1178</v>
      </c>
      <c r="AE133" s="27" t="s">
        <v>1097</v>
      </c>
      <c r="AF133" s="27"/>
      <c r="AG133" s="27"/>
      <c r="AH133" s="27"/>
      <c r="AI133" s="27"/>
      <c r="AJ133" s="27" t="s">
        <v>1179</v>
      </c>
      <c r="AK133" s="27" t="s">
        <v>720</v>
      </c>
      <c r="AL133" s="27" t="s">
        <v>157</v>
      </c>
      <c r="AM133" s="27" t="s">
        <v>157</v>
      </c>
      <c r="AN133" s="27" t="s">
        <v>1180</v>
      </c>
      <c r="AO133" s="27" t="s">
        <v>1181</v>
      </c>
      <c r="AP133" s="27" t="s">
        <v>437</v>
      </c>
      <c r="AQ133" s="27" t="s">
        <v>1182</v>
      </c>
    </row>
    <row r="134" ht="15.75" customHeight="1" spans="1:43">
      <c r="A134" s="29"/>
      <c r="B134" s="29"/>
      <c r="C134" s="29"/>
      <c r="D134" s="32" t="s">
        <v>79</v>
      </c>
      <c r="E134" s="32"/>
      <c r="F134" s="32" t="s">
        <v>236</v>
      </c>
      <c r="G134" s="32"/>
      <c r="H134" s="32" t="s">
        <v>53</v>
      </c>
      <c r="I134" s="27" t="str">
        <f t="shared" si="0"/>
        <v>Masegman, Dinah</v>
      </c>
      <c r="J134" s="32" t="s">
        <v>1183</v>
      </c>
      <c r="K134" s="32" t="s">
        <v>1184</v>
      </c>
      <c r="L134" s="33"/>
      <c r="M134" s="32" t="s">
        <v>57</v>
      </c>
      <c r="N134" s="32" t="s">
        <v>1185</v>
      </c>
      <c r="O134" s="32" t="s">
        <v>258</v>
      </c>
      <c r="P134" s="32"/>
      <c r="Q134" s="32" t="s">
        <v>1186</v>
      </c>
      <c r="R134" s="32"/>
      <c r="S134" s="31">
        <v>27906</v>
      </c>
      <c r="T134" s="88">
        <f ca="1" t="shared" si="1"/>
        <v>50</v>
      </c>
      <c r="U134" s="27"/>
      <c r="V134" s="27"/>
      <c r="W134" s="27"/>
      <c r="X134" s="27"/>
      <c r="Y134" s="98"/>
      <c r="Z134" s="27"/>
      <c r="AA134" s="31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</row>
    <row r="135" ht="15.75" customHeight="1" spans="1:43">
      <c r="A135" s="29"/>
      <c r="B135" s="29"/>
      <c r="C135" s="29"/>
      <c r="D135" s="32" t="s">
        <v>79</v>
      </c>
      <c r="E135" s="32"/>
      <c r="F135" s="32" t="s">
        <v>91</v>
      </c>
      <c r="G135" s="32"/>
      <c r="H135" s="32" t="s">
        <v>81</v>
      </c>
      <c r="I135" s="27" t="str">
        <f t="shared" si="0"/>
        <v>Mata, Arlen</v>
      </c>
      <c r="J135" s="32" t="s">
        <v>1187</v>
      </c>
      <c r="K135" s="32" t="s">
        <v>1188</v>
      </c>
      <c r="L135" s="33"/>
      <c r="M135" s="32" t="s">
        <v>57</v>
      </c>
      <c r="N135" s="32"/>
      <c r="O135" s="32"/>
      <c r="P135" s="32"/>
      <c r="Q135" s="32"/>
      <c r="R135" s="32"/>
      <c r="S135" s="31"/>
      <c r="T135" s="88" t="str">
        <f ca="1" t="shared" si="1"/>
        <v/>
      </c>
      <c r="U135" s="27"/>
      <c r="V135" s="27"/>
      <c r="W135" s="27"/>
      <c r="X135" s="27"/>
      <c r="Y135" s="98"/>
      <c r="Z135" s="27"/>
      <c r="AA135" s="31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</row>
    <row r="136" ht="15.75" customHeight="1" spans="1:43">
      <c r="A136" s="29"/>
      <c r="B136" s="29"/>
      <c r="C136" s="29"/>
      <c r="D136" s="32" t="s">
        <v>51</v>
      </c>
      <c r="E136" s="32"/>
      <c r="F136" s="32" t="s">
        <v>125</v>
      </c>
      <c r="G136" s="32"/>
      <c r="H136" s="32" t="s">
        <v>81</v>
      </c>
      <c r="I136" s="190" t="str">
        <f t="shared" si="0"/>
        <v>Matias, Remedios</v>
      </c>
      <c r="J136" s="209" t="s">
        <v>1189</v>
      </c>
      <c r="K136" s="32" t="s">
        <v>1190</v>
      </c>
      <c r="L136" s="33" t="s">
        <v>1191</v>
      </c>
      <c r="M136" s="32" t="s">
        <v>57</v>
      </c>
      <c r="N136" s="32" t="s">
        <v>1192</v>
      </c>
      <c r="O136" s="32" t="s">
        <v>59</v>
      </c>
      <c r="P136" s="32" t="s">
        <v>1193</v>
      </c>
      <c r="Q136" s="32" t="s">
        <v>1194</v>
      </c>
      <c r="R136" s="32"/>
      <c r="S136" s="31">
        <v>20201</v>
      </c>
      <c r="T136" s="88">
        <f ca="1" t="shared" si="1"/>
        <v>71</v>
      </c>
      <c r="U136" s="27" t="s">
        <v>1195</v>
      </c>
      <c r="V136" s="27" t="s">
        <v>1196</v>
      </c>
      <c r="W136" s="27" t="s">
        <v>1197</v>
      </c>
      <c r="X136" s="27" t="s">
        <v>51</v>
      </c>
      <c r="Y136" s="232" t="s">
        <v>1198</v>
      </c>
      <c r="Z136" s="27" t="s">
        <v>51</v>
      </c>
      <c r="AA136" s="233" t="s">
        <v>1199</v>
      </c>
      <c r="AB136" s="27" t="s">
        <v>121</v>
      </c>
      <c r="AC136" s="27" t="s">
        <v>944</v>
      </c>
      <c r="AD136" s="27"/>
      <c r="AE136" s="27"/>
      <c r="AF136" s="27" t="s">
        <v>1200</v>
      </c>
      <c r="AG136" s="27" t="s">
        <v>249</v>
      </c>
      <c r="AH136" s="27"/>
      <c r="AI136" s="27"/>
      <c r="AJ136" s="27" t="s">
        <v>1201</v>
      </c>
      <c r="AK136" s="27"/>
      <c r="AL136" s="27" t="s">
        <v>51</v>
      </c>
      <c r="AM136" s="27" t="s">
        <v>51</v>
      </c>
      <c r="AN136" s="27" t="s">
        <v>1201</v>
      </c>
      <c r="AO136" s="27" t="s">
        <v>1202</v>
      </c>
      <c r="AP136" s="27" t="s">
        <v>77</v>
      </c>
      <c r="AQ136" s="27" t="s">
        <v>1203</v>
      </c>
    </row>
    <row r="137" ht="15.75" customHeight="1" spans="1:43">
      <c r="A137" s="29"/>
      <c r="B137" s="29"/>
      <c r="C137" s="29"/>
      <c r="D137" s="32" t="s">
        <v>79</v>
      </c>
      <c r="E137" s="32"/>
      <c r="F137" s="32" t="s">
        <v>566</v>
      </c>
      <c r="G137" s="32"/>
      <c r="H137" s="32" t="s">
        <v>81</v>
      </c>
      <c r="I137" s="27" t="str">
        <f t="shared" si="0"/>
        <v>Minog, Lucena</v>
      </c>
      <c r="J137" s="32" t="s">
        <v>1204</v>
      </c>
      <c r="K137" s="32" t="s">
        <v>1205</v>
      </c>
      <c r="L137" s="33"/>
      <c r="M137" s="32" t="s">
        <v>57</v>
      </c>
      <c r="N137" s="29">
        <v>33</v>
      </c>
      <c r="O137" s="189" t="s">
        <v>1206</v>
      </c>
      <c r="P137" s="32"/>
      <c r="Q137" s="32" t="s">
        <v>1207</v>
      </c>
      <c r="R137" s="32"/>
      <c r="S137" s="31">
        <v>22255</v>
      </c>
      <c r="T137" s="88">
        <f ca="1" t="shared" si="1"/>
        <v>65</v>
      </c>
      <c r="U137" s="27"/>
      <c r="V137" s="27"/>
      <c r="W137" s="27"/>
      <c r="X137" s="27"/>
      <c r="Y137" s="98"/>
      <c r="Z137" s="27"/>
      <c r="AA137" s="31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</row>
    <row r="138" ht="15.75" customHeight="1" spans="1:43">
      <c r="A138" s="29"/>
      <c r="B138" s="29"/>
      <c r="C138" s="29"/>
      <c r="D138" s="32" t="s">
        <v>51</v>
      </c>
      <c r="E138" s="32"/>
      <c r="F138" s="32" t="s">
        <v>125</v>
      </c>
      <c r="G138" s="32"/>
      <c r="H138" s="32" t="s">
        <v>81</v>
      </c>
      <c r="I138" s="27" t="str">
        <f t="shared" si="0"/>
        <v>Misa, Elena</v>
      </c>
      <c r="J138" s="32" t="s">
        <v>1208</v>
      </c>
      <c r="K138" s="32" t="s">
        <v>1209</v>
      </c>
      <c r="L138" s="33" t="s">
        <v>161</v>
      </c>
      <c r="M138" s="32" t="s">
        <v>57</v>
      </c>
      <c r="N138" s="32" t="s">
        <v>1210</v>
      </c>
      <c r="O138" s="32" t="s">
        <v>1211</v>
      </c>
      <c r="P138" s="32"/>
      <c r="Q138" s="32" t="s">
        <v>1212</v>
      </c>
      <c r="R138" s="32"/>
      <c r="S138" s="31">
        <v>19667</v>
      </c>
      <c r="T138" s="88">
        <f ca="1" t="shared" si="1"/>
        <v>72</v>
      </c>
      <c r="U138" s="27" t="s">
        <v>123</v>
      </c>
      <c r="V138" s="27"/>
      <c r="W138" s="27"/>
      <c r="X138" s="27" t="s">
        <v>51</v>
      </c>
      <c r="Y138" s="232" t="s">
        <v>1213</v>
      </c>
      <c r="Z138" s="27" t="s">
        <v>51</v>
      </c>
      <c r="AA138" s="31"/>
      <c r="AB138" s="27" t="s">
        <v>121</v>
      </c>
      <c r="AC138" s="27" t="s">
        <v>230</v>
      </c>
      <c r="AD138" s="27"/>
      <c r="AE138" s="27"/>
      <c r="AF138" s="27" t="s">
        <v>190</v>
      </c>
      <c r="AG138" s="27"/>
      <c r="AH138" s="27"/>
      <c r="AI138" s="27"/>
      <c r="AJ138" s="27" t="s">
        <v>1214</v>
      </c>
      <c r="AK138" s="27"/>
      <c r="AL138" s="27" t="s">
        <v>51</v>
      </c>
      <c r="AM138" s="27" t="s">
        <v>51</v>
      </c>
      <c r="AN138" s="27" t="s">
        <v>1215</v>
      </c>
      <c r="AO138" s="27" t="s">
        <v>1016</v>
      </c>
      <c r="AP138" s="27" t="s">
        <v>219</v>
      </c>
      <c r="AQ138" s="27" t="s">
        <v>1216</v>
      </c>
    </row>
    <row r="139" ht="15.75" customHeight="1" spans="1:43">
      <c r="A139" s="29"/>
      <c r="B139" s="29"/>
      <c r="C139" s="29"/>
      <c r="D139" s="32" t="s">
        <v>79</v>
      </c>
      <c r="E139" s="32"/>
      <c r="F139" s="32" t="s">
        <v>125</v>
      </c>
      <c r="G139" s="32"/>
      <c r="H139" s="32" t="s">
        <v>81</v>
      </c>
      <c r="I139" s="27" t="str">
        <f t="shared" si="0"/>
        <v>Misa, Janice</v>
      </c>
      <c r="J139" s="32" t="s">
        <v>1208</v>
      </c>
      <c r="K139" s="32" t="s">
        <v>1217</v>
      </c>
      <c r="L139" s="33"/>
      <c r="M139" s="32" t="s">
        <v>57</v>
      </c>
      <c r="N139" s="32"/>
      <c r="O139" s="32"/>
      <c r="P139" s="32"/>
      <c r="Q139" s="32"/>
      <c r="R139" s="32"/>
      <c r="S139" s="31"/>
      <c r="T139" s="88" t="str">
        <f ca="1" t="shared" si="1"/>
        <v/>
      </c>
      <c r="U139" s="27"/>
      <c r="V139" s="27"/>
      <c r="W139" s="27"/>
      <c r="X139" s="27"/>
      <c r="Y139" s="98"/>
      <c r="Z139" s="27"/>
      <c r="AA139" s="31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</row>
    <row r="140" ht="15.75" customHeight="1" spans="1:43">
      <c r="A140" s="29"/>
      <c r="B140" s="29"/>
      <c r="C140" s="29"/>
      <c r="D140" s="32" t="s">
        <v>51</v>
      </c>
      <c r="E140" s="32"/>
      <c r="F140" s="32" t="s">
        <v>125</v>
      </c>
      <c r="G140" s="32"/>
      <c r="H140" s="32" t="s">
        <v>92</v>
      </c>
      <c r="I140" s="27" t="str">
        <f t="shared" si="0"/>
        <v>Moran, Aniceta</v>
      </c>
      <c r="J140" s="32" t="s">
        <v>1218</v>
      </c>
      <c r="K140" s="32" t="s">
        <v>1219</v>
      </c>
      <c r="L140" s="33" t="s">
        <v>1220</v>
      </c>
      <c r="M140" s="32" t="s">
        <v>57</v>
      </c>
      <c r="N140" s="32" t="s">
        <v>1221</v>
      </c>
      <c r="O140" s="32" t="s">
        <v>1222</v>
      </c>
      <c r="P140" s="32"/>
      <c r="Q140" s="32" t="s">
        <v>1223</v>
      </c>
      <c r="R140" s="32"/>
      <c r="S140" s="31">
        <v>22042</v>
      </c>
      <c r="T140" s="88">
        <f ca="1" t="shared" si="1"/>
        <v>66</v>
      </c>
      <c r="U140" s="27" t="s">
        <v>1224</v>
      </c>
      <c r="V140" s="27" t="s">
        <v>1225</v>
      </c>
      <c r="W140" s="27" t="s">
        <v>1226</v>
      </c>
      <c r="X140" s="27" t="s">
        <v>51</v>
      </c>
      <c r="Y140" s="232" t="s">
        <v>1227</v>
      </c>
      <c r="Z140" s="27" t="s">
        <v>51</v>
      </c>
      <c r="AA140" s="31"/>
      <c r="AB140" s="27" t="s">
        <v>1228</v>
      </c>
      <c r="AC140" s="27" t="s">
        <v>1229</v>
      </c>
      <c r="AD140" s="27"/>
      <c r="AE140" s="27"/>
      <c r="AF140" s="27" t="s">
        <v>1230</v>
      </c>
      <c r="AG140" s="27" t="s">
        <v>249</v>
      </c>
      <c r="AH140" s="27" t="s">
        <v>561</v>
      </c>
      <c r="AI140" s="27"/>
      <c r="AJ140" s="27" t="s">
        <v>1231</v>
      </c>
      <c r="AK140" s="27"/>
      <c r="AL140" s="27" t="s">
        <v>157</v>
      </c>
      <c r="AM140" s="27"/>
      <c r="AN140" s="27" t="s">
        <v>1232</v>
      </c>
      <c r="AO140" s="27" t="s">
        <v>1233</v>
      </c>
      <c r="AP140" s="27" t="s">
        <v>219</v>
      </c>
      <c r="AQ140" s="27" t="s">
        <v>1234</v>
      </c>
    </row>
    <row r="141" ht="15.75" customHeight="1" spans="1:43">
      <c r="A141" s="29"/>
      <c r="B141" s="29"/>
      <c r="C141" s="29"/>
      <c r="D141" s="32" t="s">
        <v>51</v>
      </c>
      <c r="E141" s="32"/>
      <c r="F141" s="32" t="s">
        <v>52</v>
      </c>
      <c r="G141" s="32"/>
      <c r="H141" s="32" t="s">
        <v>126</v>
      </c>
      <c r="I141" s="27" t="str">
        <f t="shared" si="0"/>
        <v>Mugot, Evangelina</v>
      </c>
      <c r="J141" s="32" t="s">
        <v>1235</v>
      </c>
      <c r="K141" s="32" t="s">
        <v>1236</v>
      </c>
      <c r="L141" s="33"/>
      <c r="M141" s="32" t="s">
        <v>57</v>
      </c>
      <c r="N141" s="32" t="s">
        <v>1237</v>
      </c>
      <c r="O141" s="32" t="s">
        <v>96</v>
      </c>
      <c r="P141" s="32"/>
      <c r="Q141" s="32" t="s">
        <v>1238</v>
      </c>
      <c r="R141" s="32"/>
      <c r="S141" s="31">
        <v>17752</v>
      </c>
      <c r="T141" s="88">
        <f ca="1" t="shared" si="1"/>
        <v>78</v>
      </c>
      <c r="U141" s="27" t="s">
        <v>1239</v>
      </c>
      <c r="V141" s="27" t="s">
        <v>1240</v>
      </c>
      <c r="W141" s="27" t="s">
        <v>1241</v>
      </c>
      <c r="X141" s="27" t="s">
        <v>51</v>
      </c>
      <c r="Y141" s="232" t="s">
        <v>1242</v>
      </c>
      <c r="Z141" s="27" t="s">
        <v>51</v>
      </c>
      <c r="AA141" s="31"/>
      <c r="AB141" s="27" t="s">
        <v>485</v>
      </c>
      <c r="AC141" s="27" t="s">
        <v>230</v>
      </c>
      <c r="AD141" s="27"/>
      <c r="AE141" s="27" t="s">
        <v>319</v>
      </c>
      <c r="AF141" s="27" t="s">
        <v>105</v>
      </c>
      <c r="AG141" s="27"/>
      <c r="AH141" s="27"/>
      <c r="AI141" s="27"/>
      <c r="AJ141" s="27" t="s">
        <v>1243</v>
      </c>
      <c r="AK141" s="27"/>
      <c r="AL141" s="27" t="s">
        <v>157</v>
      </c>
      <c r="AM141" s="27" t="s">
        <v>157</v>
      </c>
      <c r="AN141" s="27" t="s">
        <v>1244</v>
      </c>
      <c r="AO141" s="27" t="s">
        <v>1237</v>
      </c>
      <c r="AP141" s="27" t="s">
        <v>219</v>
      </c>
      <c r="AQ141" s="27" t="s">
        <v>1245</v>
      </c>
    </row>
    <row r="142" ht="15.75" customHeight="1" spans="1:43">
      <c r="A142" s="29"/>
      <c r="B142" s="29"/>
      <c r="C142" s="29"/>
      <c r="D142" s="32" t="s">
        <v>51</v>
      </c>
      <c r="E142" s="32"/>
      <c r="F142" s="32" t="s">
        <v>196</v>
      </c>
      <c r="G142" s="32"/>
      <c r="H142" s="32" t="s">
        <v>81</v>
      </c>
      <c r="I142" s="27" t="str">
        <f t="shared" si="0"/>
        <v>Naimes, Melecia</v>
      </c>
      <c r="J142" s="32" t="s">
        <v>1246</v>
      </c>
      <c r="K142" s="32" t="s">
        <v>1247</v>
      </c>
      <c r="L142" s="33" t="s">
        <v>458</v>
      </c>
      <c r="M142" s="32" t="s">
        <v>57</v>
      </c>
      <c r="N142" s="32" t="s">
        <v>1248</v>
      </c>
      <c r="O142" s="32" t="s">
        <v>193</v>
      </c>
      <c r="P142" s="32"/>
      <c r="Q142" s="32" t="s">
        <v>195</v>
      </c>
      <c r="R142" s="32"/>
      <c r="S142" s="31">
        <v>25588</v>
      </c>
      <c r="T142" s="88">
        <f ca="1" t="shared" si="1"/>
        <v>56</v>
      </c>
      <c r="U142" s="27" t="s">
        <v>1249</v>
      </c>
      <c r="V142" s="27" t="s">
        <v>186</v>
      </c>
      <c r="W142" s="27" t="s">
        <v>187</v>
      </c>
      <c r="X142" s="27" t="s">
        <v>51</v>
      </c>
      <c r="Y142" s="232" t="s">
        <v>1250</v>
      </c>
      <c r="Z142" s="27" t="s">
        <v>51</v>
      </c>
      <c r="AA142" s="233" t="s">
        <v>1251</v>
      </c>
      <c r="AB142" s="27" t="s">
        <v>121</v>
      </c>
      <c r="AC142" s="27" t="s">
        <v>188</v>
      </c>
      <c r="AD142" s="27" t="s">
        <v>190</v>
      </c>
      <c r="AE142" s="27" t="s">
        <v>633</v>
      </c>
      <c r="AF142" s="27" t="s">
        <v>1252</v>
      </c>
      <c r="AG142" s="27" t="s">
        <v>190</v>
      </c>
      <c r="AH142" s="27"/>
      <c r="AI142" s="27"/>
      <c r="AJ142" s="27" t="s">
        <v>1253</v>
      </c>
      <c r="AK142" s="27" t="s">
        <v>190</v>
      </c>
      <c r="AL142" s="27" t="s">
        <v>51</v>
      </c>
      <c r="AM142" s="27" t="s">
        <v>51</v>
      </c>
      <c r="AN142" s="27" t="s">
        <v>1253</v>
      </c>
      <c r="AO142" s="27" t="s">
        <v>1254</v>
      </c>
      <c r="AP142" s="27" t="s">
        <v>77</v>
      </c>
      <c r="AQ142" s="27" t="s">
        <v>1255</v>
      </c>
    </row>
    <row r="143" ht="15.75" customHeight="1" spans="1:43">
      <c r="A143" s="29"/>
      <c r="B143" s="29"/>
      <c r="C143" s="29"/>
      <c r="D143" s="32" t="s">
        <v>51</v>
      </c>
      <c r="E143" s="32"/>
      <c r="F143" s="32" t="s">
        <v>91</v>
      </c>
      <c r="G143" s="32"/>
      <c r="H143" s="32" t="s">
        <v>81</v>
      </c>
      <c r="I143" s="27" t="str">
        <f t="shared" si="0"/>
        <v>Ogoy, Conchita</v>
      </c>
      <c r="J143" s="32" t="s">
        <v>1256</v>
      </c>
      <c r="K143" s="32" t="s">
        <v>1257</v>
      </c>
      <c r="L143" s="33"/>
      <c r="M143" s="32" t="s">
        <v>57</v>
      </c>
      <c r="N143" s="32" t="s">
        <v>1091</v>
      </c>
      <c r="O143" s="32" t="s">
        <v>1088</v>
      </c>
      <c r="P143" s="32" t="s">
        <v>1258</v>
      </c>
      <c r="Q143" s="32" t="s">
        <v>1093</v>
      </c>
      <c r="R143" s="32"/>
      <c r="S143" s="31">
        <v>19971</v>
      </c>
      <c r="T143" s="88">
        <f ca="1" t="shared" si="1"/>
        <v>72</v>
      </c>
      <c r="U143" s="27" t="s">
        <v>1094</v>
      </c>
      <c r="V143" s="27" t="s">
        <v>1095</v>
      </c>
      <c r="W143" s="27" t="s">
        <v>1096</v>
      </c>
      <c r="X143" s="27" t="s">
        <v>51</v>
      </c>
      <c r="Y143" s="98"/>
      <c r="Z143" s="27" t="s">
        <v>79</v>
      </c>
      <c r="AA143" s="31"/>
      <c r="AB143" s="27" t="s">
        <v>121</v>
      </c>
      <c r="AC143" s="27" t="s">
        <v>514</v>
      </c>
      <c r="AD143" s="27"/>
      <c r="AE143" s="27" t="s">
        <v>1097</v>
      </c>
      <c r="AF143" s="27" t="s">
        <v>1097</v>
      </c>
      <c r="AG143" s="27"/>
      <c r="AH143" s="27"/>
      <c r="AI143" s="27"/>
      <c r="AJ143" s="27" t="s">
        <v>1259</v>
      </c>
      <c r="AK143" s="27" t="s">
        <v>1260</v>
      </c>
      <c r="AL143" s="27" t="s">
        <v>157</v>
      </c>
      <c r="AM143" s="27" t="s">
        <v>157</v>
      </c>
      <c r="AN143" s="27"/>
      <c r="AO143" s="27"/>
      <c r="AP143" s="27"/>
      <c r="AQ143" s="27"/>
    </row>
    <row r="144" ht="15.75" customHeight="1" spans="1:43">
      <c r="A144" s="29"/>
      <c r="B144" s="29"/>
      <c r="C144" s="29"/>
      <c r="D144" s="32" t="s">
        <v>51</v>
      </c>
      <c r="E144" s="32"/>
      <c r="F144" s="32" t="s">
        <v>85</v>
      </c>
      <c r="G144" s="32"/>
      <c r="H144" s="32" t="s">
        <v>81</v>
      </c>
      <c r="I144" s="27" t="str">
        <f t="shared" si="0"/>
        <v>Olea, Karen Gay</v>
      </c>
      <c r="J144" s="32" t="s">
        <v>1261</v>
      </c>
      <c r="K144" s="32" t="s">
        <v>1262</v>
      </c>
      <c r="L144" s="33" t="s">
        <v>1263</v>
      </c>
      <c r="M144" s="32" t="s">
        <v>57</v>
      </c>
      <c r="N144" s="32" t="s">
        <v>1264</v>
      </c>
      <c r="O144" s="32" t="s">
        <v>241</v>
      </c>
      <c r="P144" s="32" t="s">
        <v>1265</v>
      </c>
      <c r="Q144" s="32" t="s">
        <v>1266</v>
      </c>
      <c r="R144" s="32" t="s">
        <v>1267</v>
      </c>
      <c r="S144" s="31">
        <v>31197</v>
      </c>
      <c r="T144" s="88">
        <f ca="1" t="shared" si="1"/>
        <v>41</v>
      </c>
      <c r="U144" s="27" t="s">
        <v>1268</v>
      </c>
      <c r="V144" s="27" t="s">
        <v>1269</v>
      </c>
      <c r="W144" s="27" t="s">
        <v>1270</v>
      </c>
      <c r="X144" s="27" t="s">
        <v>51</v>
      </c>
      <c r="Y144" s="232" t="s">
        <v>120</v>
      </c>
      <c r="Z144" s="27" t="s">
        <v>51</v>
      </c>
      <c r="AA144" s="31"/>
      <c r="AB144" s="27"/>
      <c r="AC144" s="27" t="s">
        <v>230</v>
      </c>
      <c r="AD144" s="27" t="s">
        <v>151</v>
      </c>
      <c r="AE144" s="27"/>
      <c r="AF144" s="27"/>
      <c r="AG144" s="27"/>
      <c r="AH144" s="27"/>
      <c r="AI144" s="27"/>
      <c r="AJ144" s="27" t="s">
        <v>1271</v>
      </c>
      <c r="AK144" s="27" t="s">
        <v>1272</v>
      </c>
      <c r="AL144" s="27" t="s">
        <v>51</v>
      </c>
      <c r="AM144" s="27" t="s">
        <v>51</v>
      </c>
      <c r="AN144" s="27" t="s">
        <v>1271</v>
      </c>
      <c r="AO144" s="27" t="s">
        <v>1273</v>
      </c>
      <c r="AP144" s="27"/>
      <c r="AQ144" s="27"/>
    </row>
    <row r="145" ht="15.75" customHeight="1" spans="1:43">
      <c r="A145" s="29"/>
      <c r="B145" s="29"/>
      <c r="C145" s="29"/>
      <c r="D145" s="32" t="s">
        <v>51</v>
      </c>
      <c r="E145" s="32"/>
      <c r="F145" s="32" t="s">
        <v>566</v>
      </c>
      <c r="G145" s="32"/>
      <c r="H145" s="32" t="s">
        <v>81</v>
      </c>
      <c r="I145" s="27" t="str">
        <f t="shared" si="0"/>
        <v>Orcullo, Ellen</v>
      </c>
      <c r="J145" s="32" t="s">
        <v>1274</v>
      </c>
      <c r="K145" s="32" t="s">
        <v>671</v>
      </c>
      <c r="L145" s="33"/>
      <c r="M145" s="32" t="s">
        <v>57</v>
      </c>
      <c r="N145" s="32" t="s">
        <v>1275</v>
      </c>
      <c r="O145" s="32" t="s">
        <v>1276</v>
      </c>
      <c r="P145" s="32" t="s">
        <v>1277</v>
      </c>
      <c r="Q145" s="32" t="s">
        <v>1278</v>
      </c>
      <c r="R145" s="32"/>
      <c r="S145" s="31">
        <v>26308</v>
      </c>
      <c r="T145" s="88">
        <f ca="1" t="shared" si="1"/>
        <v>54</v>
      </c>
      <c r="U145" s="27" t="s">
        <v>1279</v>
      </c>
      <c r="V145" s="27" t="s">
        <v>1280</v>
      </c>
      <c r="W145" s="27" t="s">
        <v>1281</v>
      </c>
      <c r="X145" s="27"/>
      <c r="Y145" s="98"/>
      <c r="Z145" s="27"/>
      <c r="AA145" s="31"/>
      <c r="AB145" s="27" t="s">
        <v>121</v>
      </c>
      <c r="AC145" s="27" t="s">
        <v>188</v>
      </c>
      <c r="AD145" s="27" t="s">
        <v>104</v>
      </c>
      <c r="AE145" s="27" t="s">
        <v>1097</v>
      </c>
      <c r="AF145" s="27"/>
      <c r="AG145" s="27" t="s">
        <v>268</v>
      </c>
      <c r="AH145" s="27" t="s">
        <v>153</v>
      </c>
      <c r="AI145" s="27" t="s">
        <v>154</v>
      </c>
      <c r="AJ145" s="27" t="s">
        <v>1282</v>
      </c>
      <c r="AK145" s="27"/>
      <c r="AL145" s="27" t="s">
        <v>51</v>
      </c>
      <c r="AM145" s="27" t="s">
        <v>51</v>
      </c>
      <c r="AN145" s="27" t="s">
        <v>1283</v>
      </c>
      <c r="AO145" s="27" t="s">
        <v>1284</v>
      </c>
      <c r="AP145" s="27" t="s">
        <v>219</v>
      </c>
      <c r="AQ145" s="27" t="s">
        <v>1285</v>
      </c>
    </row>
    <row r="146" ht="15.75" customHeight="1" spans="1:43">
      <c r="A146" s="29"/>
      <c r="B146" s="29"/>
      <c r="C146" s="29"/>
      <c r="D146" s="32" t="s">
        <v>79</v>
      </c>
      <c r="E146" s="32"/>
      <c r="F146" s="32" t="s">
        <v>125</v>
      </c>
      <c r="G146" s="32"/>
      <c r="H146" s="32" t="s">
        <v>81</v>
      </c>
      <c r="I146" s="27" t="str">
        <f t="shared" si="0"/>
        <v>Orowan, Marlyn</v>
      </c>
      <c r="J146" s="32" t="s">
        <v>1286</v>
      </c>
      <c r="K146" s="32" t="s">
        <v>647</v>
      </c>
      <c r="L146" s="33"/>
      <c r="M146" s="32" t="s">
        <v>57</v>
      </c>
      <c r="N146" s="32"/>
      <c r="O146" s="32"/>
      <c r="P146" s="32"/>
      <c r="Q146" s="32"/>
      <c r="R146" s="32"/>
      <c r="S146" s="31"/>
      <c r="T146" s="88" t="str">
        <f ca="1" t="shared" si="1"/>
        <v/>
      </c>
      <c r="U146" s="27"/>
      <c r="V146" s="27"/>
      <c r="W146" s="27"/>
      <c r="X146" s="27"/>
      <c r="Y146" s="98"/>
      <c r="Z146" s="27"/>
      <c r="AA146" s="31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</row>
    <row r="147" ht="15.75" customHeight="1" spans="1:43">
      <c r="A147" s="29"/>
      <c r="B147" s="29"/>
      <c r="C147" s="29"/>
      <c r="D147" s="32" t="s">
        <v>79</v>
      </c>
      <c r="E147" s="32"/>
      <c r="F147" s="32" t="s">
        <v>380</v>
      </c>
      <c r="G147" s="32"/>
      <c r="H147" s="32" t="s">
        <v>81</v>
      </c>
      <c r="I147" s="27" t="str">
        <f t="shared" si="0"/>
        <v>Ortiz, Premitiva</v>
      </c>
      <c r="J147" s="32" t="s">
        <v>1287</v>
      </c>
      <c r="K147" s="32" t="s">
        <v>1288</v>
      </c>
      <c r="L147" s="33"/>
      <c r="M147" s="32" t="s">
        <v>57</v>
      </c>
      <c r="N147" s="32"/>
      <c r="O147" s="32"/>
      <c r="P147" s="32"/>
      <c r="Q147" s="32"/>
      <c r="R147" s="32"/>
      <c r="S147" s="31"/>
      <c r="T147" s="88" t="str">
        <f ca="1" t="shared" si="1"/>
        <v/>
      </c>
      <c r="U147" s="27"/>
      <c r="V147" s="27"/>
      <c r="W147" s="27"/>
      <c r="X147" s="27"/>
      <c r="Y147" s="98"/>
      <c r="Z147" s="27"/>
      <c r="AA147" s="31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</row>
    <row r="148" ht="15.75" customHeight="1" spans="1:43">
      <c r="A148" s="29"/>
      <c r="B148" s="29"/>
      <c r="C148" s="29"/>
      <c r="D148" s="32" t="s">
        <v>51</v>
      </c>
      <c r="E148" s="32"/>
      <c r="F148" s="32" t="s">
        <v>196</v>
      </c>
      <c r="G148" s="32"/>
      <c r="H148" s="32" t="s">
        <v>81</v>
      </c>
      <c r="I148" s="27" t="str">
        <f t="shared" si="0"/>
        <v>Pacsi, Maricel</v>
      </c>
      <c r="J148" s="32" t="s">
        <v>1289</v>
      </c>
      <c r="K148" s="32" t="s">
        <v>1290</v>
      </c>
      <c r="L148" s="33" t="s">
        <v>493</v>
      </c>
      <c r="M148" s="32" t="s">
        <v>57</v>
      </c>
      <c r="N148" s="32" t="s">
        <v>1291</v>
      </c>
      <c r="O148" s="32" t="s">
        <v>1292</v>
      </c>
      <c r="P148" s="32" t="s">
        <v>1293</v>
      </c>
      <c r="Q148" s="32" t="s">
        <v>1294</v>
      </c>
      <c r="R148" s="32" t="s">
        <v>1295</v>
      </c>
      <c r="S148" s="31">
        <v>30697</v>
      </c>
      <c r="T148" s="88">
        <f ca="1" t="shared" si="1"/>
        <v>42</v>
      </c>
      <c r="U148" s="27" t="s">
        <v>1296</v>
      </c>
      <c r="V148" s="27" t="s">
        <v>1297</v>
      </c>
      <c r="W148" s="27" t="s">
        <v>1298</v>
      </c>
      <c r="X148" s="27" t="s">
        <v>51</v>
      </c>
      <c r="Y148" s="232" t="s">
        <v>927</v>
      </c>
      <c r="Z148" s="27" t="s">
        <v>51</v>
      </c>
      <c r="AA148" s="31"/>
      <c r="AB148" s="27"/>
      <c r="AC148" s="27" t="s">
        <v>188</v>
      </c>
      <c r="AD148" s="27" t="s">
        <v>1299</v>
      </c>
      <c r="AE148" s="27" t="s">
        <v>247</v>
      </c>
      <c r="AF148" s="27"/>
      <c r="AG148" s="27" t="s">
        <v>268</v>
      </c>
      <c r="AH148" s="27"/>
      <c r="AI148" s="27"/>
      <c r="AJ148" s="27" t="s">
        <v>1300</v>
      </c>
      <c r="AK148" s="27" t="s">
        <v>1301</v>
      </c>
      <c r="AL148" s="27" t="s">
        <v>51</v>
      </c>
      <c r="AM148" s="27" t="s">
        <v>51</v>
      </c>
      <c r="AN148" s="27" t="s">
        <v>1300</v>
      </c>
      <c r="AO148" s="27" t="s">
        <v>1302</v>
      </c>
      <c r="AP148" s="27" t="s">
        <v>77</v>
      </c>
      <c r="AQ148" s="27" t="s">
        <v>1303</v>
      </c>
    </row>
    <row r="149" ht="15.75" customHeight="1" spans="1:43">
      <c r="A149" s="29"/>
      <c r="B149" s="29"/>
      <c r="C149" s="29"/>
      <c r="D149" s="32" t="s">
        <v>51</v>
      </c>
      <c r="E149" s="32"/>
      <c r="F149" s="32"/>
      <c r="G149" s="32"/>
      <c r="H149" s="32"/>
      <c r="I149" s="27" t="str">
        <f t="shared" si="0"/>
        <v>Palque, Nene</v>
      </c>
      <c r="J149" s="32" t="s">
        <v>1304</v>
      </c>
      <c r="K149" s="32" t="s">
        <v>1305</v>
      </c>
      <c r="L149" s="33" t="s">
        <v>1306</v>
      </c>
      <c r="M149" s="32" t="s">
        <v>57</v>
      </c>
      <c r="N149" s="32">
        <v>1530</v>
      </c>
      <c r="O149" s="32" t="s">
        <v>1307</v>
      </c>
      <c r="P149" s="32" t="s">
        <v>368</v>
      </c>
      <c r="Q149" s="32" t="s">
        <v>1308</v>
      </c>
      <c r="R149" s="32"/>
      <c r="S149" s="31">
        <v>20174</v>
      </c>
      <c r="T149" s="88">
        <f ca="1" t="shared" si="1"/>
        <v>71</v>
      </c>
      <c r="U149" s="27" t="s">
        <v>1309</v>
      </c>
      <c r="V149" s="27"/>
      <c r="W149" s="27"/>
      <c r="X149" s="27" t="s">
        <v>51</v>
      </c>
      <c r="Y149" s="98">
        <v>45717</v>
      </c>
      <c r="Z149" s="27" t="s">
        <v>51</v>
      </c>
      <c r="AA149" s="31">
        <v>45717</v>
      </c>
      <c r="AB149" s="27" t="s">
        <v>121</v>
      </c>
      <c r="AC149" s="27"/>
      <c r="AD149" s="27" t="s">
        <v>376</v>
      </c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</row>
    <row r="150" ht="15.75" customHeight="1" spans="1:43">
      <c r="A150" s="29"/>
      <c r="B150" s="29"/>
      <c r="C150" s="29"/>
      <c r="D150" s="32" t="s">
        <v>51</v>
      </c>
      <c r="E150" s="32"/>
      <c r="F150" s="32" t="s">
        <v>380</v>
      </c>
      <c r="G150" s="32"/>
      <c r="H150" s="32" t="s">
        <v>81</v>
      </c>
      <c r="I150" s="27" t="str">
        <f t="shared" si="0"/>
        <v>Pascua, Nemesia</v>
      </c>
      <c r="J150" s="32" t="s">
        <v>1310</v>
      </c>
      <c r="K150" s="32" t="s">
        <v>1311</v>
      </c>
      <c r="L150" s="33" t="s">
        <v>1312</v>
      </c>
      <c r="M150" s="32" t="s">
        <v>57</v>
      </c>
      <c r="N150" s="32" t="s">
        <v>1313</v>
      </c>
      <c r="O150" s="32" t="s">
        <v>1314</v>
      </c>
      <c r="P150" s="32" t="s">
        <v>1315</v>
      </c>
      <c r="Q150" s="32" t="s">
        <v>1316</v>
      </c>
      <c r="R150" s="32"/>
      <c r="S150" s="31">
        <v>19481</v>
      </c>
      <c r="T150" s="88">
        <f ca="1" t="shared" si="1"/>
        <v>73</v>
      </c>
      <c r="U150" s="27" t="s">
        <v>1317</v>
      </c>
      <c r="V150" s="27" t="s">
        <v>1318</v>
      </c>
      <c r="W150" s="27" t="s">
        <v>1319</v>
      </c>
      <c r="X150" s="27" t="s">
        <v>51</v>
      </c>
      <c r="Y150" s="232" t="s">
        <v>861</v>
      </c>
      <c r="Z150" s="27" t="s">
        <v>51</v>
      </c>
      <c r="AA150" s="233" t="s">
        <v>861</v>
      </c>
      <c r="AB150" s="27" t="s">
        <v>121</v>
      </c>
      <c r="AC150" s="27" t="s">
        <v>230</v>
      </c>
      <c r="AD150" s="27"/>
      <c r="AE150" s="27" t="s">
        <v>1320</v>
      </c>
      <c r="AF150" s="27"/>
      <c r="AG150" s="27"/>
      <c r="AH150" s="27"/>
      <c r="AI150" s="27"/>
      <c r="AJ150" s="27"/>
      <c r="AK150" s="27"/>
      <c r="AL150" s="27"/>
      <c r="AM150" s="27"/>
      <c r="AN150" s="27" t="s">
        <v>1321</v>
      </c>
      <c r="AO150" s="27" t="s">
        <v>1322</v>
      </c>
      <c r="AP150" s="27" t="s">
        <v>1323</v>
      </c>
      <c r="AQ150" s="27" t="s">
        <v>1324</v>
      </c>
    </row>
    <row r="151" ht="15.75" customHeight="1" spans="1:43">
      <c r="A151" s="29"/>
      <c r="B151" s="29"/>
      <c r="C151" s="29"/>
      <c r="D151" s="32" t="s">
        <v>51</v>
      </c>
      <c r="E151" s="32"/>
      <c r="F151" s="32" t="s">
        <v>80</v>
      </c>
      <c r="G151" s="32"/>
      <c r="H151" s="32" t="s">
        <v>81</v>
      </c>
      <c r="I151" s="27" t="str">
        <f t="shared" si="0"/>
        <v>Pay-an, Elizabeth</v>
      </c>
      <c r="J151" s="32" t="s">
        <v>1325</v>
      </c>
      <c r="K151" s="32" t="s">
        <v>421</v>
      </c>
      <c r="L151" s="33" t="s">
        <v>785</v>
      </c>
      <c r="M151" s="32" t="s">
        <v>57</v>
      </c>
      <c r="N151" s="32">
        <v>1</v>
      </c>
      <c r="O151" s="32" t="s">
        <v>1326</v>
      </c>
      <c r="P151" s="32"/>
      <c r="Q151" s="32" t="s">
        <v>1327</v>
      </c>
      <c r="R151" s="32"/>
      <c r="S151" s="31">
        <v>25837</v>
      </c>
      <c r="T151" s="88">
        <f ca="1" t="shared" si="1"/>
        <v>56</v>
      </c>
      <c r="U151" s="27" t="s">
        <v>1328</v>
      </c>
      <c r="V151" s="27" t="s">
        <v>1061</v>
      </c>
      <c r="W151" s="27" t="s">
        <v>1062</v>
      </c>
      <c r="X151" s="27" t="s">
        <v>51</v>
      </c>
      <c r="Y151" s="232" t="s">
        <v>1329</v>
      </c>
      <c r="Z151" s="27" t="s">
        <v>51</v>
      </c>
      <c r="AA151" s="233" t="s">
        <v>1329</v>
      </c>
      <c r="AB151" s="27" t="s">
        <v>121</v>
      </c>
      <c r="AC151" s="27" t="s">
        <v>1330</v>
      </c>
      <c r="AD151" s="27"/>
      <c r="AE151" s="27" t="s">
        <v>1097</v>
      </c>
      <c r="AF151" s="27"/>
      <c r="AG151" s="27"/>
      <c r="AH151" s="27"/>
      <c r="AI151" s="27"/>
      <c r="AJ151" s="27" t="s">
        <v>1331</v>
      </c>
      <c r="AK151" s="27" t="s">
        <v>1332</v>
      </c>
      <c r="AL151" s="27" t="s">
        <v>51</v>
      </c>
      <c r="AM151" s="27" t="s">
        <v>51</v>
      </c>
      <c r="AN151" s="27"/>
      <c r="AO151" s="27"/>
      <c r="AP151" s="27"/>
      <c r="AQ151" s="27"/>
    </row>
    <row r="152" ht="15.75" customHeight="1" spans="1:43">
      <c r="A152" s="29"/>
      <c r="B152" s="29"/>
      <c r="C152" s="29"/>
      <c r="D152" s="32" t="s">
        <v>51</v>
      </c>
      <c r="E152" s="32"/>
      <c r="F152" s="32" t="s">
        <v>236</v>
      </c>
      <c r="G152" s="32"/>
      <c r="H152" s="32" t="s">
        <v>126</v>
      </c>
      <c r="I152" s="27" t="str">
        <f t="shared" si="0"/>
        <v>Prado, Jeazell</v>
      </c>
      <c r="J152" s="32" t="s">
        <v>1333</v>
      </c>
      <c r="K152" s="32" t="s">
        <v>1334</v>
      </c>
      <c r="L152" s="33" t="s">
        <v>161</v>
      </c>
      <c r="M152" s="32" t="s">
        <v>57</v>
      </c>
      <c r="N152" s="32" t="s">
        <v>1335</v>
      </c>
      <c r="O152" s="32" t="s">
        <v>163</v>
      </c>
      <c r="P152" s="32" t="s">
        <v>1336</v>
      </c>
      <c r="Q152" s="32" t="s">
        <v>1337</v>
      </c>
      <c r="R152" s="32" t="s">
        <v>1338</v>
      </c>
      <c r="S152" s="31">
        <v>33796</v>
      </c>
      <c r="T152" s="88">
        <f ca="1" t="shared" si="1"/>
        <v>34</v>
      </c>
      <c r="U152" s="27" t="s">
        <v>806</v>
      </c>
      <c r="V152" s="27" t="s">
        <v>1339</v>
      </c>
      <c r="W152" s="27" t="s">
        <v>1340</v>
      </c>
      <c r="X152" s="27" t="s">
        <v>51</v>
      </c>
      <c r="Y152" s="232" t="s">
        <v>1341</v>
      </c>
      <c r="Z152" s="27" t="s">
        <v>51</v>
      </c>
      <c r="AA152" s="233" t="s">
        <v>1342</v>
      </c>
      <c r="AB152" s="27" t="s">
        <v>1075</v>
      </c>
      <c r="AC152" s="27" t="s">
        <v>1343</v>
      </c>
      <c r="AD152" s="27"/>
      <c r="AE152" s="27" t="s">
        <v>1344</v>
      </c>
      <c r="AF152" s="27"/>
      <c r="AG152" s="27" t="s">
        <v>249</v>
      </c>
      <c r="AH152" s="27" t="s">
        <v>153</v>
      </c>
      <c r="AI152" s="27" t="s">
        <v>154</v>
      </c>
      <c r="AJ152" s="27" t="s">
        <v>1345</v>
      </c>
      <c r="AK152" s="27" t="s">
        <v>1346</v>
      </c>
      <c r="AL152" s="27" t="s">
        <v>51</v>
      </c>
      <c r="AM152" s="27" t="s">
        <v>51</v>
      </c>
      <c r="AN152" s="27" t="s">
        <v>1345</v>
      </c>
      <c r="AO152" s="27"/>
      <c r="AP152" s="27" t="s">
        <v>77</v>
      </c>
      <c r="AQ152" s="27" t="s">
        <v>1347</v>
      </c>
    </row>
    <row r="153" ht="15.75" customHeight="1" spans="1:43">
      <c r="A153" s="29"/>
      <c r="B153" s="29"/>
      <c r="C153" s="29"/>
      <c r="D153" s="32" t="s">
        <v>51</v>
      </c>
      <c r="E153" s="32"/>
      <c r="F153" s="32" t="s">
        <v>196</v>
      </c>
      <c r="G153" s="32"/>
      <c r="H153" s="32" t="s">
        <v>126</v>
      </c>
      <c r="I153" s="27" t="str">
        <f t="shared" si="0"/>
        <v>Prado, Phebe</v>
      </c>
      <c r="J153" s="32" t="s">
        <v>1333</v>
      </c>
      <c r="K153" s="32" t="s">
        <v>1348</v>
      </c>
      <c r="L153" s="33"/>
      <c r="M153" s="32" t="s">
        <v>57</v>
      </c>
      <c r="N153" s="32" t="s">
        <v>1349</v>
      </c>
      <c r="O153" s="32" t="s">
        <v>163</v>
      </c>
      <c r="P153" s="32"/>
      <c r="Q153" s="32" t="s">
        <v>1350</v>
      </c>
      <c r="R153" s="32"/>
      <c r="S153" s="31">
        <v>24415</v>
      </c>
      <c r="T153" s="88">
        <f ca="1" t="shared" si="1"/>
        <v>59</v>
      </c>
      <c r="U153" s="27" t="s">
        <v>1351</v>
      </c>
      <c r="V153" s="27" t="s">
        <v>1352</v>
      </c>
      <c r="W153" s="27" t="s">
        <v>1353</v>
      </c>
      <c r="X153" s="27" t="s">
        <v>51</v>
      </c>
      <c r="Y153" s="232" t="s">
        <v>1354</v>
      </c>
      <c r="Z153" s="27" t="s">
        <v>51</v>
      </c>
      <c r="AA153" s="233" t="s">
        <v>1354</v>
      </c>
      <c r="AB153" s="27" t="s">
        <v>1355</v>
      </c>
      <c r="AC153" s="27" t="s">
        <v>188</v>
      </c>
      <c r="AD153" s="27"/>
      <c r="AE153" s="27" t="s">
        <v>1356</v>
      </c>
      <c r="AF153" s="27" t="s">
        <v>1357</v>
      </c>
      <c r="AG153" s="27" t="s">
        <v>1358</v>
      </c>
      <c r="AH153" s="27" t="s">
        <v>153</v>
      </c>
      <c r="AI153" s="27" t="s">
        <v>1359</v>
      </c>
      <c r="AJ153" s="27" t="s">
        <v>1360</v>
      </c>
      <c r="AK153" s="27" t="s">
        <v>109</v>
      </c>
      <c r="AL153" s="27" t="s">
        <v>51</v>
      </c>
      <c r="AM153" s="27" t="s">
        <v>51</v>
      </c>
      <c r="AN153" s="27" t="s">
        <v>1360</v>
      </c>
      <c r="AO153" s="27" t="s">
        <v>1361</v>
      </c>
      <c r="AP153" s="27" t="s">
        <v>77</v>
      </c>
      <c r="AQ153" s="27" t="s">
        <v>1362</v>
      </c>
    </row>
    <row r="154" ht="15.75" customHeight="1" spans="1:43">
      <c r="A154" s="29"/>
      <c r="B154" s="29"/>
      <c r="C154" s="29"/>
      <c r="D154" s="32" t="s">
        <v>51</v>
      </c>
      <c r="E154" s="32"/>
      <c r="F154" s="32" t="s">
        <v>566</v>
      </c>
      <c r="G154" s="32"/>
      <c r="H154" s="32" t="s">
        <v>81</v>
      </c>
      <c r="I154" s="27" t="str">
        <f t="shared" si="0"/>
        <v>Pulicay, Janice</v>
      </c>
      <c r="J154" s="32" t="s">
        <v>1363</v>
      </c>
      <c r="K154" s="32" t="s">
        <v>1217</v>
      </c>
      <c r="L154" s="33" t="s">
        <v>220</v>
      </c>
      <c r="M154" s="32" t="s">
        <v>57</v>
      </c>
      <c r="N154" s="32" t="s">
        <v>1364</v>
      </c>
      <c r="O154" s="32" t="s">
        <v>224</v>
      </c>
      <c r="P154" s="32" t="s">
        <v>1365</v>
      </c>
      <c r="Q154" s="32" t="s">
        <v>1366</v>
      </c>
      <c r="R154" s="32"/>
      <c r="S154" s="31">
        <v>30030</v>
      </c>
      <c r="T154" s="88">
        <f ca="1" t="shared" si="1"/>
        <v>44</v>
      </c>
      <c r="U154" s="27" t="s">
        <v>1365</v>
      </c>
      <c r="V154" s="27" t="s">
        <v>1367</v>
      </c>
      <c r="W154" s="27" t="s">
        <v>1368</v>
      </c>
      <c r="X154" s="27" t="s">
        <v>51</v>
      </c>
      <c r="Y154" s="232" t="s">
        <v>1369</v>
      </c>
      <c r="Z154" s="27" t="s">
        <v>51</v>
      </c>
      <c r="AA154" s="31"/>
      <c r="AB154" s="27" t="s">
        <v>121</v>
      </c>
      <c r="AC154" s="27" t="s">
        <v>188</v>
      </c>
      <c r="AD154" s="27"/>
      <c r="AE154" s="27"/>
      <c r="AF154" s="27"/>
      <c r="AG154" s="27"/>
      <c r="AH154" s="27"/>
      <c r="AI154" s="27"/>
      <c r="AJ154" s="27" t="s">
        <v>1370</v>
      </c>
      <c r="AK154" s="27" t="s">
        <v>1371</v>
      </c>
      <c r="AL154" s="27" t="s">
        <v>51</v>
      </c>
      <c r="AM154" s="27" t="s">
        <v>51</v>
      </c>
      <c r="AN154" s="27" t="s">
        <v>1370</v>
      </c>
      <c r="AO154" s="32" t="s">
        <v>1372</v>
      </c>
      <c r="AP154" s="27" t="s">
        <v>77</v>
      </c>
      <c r="AQ154" s="27" t="s">
        <v>1373</v>
      </c>
    </row>
    <row r="155" ht="15.75" customHeight="1" spans="1:43">
      <c r="A155" s="29"/>
      <c r="B155" s="29"/>
      <c r="C155" s="29"/>
      <c r="D155" s="32" t="s">
        <v>51</v>
      </c>
      <c r="E155" s="32"/>
      <c r="F155" s="32" t="s">
        <v>396</v>
      </c>
      <c r="G155" s="32"/>
      <c r="H155" s="32" t="s">
        <v>81</v>
      </c>
      <c r="I155" s="27" t="str">
        <f t="shared" si="0"/>
        <v>Quevedo, Gemyma</v>
      </c>
      <c r="J155" s="32" t="s">
        <v>1374</v>
      </c>
      <c r="K155" s="32" t="s">
        <v>1375</v>
      </c>
      <c r="L155" s="33"/>
      <c r="M155" s="32" t="s">
        <v>57</v>
      </c>
      <c r="N155" s="32" t="s">
        <v>1376</v>
      </c>
      <c r="O155" s="32" t="s">
        <v>224</v>
      </c>
      <c r="P155" s="32" t="s">
        <v>1377</v>
      </c>
      <c r="Q155" s="32" t="s">
        <v>1378</v>
      </c>
      <c r="R155" s="32"/>
      <c r="S155" s="31">
        <v>28567</v>
      </c>
      <c r="T155" s="88">
        <f ca="1" t="shared" si="1"/>
        <v>48</v>
      </c>
      <c r="U155" s="27" t="s">
        <v>1379</v>
      </c>
      <c r="V155" s="27" t="s">
        <v>1380</v>
      </c>
      <c r="W155" s="27" t="s">
        <v>1381</v>
      </c>
      <c r="X155" s="27" t="s">
        <v>51</v>
      </c>
      <c r="Y155" s="232" t="s">
        <v>1382</v>
      </c>
      <c r="Z155" s="27" t="s">
        <v>51</v>
      </c>
      <c r="AA155" s="233" t="s">
        <v>1383</v>
      </c>
      <c r="AB155" s="27"/>
      <c r="AC155" s="27" t="s">
        <v>1343</v>
      </c>
      <c r="AD155" s="27"/>
      <c r="AE155" s="27"/>
      <c r="AF155" s="27"/>
      <c r="AG155" s="27" t="s">
        <v>268</v>
      </c>
      <c r="AH155" s="27"/>
      <c r="AI155" s="27"/>
      <c r="AJ155" s="27"/>
      <c r="AK155" s="27"/>
      <c r="AL155" s="27"/>
      <c r="AM155" s="27"/>
      <c r="AN155" s="27" t="s">
        <v>1384</v>
      </c>
      <c r="AO155" s="27" t="s">
        <v>1385</v>
      </c>
      <c r="AP155" s="27" t="s">
        <v>219</v>
      </c>
      <c r="AQ155" s="27" t="s">
        <v>1386</v>
      </c>
    </row>
    <row r="156" ht="15.75" customHeight="1" spans="1:43">
      <c r="A156" s="29"/>
      <c r="B156" s="29"/>
      <c r="C156" s="29"/>
      <c r="D156" s="32" t="s">
        <v>79</v>
      </c>
      <c r="E156" s="32"/>
      <c r="F156" s="32" t="s">
        <v>309</v>
      </c>
      <c r="G156" s="32"/>
      <c r="H156" s="32" t="s">
        <v>53</v>
      </c>
      <c r="I156" s="27" t="str">
        <f t="shared" si="0"/>
        <v>Quezon, Christina Thrina</v>
      </c>
      <c r="J156" s="32" t="s">
        <v>1387</v>
      </c>
      <c r="K156" s="32" t="s">
        <v>1388</v>
      </c>
      <c r="L156" s="33"/>
      <c r="M156" s="32" t="s">
        <v>57</v>
      </c>
      <c r="N156" s="32"/>
      <c r="O156" s="32"/>
      <c r="P156" s="32"/>
      <c r="Q156" s="32"/>
      <c r="R156" s="32"/>
      <c r="S156" s="31"/>
      <c r="T156" s="88" t="str">
        <f ca="1" t="shared" si="1"/>
        <v/>
      </c>
      <c r="U156" s="27"/>
      <c r="V156" s="27"/>
      <c r="W156" s="27"/>
      <c r="X156" s="27"/>
      <c r="Y156" s="98"/>
      <c r="Z156" s="27"/>
      <c r="AA156" s="31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</row>
    <row r="157" ht="15.75" customHeight="1" spans="1:43">
      <c r="A157" s="29"/>
      <c r="B157" s="29"/>
      <c r="C157" s="29"/>
      <c r="D157" s="32" t="s">
        <v>51</v>
      </c>
      <c r="E157" s="32"/>
      <c r="F157" s="32" t="s">
        <v>309</v>
      </c>
      <c r="G157" s="32"/>
      <c r="H157" s="32" t="s">
        <v>81</v>
      </c>
      <c r="I157" s="27" t="str">
        <f t="shared" si="0"/>
        <v>Quezon, Prescilla</v>
      </c>
      <c r="J157" s="32" t="s">
        <v>1387</v>
      </c>
      <c r="K157" s="32" t="s">
        <v>1389</v>
      </c>
      <c r="L157" s="33" t="s">
        <v>907</v>
      </c>
      <c r="M157" s="32" t="s">
        <v>57</v>
      </c>
      <c r="N157" s="32"/>
      <c r="O157" s="32" t="s">
        <v>1390</v>
      </c>
      <c r="P157" s="32"/>
      <c r="Q157" s="32" t="s">
        <v>1391</v>
      </c>
      <c r="R157" s="32"/>
      <c r="S157" s="31">
        <v>34731</v>
      </c>
      <c r="T157" s="88">
        <f ca="1" t="shared" si="1"/>
        <v>31</v>
      </c>
      <c r="U157" s="27" t="s">
        <v>1392</v>
      </c>
      <c r="V157" s="27" t="s">
        <v>1393</v>
      </c>
      <c r="W157" s="27" t="s">
        <v>1394</v>
      </c>
      <c r="X157" s="27" t="s">
        <v>51</v>
      </c>
      <c r="Y157" s="232" t="s">
        <v>1395</v>
      </c>
      <c r="Z157" s="27" t="s">
        <v>51</v>
      </c>
      <c r="AA157" s="233" t="s">
        <v>1396</v>
      </c>
      <c r="AB157" s="27" t="s">
        <v>1075</v>
      </c>
      <c r="AC157" s="27" t="s">
        <v>188</v>
      </c>
      <c r="AD157" s="27"/>
      <c r="AE157" s="27"/>
      <c r="AF157" s="27"/>
      <c r="AG157" s="27"/>
      <c r="AH157" s="27"/>
      <c r="AI157" s="27" t="s">
        <v>154</v>
      </c>
      <c r="AJ157" s="27" t="s">
        <v>1397</v>
      </c>
      <c r="AK157" s="27" t="s">
        <v>1398</v>
      </c>
      <c r="AL157" s="27" t="s">
        <v>51</v>
      </c>
      <c r="AM157" s="27" t="s">
        <v>51</v>
      </c>
      <c r="AN157" s="27" t="s">
        <v>1393</v>
      </c>
      <c r="AO157" s="27" t="s">
        <v>1390</v>
      </c>
      <c r="AP157" s="27" t="s">
        <v>29</v>
      </c>
      <c r="AQ157" s="27" t="s">
        <v>1399</v>
      </c>
    </row>
    <row r="158" ht="15.75" customHeight="1" spans="1:43">
      <c r="A158" s="29"/>
      <c r="B158" s="29"/>
      <c r="C158" s="29"/>
      <c r="D158" s="32" t="s">
        <v>79</v>
      </c>
      <c r="E158" s="32"/>
      <c r="F158" s="32" t="s">
        <v>85</v>
      </c>
      <c r="G158" s="32"/>
      <c r="H158" s="32" t="s">
        <v>81</v>
      </c>
      <c r="I158" s="27" t="str">
        <f t="shared" si="0"/>
        <v>Quintero, Alice</v>
      </c>
      <c r="J158" s="32" t="s">
        <v>1400</v>
      </c>
      <c r="K158" s="32" t="s">
        <v>553</v>
      </c>
      <c r="L158" s="33"/>
      <c r="M158" s="32" t="s">
        <v>57</v>
      </c>
      <c r="N158" s="32" t="s">
        <v>1401</v>
      </c>
      <c r="O158" s="32" t="s">
        <v>1402</v>
      </c>
      <c r="P158" s="32"/>
      <c r="Q158" s="32" t="s">
        <v>1403</v>
      </c>
      <c r="R158" s="32"/>
      <c r="S158" s="31"/>
      <c r="T158" s="88" t="str">
        <f ca="1" t="shared" si="1"/>
        <v/>
      </c>
      <c r="U158" s="27"/>
      <c r="V158" s="27"/>
      <c r="W158" s="27"/>
      <c r="X158" s="27"/>
      <c r="Y158" s="98"/>
      <c r="Z158" s="27"/>
      <c r="AA158" s="31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</row>
    <row r="159" ht="15.75" customHeight="1" spans="1:43">
      <c r="A159" s="29"/>
      <c r="B159" s="29"/>
      <c r="C159" s="29"/>
      <c r="D159" s="32" t="s">
        <v>79</v>
      </c>
      <c r="E159" s="32"/>
      <c r="F159" s="32" t="s">
        <v>85</v>
      </c>
      <c r="G159" s="32"/>
      <c r="H159" s="32" t="s">
        <v>81</v>
      </c>
      <c r="I159" s="27" t="str">
        <f t="shared" si="0"/>
        <v>Raciles, Camille</v>
      </c>
      <c r="J159" s="32" t="s">
        <v>1404</v>
      </c>
      <c r="K159" s="32" t="s">
        <v>1405</v>
      </c>
      <c r="L159" s="33"/>
      <c r="M159" s="32" t="s">
        <v>57</v>
      </c>
      <c r="N159" s="32"/>
      <c r="O159" s="32"/>
      <c r="P159" s="32"/>
      <c r="Q159" s="32"/>
      <c r="R159" s="32"/>
      <c r="S159" s="31"/>
      <c r="T159" s="88" t="str">
        <f ca="1" t="shared" si="1"/>
        <v/>
      </c>
      <c r="U159" s="27"/>
      <c r="V159" s="27"/>
      <c r="W159" s="27"/>
      <c r="X159" s="27"/>
      <c r="Y159" s="98"/>
      <c r="Z159" s="27"/>
      <c r="AA159" s="31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</row>
    <row r="160" ht="15.75" customHeight="1" spans="1:43">
      <c r="A160" s="29"/>
      <c r="B160" s="29"/>
      <c r="C160" s="29"/>
      <c r="D160" s="32" t="s">
        <v>51</v>
      </c>
      <c r="E160" s="32"/>
      <c r="F160" s="32" t="s">
        <v>566</v>
      </c>
      <c r="G160" s="32"/>
      <c r="H160" s="32" t="s">
        <v>81</v>
      </c>
      <c r="I160" s="27" t="str">
        <f t="shared" si="0"/>
        <v>Raguindin, Matia</v>
      </c>
      <c r="J160" s="32" t="s">
        <v>1406</v>
      </c>
      <c r="K160" s="32" t="s">
        <v>1407</v>
      </c>
      <c r="L160" s="33" t="s">
        <v>818</v>
      </c>
      <c r="M160" s="32" t="s">
        <v>57</v>
      </c>
      <c r="N160" s="32">
        <v>14</v>
      </c>
      <c r="O160" s="32" t="s">
        <v>258</v>
      </c>
      <c r="P160" s="32" t="s">
        <v>1408</v>
      </c>
      <c r="Q160" s="32" t="s">
        <v>1409</v>
      </c>
      <c r="R160" s="32"/>
      <c r="S160" s="31">
        <v>26739</v>
      </c>
      <c r="T160" s="88">
        <f ca="1" t="shared" si="1"/>
        <v>53</v>
      </c>
      <c r="U160" s="27" t="s">
        <v>1410</v>
      </c>
      <c r="V160" s="27"/>
      <c r="W160" s="27" t="s">
        <v>1411</v>
      </c>
      <c r="X160" s="27" t="s">
        <v>51</v>
      </c>
      <c r="Y160" s="232" t="s">
        <v>1412</v>
      </c>
      <c r="Z160" s="27" t="s">
        <v>51</v>
      </c>
      <c r="AA160" s="233" t="s">
        <v>1413</v>
      </c>
      <c r="AB160" s="27"/>
      <c r="AC160" s="27"/>
      <c r="AD160" s="27" t="s">
        <v>104</v>
      </c>
      <c r="AE160" s="27"/>
      <c r="AF160" s="27"/>
      <c r="AG160" s="27"/>
      <c r="AH160" s="27"/>
      <c r="AI160" s="27"/>
      <c r="AJ160" s="27" t="s">
        <v>1414</v>
      </c>
      <c r="AK160" s="27" t="s">
        <v>376</v>
      </c>
      <c r="AL160" s="27" t="s">
        <v>157</v>
      </c>
      <c r="AM160" s="27" t="s">
        <v>157</v>
      </c>
      <c r="AN160" s="27" t="s">
        <v>1414</v>
      </c>
      <c r="AO160" s="27"/>
      <c r="AP160" s="27" t="s">
        <v>77</v>
      </c>
      <c r="AQ160" s="27" t="s">
        <v>1415</v>
      </c>
    </row>
    <row r="161" ht="15.75" customHeight="1" spans="1:43">
      <c r="A161" s="29"/>
      <c r="B161" s="29"/>
      <c r="C161" s="29"/>
      <c r="D161" s="32" t="s">
        <v>51</v>
      </c>
      <c r="E161" s="32"/>
      <c r="F161" s="32" t="s">
        <v>396</v>
      </c>
      <c r="G161" s="32"/>
      <c r="H161" s="32" t="s">
        <v>92</v>
      </c>
      <c r="I161" s="190" t="str">
        <f t="shared" si="0"/>
        <v>Ringor, Virginia</v>
      </c>
      <c r="J161" s="32" t="s">
        <v>1416</v>
      </c>
      <c r="K161" s="32" t="s">
        <v>1417</v>
      </c>
      <c r="L161" s="33" t="s">
        <v>1418</v>
      </c>
      <c r="M161" s="32" t="s">
        <v>57</v>
      </c>
      <c r="N161" s="32">
        <v>280</v>
      </c>
      <c r="O161" s="32" t="s">
        <v>1419</v>
      </c>
      <c r="P161" s="32"/>
      <c r="Q161" s="32" t="s">
        <v>1420</v>
      </c>
      <c r="R161" s="32"/>
      <c r="S161" s="31">
        <v>21056</v>
      </c>
      <c r="T161" s="88">
        <f ca="1" t="shared" si="1"/>
        <v>69</v>
      </c>
      <c r="U161" s="27" t="s">
        <v>1421</v>
      </c>
      <c r="V161" s="27" t="s">
        <v>1422</v>
      </c>
      <c r="W161" s="27" t="s">
        <v>1423</v>
      </c>
      <c r="X161" s="27" t="s">
        <v>51</v>
      </c>
      <c r="Y161" s="232" t="s">
        <v>1424</v>
      </c>
      <c r="Z161" s="27" t="s">
        <v>51</v>
      </c>
      <c r="AA161" s="233" t="s">
        <v>1425</v>
      </c>
      <c r="AB161" s="27" t="s">
        <v>121</v>
      </c>
      <c r="AC161" s="27" t="s">
        <v>230</v>
      </c>
      <c r="AD161" s="27"/>
      <c r="AE161" s="27" t="s">
        <v>1426</v>
      </c>
      <c r="AF161" s="27"/>
      <c r="AG161" s="27"/>
      <c r="AH161" s="27"/>
      <c r="AI161" s="27"/>
      <c r="AJ161" s="27" t="s">
        <v>1427</v>
      </c>
      <c r="AK161" s="27"/>
      <c r="AL161" s="27" t="s">
        <v>51</v>
      </c>
      <c r="AM161" s="27"/>
      <c r="AN161" s="27" t="s">
        <v>1428</v>
      </c>
      <c r="AO161" s="27" t="s">
        <v>1429</v>
      </c>
      <c r="AP161" s="27" t="s">
        <v>219</v>
      </c>
      <c r="AQ161" s="27" t="s">
        <v>1430</v>
      </c>
    </row>
    <row r="162" ht="15.75" customHeight="1" spans="1:43">
      <c r="A162" s="29"/>
      <c r="B162" s="29"/>
      <c r="C162" s="29"/>
      <c r="D162" s="32" t="s">
        <v>79</v>
      </c>
      <c r="E162" s="32"/>
      <c r="F162" s="32" t="s">
        <v>236</v>
      </c>
      <c r="G162" s="32"/>
      <c r="H162" s="32" t="s">
        <v>81</v>
      </c>
      <c r="I162" s="27" t="str">
        <f t="shared" si="0"/>
        <v>Rivera, Evangeline</v>
      </c>
      <c r="J162" s="32" t="s">
        <v>1431</v>
      </c>
      <c r="K162" s="32" t="s">
        <v>1432</v>
      </c>
      <c r="L162" s="33"/>
      <c r="M162" s="32" t="s">
        <v>57</v>
      </c>
      <c r="N162" s="32"/>
      <c r="O162" s="32"/>
      <c r="P162" s="32"/>
      <c r="Q162" s="32"/>
      <c r="R162" s="32"/>
      <c r="S162" s="31"/>
      <c r="T162" s="88" t="str">
        <f ca="1" t="shared" si="1"/>
        <v/>
      </c>
      <c r="U162" s="27"/>
      <c r="V162" s="27"/>
      <c r="W162" s="27"/>
      <c r="X162" s="27"/>
      <c r="Y162" s="98"/>
      <c r="Z162" s="27"/>
      <c r="AA162" s="31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</row>
    <row r="163" ht="15.75" customHeight="1" spans="1:43">
      <c r="A163" s="29"/>
      <c r="B163" s="29"/>
      <c r="C163" s="29"/>
      <c r="D163" s="32" t="s">
        <v>51</v>
      </c>
      <c r="E163" s="32"/>
      <c r="F163" s="32" t="s">
        <v>380</v>
      </c>
      <c r="G163" s="32"/>
      <c r="H163" s="32" t="s">
        <v>81</v>
      </c>
      <c r="I163" s="27" t="str">
        <f t="shared" si="0"/>
        <v>Romero, Margie</v>
      </c>
      <c r="J163" s="32" t="s">
        <v>1433</v>
      </c>
      <c r="K163" s="32" t="s">
        <v>1434</v>
      </c>
      <c r="L163" s="33" t="s">
        <v>161</v>
      </c>
      <c r="M163" s="32" t="s">
        <v>57</v>
      </c>
      <c r="N163" s="32" t="s">
        <v>1435</v>
      </c>
      <c r="O163" s="32" t="s">
        <v>1436</v>
      </c>
      <c r="P163" s="32"/>
      <c r="Q163" s="32" t="s">
        <v>1437</v>
      </c>
      <c r="R163" s="32"/>
      <c r="S163" s="31">
        <v>23753</v>
      </c>
      <c r="T163" s="88">
        <f ca="1" t="shared" si="1"/>
        <v>61</v>
      </c>
      <c r="U163" s="27" t="s">
        <v>123</v>
      </c>
      <c r="V163" s="27"/>
      <c r="W163" s="27"/>
      <c r="X163" s="27" t="s">
        <v>51</v>
      </c>
      <c r="Y163" s="232" t="s">
        <v>1438</v>
      </c>
      <c r="Z163" s="27" t="s">
        <v>51</v>
      </c>
      <c r="AA163" s="233" t="s">
        <v>1251</v>
      </c>
      <c r="AB163" s="27" t="s">
        <v>121</v>
      </c>
      <c r="AC163" s="27" t="s">
        <v>188</v>
      </c>
      <c r="AD163" s="27"/>
      <c r="AE163" s="27"/>
      <c r="AF163" s="27"/>
      <c r="AG163" s="27"/>
      <c r="AH163" s="27"/>
      <c r="AI163" s="27"/>
      <c r="AJ163" s="27" t="s">
        <v>1439</v>
      </c>
      <c r="AK163" s="27" t="s">
        <v>1440</v>
      </c>
      <c r="AL163" s="27"/>
      <c r="AM163" s="27"/>
      <c r="AN163" s="27" t="s">
        <v>1441</v>
      </c>
      <c r="AO163" s="27" t="s">
        <v>1442</v>
      </c>
      <c r="AP163" s="27" t="s">
        <v>681</v>
      </c>
      <c r="AQ163" s="27" t="s">
        <v>1443</v>
      </c>
    </row>
    <row r="164" ht="15.75" customHeight="1" spans="1:43">
      <c r="A164" s="29"/>
      <c r="B164" s="29"/>
      <c r="C164" s="29"/>
      <c r="D164" s="32" t="s">
        <v>79</v>
      </c>
      <c r="E164" s="32"/>
      <c r="F164" s="32" t="s">
        <v>380</v>
      </c>
      <c r="G164" s="32"/>
      <c r="H164" s="32" t="s">
        <v>81</v>
      </c>
      <c r="I164" s="27" t="str">
        <f t="shared" si="0"/>
        <v>Salvador, Evelyn</v>
      </c>
      <c r="J164" s="32" t="s">
        <v>1444</v>
      </c>
      <c r="K164" s="32" t="s">
        <v>1171</v>
      </c>
      <c r="L164" s="33"/>
      <c r="M164" s="32" t="s">
        <v>57</v>
      </c>
      <c r="N164" s="32"/>
      <c r="O164" s="32"/>
      <c r="P164" s="32"/>
      <c r="Q164" s="32"/>
      <c r="R164" s="32"/>
      <c r="S164" s="31"/>
      <c r="T164" s="88" t="str">
        <f ca="1" t="shared" si="1"/>
        <v/>
      </c>
      <c r="U164" s="27"/>
      <c r="V164" s="27"/>
      <c r="W164" s="27"/>
      <c r="X164" s="27"/>
      <c r="Y164" s="98"/>
      <c r="Z164" s="27"/>
      <c r="AA164" s="31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</row>
    <row r="165" ht="15.75" customHeight="1" spans="1:43">
      <c r="A165" s="29"/>
      <c r="B165" s="29"/>
      <c r="C165" s="29"/>
      <c r="D165" s="32" t="s">
        <v>51</v>
      </c>
      <c r="E165" s="32"/>
      <c r="F165" s="32" t="s">
        <v>80</v>
      </c>
      <c r="G165" s="32"/>
      <c r="H165" s="32" t="s">
        <v>81</v>
      </c>
      <c r="I165" s="27" t="str">
        <f t="shared" si="0"/>
        <v>Sawad, Gloria</v>
      </c>
      <c r="J165" s="32" t="s">
        <v>1445</v>
      </c>
      <c r="K165" s="32" t="s">
        <v>1446</v>
      </c>
      <c r="L165" s="33" t="s">
        <v>1447</v>
      </c>
      <c r="M165" s="32" t="s">
        <v>57</v>
      </c>
      <c r="N165" s="32" t="s">
        <v>1448</v>
      </c>
      <c r="O165" s="32" t="s">
        <v>1307</v>
      </c>
      <c r="P165" s="32" t="s">
        <v>1449</v>
      </c>
      <c r="Q165" s="32" t="s">
        <v>1450</v>
      </c>
      <c r="R165" s="32"/>
      <c r="S165" s="31">
        <v>15066</v>
      </c>
      <c r="T165" s="88">
        <f ca="1" t="shared" si="1"/>
        <v>85</v>
      </c>
      <c r="U165" s="27" t="s">
        <v>1451</v>
      </c>
      <c r="V165" s="27" t="s">
        <v>1452</v>
      </c>
      <c r="W165" s="27" t="s">
        <v>1453</v>
      </c>
      <c r="X165" s="27" t="s">
        <v>51</v>
      </c>
      <c r="Y165" s="232" t="s">
        <v>1454</v>
      </c>
      <c r="Z165" s="27" t="s">
        <v>51</v>
      </c>
      <c r="AA165" s="233" t="s">
        <v>1455</v>
      </c>
      <c r="AB165" s="27" t="s">
        <v>121</v>
      </c>
      <c r="AC165" s="27"/>
      <c r="AD165" s="27"/>
      <c r="AE165" s="27"/>
      <c r="AF165" s="27" t="s">
        <v>1456</v>
      </c>
      <c r="AG165" s="27"/>
      <c r="AH165" s="27"/>
      <c r="AI165" s="27"/>
      <c r="AJ165" s="27" t="s">
        <v>1457</v>
      </c>
      <c r="AK165" s="27"/>
      <c r="AL165" s="27"/>
      <c r="AM165" s="27"/>
      <c r="AN165" s="27" t="s">
        <v>1458</v>
      </c>
      <c r="AO165" s="27" t="s">
        <v>1459</v>
      </c>
      <c r="AP165" s="27" t="s">
        <v>437</v>
      </c>
      <c r="AQ165" s="27"/>
    </row>
    <row r="166" ht="15.75" customHeight="1" spans="1:43">
      <c r="A166" s="29"/>
      <c r="B166" s="29"/>
      <c r="C166" s="29"/>
      <c r="D166" s="32" t="s">
        <v>79</v>
      </c>
      <c r="E166" s="32"/>
      <c r="F166" s="32" t="s">
        <v>80</v>
      </c>
      <c r="G166" s="32"/>
      <c r="H166" s="32" t="s">
        <v>81</v>
      </c>
      <c r="I166" s="27" t="str">
        <f t="shared" si="0"/>
        <v>Sawad, Rachelle</v>
      </c>
      <c r="J166" s="32" t="s">
        <v>1445</v>
      </c>
      <c r="K166" s="32" t="s">
        <v>1460</v>
      </c>
      <c r="L166" s="33"/>
      <c r="M166" s="32" t="s">
        <v>57</v>
      </c>
      <c r="N166" s="32" t="s">
        <v>1448</v>
      </c>
      <c r="O166" s="32" t="s">
        <v>1307</v>
      </c>
      <c r="P166" s="32"/>
      <c r="Q166" s="32"/>
      <c r="R166" s="32"/>
      <c r="S166" s="31"/>
      <c r="T166" s="88" t="str">
        <f ca="1" t="shared" si="1"/>
        <v/>
      </c>
      <c r="U166" s="27"/>
      <c r="V166" s="27"/>
      <c r="W166" s="27"/>
      <c r="X166" s="27"/>
      <c r="Y166" s="98"/>
      <c r="Z166" s="27"/>
      <c r="AA166" s="31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</row>
    <row r="167" ht="15.75" customHeight="1" spans="1:43">
      <c r="A167" s="29"/>
      <c r="B167" s="29"/>
      <c r="C167" s="29"/>
      <c r="D167" s="32" t="s">
        <v>51</v>
      </c>
      <c r="E167" s="32"/>
      <c r="F167" s="32" t="s">
        <v>380</v>
      </c>
      <c r="G167" s="32"/>
      <c r="H167" s="32" t="s">
        <v>81</v>
      </c>
      <c r="I167" s="27" t="str">
        <f t="shared" si="0"/>
        <v>Sayan, Jovelyn</v>
      </c>
      <c r="J167" s="32" t="s">
        <v>1461</v>
      </c>
      <c r="K167" s="32" t="s">
        <v>1462</v>
      </c>
      <c r="L167" s="33" t="s">
        <v>222</v>
      </c>
      <c r="M167" s="32" t="s">
        <v>57</v>
      </c>
      <c r="N167" s="32" t="s">
        <v>1463</v>
      </c>
      <c r="O167" s="32" t="s">
        <v>193</v>
      </c>
      <c r="P167" s="32" t="s">
        <v>1464</v>
      </c>
      <c r="Q167" s="32" t="s">
        <v>1465</v>
      </c>
      <c r="R167" s="32" t="s">
        <v>1466</v>
      </c>
      <c r="S167" s="31">
        <v>32810</v>
      </c>
      <c r="T167" s="88">
        <f ca="1" t="shared" si="1"/>
        <v>36</v>
      </c>
      <c r="U167" s="27" t="s">
        <v>1467</v>
      </c>
      <c r="V167" s="27" t="s">
        <v>1468</v>
      </c>
      <c r="W167" s="27" t="s">
        <v>1469</v>
      </c>
      <c r="X167" s="27" t="s">
        <v>51</v>
      </c>
      <c r="Y167" s="98"/>
      <c r="Z167" s="27" t="s">
        <v>51</v>
      </c>
      <c r="AA167" s="233" t="s">
        <v>1470</v>
      </c>
      <c r="AB167" s="27"/>
      <c r="AC167" s="27" t="s">
        <v>188</v>
      </c>
      <c r="AD167" s="27"/>
      <c r="AE167" s="27"/>
      <c r="AF167" s="27"/>
      <c r="AG167" s="27" t="s">
        <v>1471</v>
      </c>
      <c r="AH167" s="27" t="s">
        <v>305</v>
      </c>
      <c r="AI167" s="27"/>
      <c r="AJ167" s="27" t="s">
        <v>1472</v>
      </c>
      <c r="AK167" s="27" t="s">
        <v>1473</v>
      </c>
      <c r="AL167" s="27" t="s">
        <v>51</v>
      </c>
      <c r="AM167" s="27" t="s">
        <v>51</v>
      </c>
      <c r="AN167" s="27" t="s">
        <v>1472</v>
      </c>
      <c r="AO167" s="27" t="s">
        <v>1474</v>
      </c>
      <c r="AP167" s="27" t="s">
        <v>77</v>
      </c>
      <c r="AQ167" s="27" t="s">
        <v>1475</v>
      </c>
    </row>
    <row r="168" ht="15.75" customHeight="1" spans="1:43">
      <c r="A168" s="29"/>
      <c r="B168" s="29"/>
      <c r="C168" s="29"/>
      <c r="D168" s="32" t="s">
        <v>51</v>
      </c>
      <c r="E168" s="32"/>
      <c r="F168" s="32" t="s">
        <v>566</v>
      </c>
      <c r="G168" s="32"/>
      <c r="H168" s="32" t="s">
        <v>81</v>
      </c>
      <c r="I168" s="190" t="str">
        <f t="shared" si="0"/>
        <v>Sid-ay, Maribon</v>
      </c>
      <c r="J168" s="32" t="s">
        <v>1476</v>
      </c>
      <c r="K168" s="32" t="s">
        <v>1477</v>
      </c>
      <c r="L168" s="33"/>
      <c r="M168" s="32" t="s">
        <v>57</v>
      </c>
      <c r="N168" s="32" t="s">
        <v>1478</v>
      </c>
      <c r="O168" s="32" t="s">
        <v>368</v>
      </c>
      <c r="P168" s="32"/>
      <c r="Q168" s="32" t="s">
        <v>1479</v>
      </c>
      <c r="R168" s="32" t="s">
        <v>1480</v>
      </c>
      <c r="S168" s="31">
        <v>32598</v>
      </c>
      <c r="T168" s="88">
        <f ca="1" t="shared" si="1"/>
        <v>37</v>
      </c>
      <c r="U168" s="27" t="s">
        <v>426</v>
      </c>
      <c r="V168" s="27" t="s">
        <v>863</v>
      </c>
      <c r="W168" s="27" t="s">
        <v>1481</v>
      </c>
      <c r="X168" s="27" t="s">
        <v>51</v>
      </c>
      <c r="Y168" s="98"/>
      <c r="Z168" s="27" t="s">
        <v>51</v>
      </c>
      <c r="AA168" s="31"/>
      <c r="AB168" s="27" t="s">
        <v>121</v>
      </c>
      <c r="AC168" s="27" t="s">
        <v>188</v>
      </c>
      <c r="AD168" s="27"/>
      <c r="AE168" s="27" t="s">
        <v>1482</v>
      </c>
      <c r="AF168" s="27" t="s">
        <v>1483</v>
      </c>
      <c r="AG168" s="27" t="s">
        <v>249</v>
      </c>
      <c r="AH168" s="27" t="s">
        <v>561</v>
      </c>
      <c r="AI168" s="27" t="s">
        <v>154</v>
      </c>
      <c r="AJ168" s="27" t="s">
        <v>1484</v>
      </c>
      <c r="AK168" s="27" t="s">
        <v>1485</v>
      </c>
      <c r="AL168" s="27" t="s">
        <v>51</v>
      </c>
      <c r="AM168" s="27" t="s">
        <v>51</v>
      </c>
      <c r="AN168" s="27" t="s">
        <v>1486</v>
      </c>
      <c r="AO168" s="27" t="s">
        <v>1487</v>
      </c>
      <c r="AP168" s="27" t="s">
        <v>949</v>
      </c>
      <c r="AQ168" s="27" t="s">
        <v>1488</v>
      </c>
    </row>
    <row r="169" ht="15.75" customHeight="1" spans="1:43">
      <c r="A169" s="29"/>
      <c r="B169" s="29"/>
      <c r="C169" s="29"/>
      <c r="D169" s="32" t="s">
        <v>51</v>
      </c>
      <c r="E169" s="32"/>
      <c r="F169" s="32" t="s">
        <v>85</v>
      </c>
      <c r="G169" s="32"/>
      <c r="H169" s="32" t="s">
        <v>53</v>
      </c>
      <c r="I169" s="27" t="str">
        <f t="shared" si="0"/>
        <v>Soriano, Esmeralda</v>
      </c>
      <c r="J169" s="32" t="s">
        <v>1489</v>
      </c>
      <c r="K169" s="32" t="s">
        <v>1490</v>
      </c>
      <c r="L169" s="33" t="s">
        <v>220</v>
      </c>
      <c r="M169" s="32" t="s">
        <v>57</v>
      </c>
      <c r="N169" s="32" t="s">
        <v>1364</v>
      </c>
      <c r="O169" s="32" t="s">
        <v>224</v>
      </c>
      <c r="P169" s="32" t="s">
        <v>225</v>
      </c>
      <c r="Q169" s="32" t="s">
        <v>1491</v>
      </c>
      <c r="R169" s="32" t="s">
        <v>1492</v>
      </c>
      <c r="S169" s="31">
        <v>30820</v>
      </c>
      <c r="T169" s="88">
        <f ca="1" t="shared" si="1"/>
        <v>42</v>
      </c>
      <c r="U169" s="27" t="s">
        <v>1493</v>
      </c>
      <c r="V169" s="27" t="s">
        <v>1367</v>
      </c>
      <c r="W169" s="27" t="s">
        <v>1368</v>
      </c>
      <c r="X169" s="27" t="s">
        <v>51</v>
      </c>
      <c r="Y169" s="232" t="s">
        <v>1494</v>
      </c>
      <c r="Z169" s="27" t="s">
        <v>51</v>
      </c>
      <c r="AA169" s="233" t="s">
        <v>1494</v>
      </c>
      <c r="AB169" s="27" t="s">
        <v>121</v>
      </c>
      <c r="AC169" s="27" t="s">
        <v>188</v>
      </c>
      <c r="AD169" s="27"/>
      <c r="AE169" s="27"/>
      <c r="AF169" s="27"/>
      <c r="AG169" s="27" t="s">
        <v>268</v>
      </c>
      <c r="AH169" s="27" t="s">
        <v>561</v>
      </c>
      <c r="AI169" s="27"/>
      <c r="AJ169" s="27" t="s">
        <v>1495</v>
      </c>
      <c r="AK169" s="27" t="s">
        <v>1496</v>
      </c>
      <c r="AL169" s="27" t="s">
        <v>51</v>
      </c>
      <c r="AM169" s="27" t="s">
        <v>51</v>
      </c>
      <c r="AN169" s="27" t="s">
        <v>1495</v>
      </c>
      <c r="AO169" s="27" t="s">
        <v>1372</v>
      </c>
      <c r="AP169" s="27" t="s">
        <v>77</v>
      </c>
      <c r="AQ169" s="27" t="s">
        <v>1497</v>
      </c>
    </row>
    <row r="170" ht="15.75" customHeight="1" spans="1:43">
      <c r="A170" s="29"/>
      <c r="B170" s="29"/>
      <c r="C170" s="29"/>
      <c r="D170" s="32" t="s">
        <v>79</v>
      </c>
      <c r="E170" s="32"/>
      <c r="F170" s="32" t="s">
        <v>177</v>
      </c>
      <c r="G170" s="32"/>
      <c r="H170" s="32" t="s">
        <v>81</v>
      </c>
      <c r="I170" s="27" t="str">
        <f t="shared" si="0"/>
        <v>Tacbas, Magdalena</v>
      </c>
      <c r="J170" s="32" t="s">
        <v>1498</v>
      </c>
      <c r="K170" s="32" t="s">
        <v>1499</v>
      </c>
      <c r="L170" s="33"/>
      <c r="M170" s="32" t="s">
        <v>57</v>
      </c>
      <c r="N170" s="32"/>
      <c r="O170" s="32"/>
      <c r="P170" s="32"/>
      <c r="Q170" s="32"/>
      <c r="R170" s="32"/>
      <c r="S170" s="31"/>
      <c r="T170" s="88" t="str">
        <f ca="1" t="shared" si="1"/>
        <v/>
      </c>
      <c r="U170" s="27"/>
      <c r="V170" s="27"/>
      <c r="W170" s="27"/>
      <c r="X170" s="27"/>
      <c r="Y170" s="98"/>
      <c r="Z170" s="27"/>
      <c r="AA170" s="31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</row>
    <row r="171" ht="15.75" customHeight="1" spans="1:43">
      <c r="A171" s="29"/>
      <c r="B171" s="29"/>
      <c r="C171" s="29"/>
      <c r="D171" s="32" t="s">
        <v>51</v>
      </c>
      <c r="E171" s="32"/>
      <c r="F171" s="32" t="s">
        <v>380</v>
      </c>
      <c r="G171" s="32"/>
      <c r="H171" s="32" t="s">
        <v>81</v>
      </c>
      <c r="I171" s="27" t="str">
        <f t="shared" si="0"/>
        <v>Tad-o, Juliana</v>
      </c>
      <c r="J171" s="32" t="s">
        <v>1500</v>
      </c>
      <c r="K171" s="32" t="s">
        <v>1501</v>
      </c>
      <c r="L171" s="33" t="s">
        <v>222</v>
      </c>
      <c r="M171" s="32" t="s">
        <v>57</v>
      </c>
      <c r="N171" s="32">
        <v>189</v>
      </c>
      <c r="O171" s="32" t="s">
        <v>1502</v>
      </c>
      <c r="P171" s="32" t="s">
        <v>1503</v>
      </c>
      <c r="Q171" s="32" t="s">
        <v>1504</v>
      </c>
      <c r="R171" s="32"/>
      <c r="S171" s="31">
        <v>21468</v>
      </c>
      <c r="T171" s="88">
        <f ca="1" t="shared" si="1"/>
        <v>68</v>
      </c>
      <c r="U171" s="27" t="s">
        <v>1315</v>
      </c>
      <c r="V171" s="27" t="s">
        <v>1505</v>
      </c>
      <c r="W171" s="27" t="s">
        <v>1506</v>
      </c>
      <c r="X171" s="27" t="s">
        <v>51</v>
      </c>
      <c r="Y171" s="232" t="s">
        <v>860</v>
      </c>
      <c r="Z171" s="27" t="s">
        <v>51</v>
      </c>
      <c r="AA171" s="233" t="s">
        <v>559</v>
      </c>
      <c r="AB171" s="27" t="s">
        <v>121</v>
      </c>
      <c r="AC171" s="27" t="s">
        <v>68</v>
      </c>
      <c r="AD171" s="27" t="s">
        <v>1507</v>
      </c>
      <c r="AE171" s="27"/>
      <c r="AF171" s="27" t="s">
        <v>1508</v>
      </c>
      <c r="AG171" s="27"/>
      <c r="AH171" s="27"/>
      <c r="AI171" s="27"/>
      <c r="AJ171" s="27" t="s">
        <v>1509</v>
      </c>
      <c r="AK171" s="27" t="s">
        <v>109</v>
      </c>
      <c r="AL171" s="27" t="s">
        <v>51</v>
      </c>
      <c r="AM171" s="27" t="s">
        <v>51</v>
      </c>
      <c r="AN171" s="27" t="s">
        <v>1510</v>
      </c>
      <c r="AO171" s="27" t="s">
        <v>1503</v>
      </c>
      <c r="AP171" s="27" t="s">
        <v>437</v>
      </c>
      <c r="AQ171" s="27" t="s">
        <v>1511</v>
      </c>
    </row>
    <row r="172" ht="15.75" customHeight="1" spans="1:43">
      <c r="A172" s="29"/>
      <c r="B172" s="29"/>
      <c r="C172" s="29"/>
      <c r="D172" s="32" t="s">
        <v>79</v>
      </c>
      <c r="E172" s="32"/>
      <c r="F172" s="32" t="s">
        <v>80</v>
      </c>
      <c r="G172" s="32"/>
      <c r="H172" s="32" t="s">
        <v>53</v>
      </c>
      <c r="I172" s="27" t="str">
        <f t="shared" si="0"/>
        <v>Talbo, Milrose</v>
      </c>
      <c r="J172" s="32" t="s">
        <v>1512</v>
      </c>
      <c r="K172" s="32" t="s">
        <v>1513</v>
      </c>
      <c r="L172" s="33"/>
      <c r="M172" s="32" t="s">
        <v>57</v>
      </c>
      <c r="N172" s="32" t="s">
        <v>1514</v>
      </c>
      <c r="O172" s="32" t="s">
        <v>1515</v>
      </c>
      <c r="P172" s="32"/>
      <c r="Q172" s="32" t="s">
        <v>1516</v>
      </c>
      <c r="R172" s="32"/>
      <c r="S172" s="31">
        <v>32746</v>
      </c>
      <c r="T172" s="88">
        <f ca="1" t="shared" si="1"/>
        <v>37</v>
      </c>
      <c r="U172" s="27"/>
      <c r="V172" s="27"/>
      <c r="W172" s="27"/>
      <c r="X172" s="27"/>
      <c r="Y172" s="98"/>
      <c r="Z172" s="27"/>
      <c r="AA172" s="31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</row>
    <row r="173" ht="15.75" customHeight="1" spans="1:43">
      <c r="A173" s="29"/>
      <c r="B173" s="29"/>
      <c r="C173" s="29"/>
      <c r="D173" s="32" t="s">
        <v>51</v>
      </c>
      <c r="E173" s="32"/>
      <c r="F173" s="32" t="s">
        <v>380</v>
      </c>
      <c r="G173" s="32"/>
      <c r="H173" s="32" t="s">
        <v>92</v>
      </c>
      <c r="I173" s="190" t="str">
        <f t="shared" si="0"/>
        <v>Taloban, Aurora</v>
      </c>
      <c r="J173" s="32" t="s">
        <v>937</v>
      </c>
      <c r="K173" s="32" t="s">
        <v>1517</v>
      </c>
      <c r="L173" s="33" t="s">
        <v>554</v>
      </c>
      <c r="M173" s="32" t="s">
        <v>57</v>
      </c>
      <c r="N173" s="32" t="s">
        <v>1518</v>
      </c>
      <c r="O173" s="32" t="s">
        <v>200</v>
      </c>
      <c r="P173" s="32"/>
      <c r="Q173" s="32"/>
      <c r="R173" s="32" t="s">
        <v>1519</v>
      </c>
      <c r="S173" s="31">
        <v>25810</v>
      </c>
      <c r="T173" s="88">
        <f ca="1" t="shared" si="1"/>
        <v>56</v>
      </c>
      <c r="U173" s="27" t="s">
        <v>123</v>
      </c>
      <c r="V173" s="27" t="s">
        <v>1520</v>
      </c>
      <c r="W173" s="27" t="s">
        <v>1521</v>
      </c>
      <c r="X173" s="27" t="s">
        <v>51</v>
      </c>
      <c r="Y173" s="232" t="s">
        <v>1522</v>
      </c>
      <c r="Z173" s="27" t="s">
        <v>51</v>
      </c>
      <c r="AA173" s="233" t="s">
        <v>1523</v>
      </c>
      <c r="AB173" s="27" t="s">
        <v>121</v>
      </c>
      <c r="AC173" s="27" t="s">
        <v>68</v>
      </c>
      <c r="AD173" s="27"/>
      <c r="AE173" s="27" t="s">
        <v>1524</v>
      </c>
      <c r="AF173" s="27" t="s">
        <v>1525</v>
      </c>
      <c r="AG173" s="27" t="s">
        <v>249</v>
      </c>
      <c r="AH173" s="27"/>
      <c r="AI173" s="27" t="s">
        <v>154</v>
      </c>
      <c r="AJ173" s="27" t="s">
        <v>947</v>
      </c>
      <c r="AK173" s="27"/>
      <c r="AL173" s="27" t="s">
        <v>51</v>
      </c>
      <c r="AM173" s="27" t="s">
        <v>51</v>
      </c>
      <c r="AN173" s="27" t="s">
        <v>947</v>
      </c>
      <c r="AO173" s="27" t="s">
        <v>1526</v>
      </c>
      <c r="AP173" s="27" t="s">
        <v>77</v>
      </c>
      <c r="AQ173" s="27" t="s">
        <v>1527</v>
      </c>
    </row>
    <row r="174" ht="15.75" customHeight="1" spans="1:43">
      <c r="A174" s="29"/>
      <c r="B174" s="29"/>
      <c r="C174" s="29"/>
      <c r="D174" s="32" t="s">
        <v>51</v>
      </c>
      <c r="E174" s="32"/>
      <c r="F174" s="32" t="s">
        <v>380</v>
      </c>
      <c r="G174" s="32"/>
      <c r="H174" s="32" t="s">
        <v>53</v>
      </c>
      <c r="I174" s="27" t="str">
        <f t="shared" si="0"/>
        <v>Tamo, Kathelene</v>
      </c>
      <c r="J174" s="32" t="s">
        <v>1528</v>
      </c>
      <c r="K174" s="32" t="s">
        <v>1529</v>
      </c>
      <c r="L174" s="33" t="s">
        <v>818</v>
      </c>
      <c r="M174" s="32" t="s">
        <v>57</v>
      </c>
      <c r="N174" s="32" t="s">
        <v>1530</v>
      </c>
      <c r="O174" s="32" t="s">
        <v>1531</v>
      </c>
      <c r="P174" s="32"/>
      <c r="Q174" s="32" t="s">
        <v>1532</v>
      </c>
      <c r="R174" s="32" t="s">
        <v>1533</v>
      </c>
      <c r="S174" s="31">
        <v>31743</v>
      </c>
      <c r="T174" s="88">
        <f ca="1" t="shared" si="1"/>
        <v>39</v>
      </c>
      <c r="U174" s="27" t="s">
        <v>123</v>
      </c>
      <c r="V174" s="27" t="s">
        <v>1534</v>
      </c>
      <c r="W174" s="27" t="s">
        <v>1535</v>
      </c>
      <c r="X174" s="27" t="s">
        <v>51</v>
      </c>
      <c r="Y174" s="232" t="s">
        <v>1536</v>
      </c>
      <c r="Z174" s="27" t="s">
        <v>51</v>
      </c>
      <c r="AA174" s="31"/>
      <c r="AB174" s="27" t="s">
        <v>1537</v>
      </c>
      <c r="AC174" s="27" t="s">
        <v>230</v>
      </c>
      <c r="AD174" s="27" t="s">
        <v>1538</v>
      </c>
      <c r="AE174" s="27"/>
      <c r="AF174" s="27"/>
      <c r="AG174" s="27"/>
      <c r="AH174" s="27"/>
      <c r="AI174" s="27" t="s">
        <v>154</v>
      </c>
      <c r="AJ174" s="27" t="s">
        <v>1539</v>
      </c>
      <c r="AK174" s="27" t="s">
        <v>1540</v>
      </c>
      <c r="AL174" s="27" t="s">
        <v>51</v>
      </c>
      <c r="AM174" s="27" t="s">
        <v>51</v>
      </c>
      <c r="AN174" s="27" t="s">
        <v>1539</v>
      </c>
      <c r="AO174" s="27" t="s">
        <v>1541</v>
      </c>
      <c r="AP174" s="27" t="s">
        <v>77</v>
      </c>
      <c r="AQ174" s="27" t="s">
        <v>1542</v>
      </c>
    </row>
    <row r="175" ht="15.75" customHeight="1" spans="1:43">
      <c r="A175" s="29"/>
      <c r="B175" s="29"/>
      <c r="C175" s="29"/>
      <c r="D175" s="32" t="s">
        <v>51</v>
      </c>
      <c r="E175" s="32"/>
      <c r="F175" s="32" t="s">
        <v>396</v>
      </c>
      <c r="G175" s="32"/>
      <c r="H175" s="32" t="s">
        <v>81</v>
      </c>
      <c r="I175" s="27" t="str">
        <f t="shared" si="0"/>
        <v>Tapnio, Jeniffer</v>
      </c>
      <c r="J175" s="32" t="s">
        <v>1543</v>
      </c>
      <c r="K175" s="32" t="s">
        <v>1544</v>
      </c>
      <c r="L175" s="33"/>
      <c r="M175" s="32" t="s">
        <v>57</v>
      </c>
      <c r="N175" s="32"/>
      <c r="O175" s="32" t="s">
        <v>1545</v>
      </c>
      <c r="P175" s="32" t="s">
        <v>1193</v>
      </c>
      <c r="Q175" s="32" t="s">
        <v>1546</v>
      </c>
      <c r="R175" s="32"/>
      <c r="S175" s="31">
        <v>32455</v>
      </c>
      <c r="T175" s="88">
        <f ca="1" t="shared" si="1"/>
        <v>37</v>
      </c>
      <c r="U175" s="27" t="s">
        <v>301</v>
      </c>
      <c r="V175" s="27" t="s">
        <v>1547</v>
      </c>
      <c r="W175" s="27" t="s">
        <v>1548</v>
      </c>
      <c r="X175" s="27" t="s">
        <v>51</v>
      </c>
      <c r="Y175" s="98"/>
      <c r="Z175" s="27" t="s">
        <v>79</v>
      </c>
      <c r="AA175" s="31"/>
      <c r="AB175" s="27" t="s">
        <v>1549</v>
      </c>
      <c r="AC175" s="27" t="s">
        <v>68</v>
      </c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</row>
    <row r="176" ht="15.75" customHeight="1" spans="1:43">
      <c r="A176" s="29"/>
      <c r="B176" s="29"/>
      <c r="C176" s="29"/>
      <c r="D176" s="32" t="s">
        <v>79</v>
      </c>
      <c r="E176" s="32"/>
      <c r="F176" s="32" t="s">
        <v>91</v>
      </c>
      <c r="G176" s="32"/>
      <c r="H176" s="32" t="s">
        <v>81</v>
      </c>
      <c r="I176" s="27" t="str">
        <f t="shared" si="0"/>
        <v>Tapnio, Rachel</v>
      </c>
      <c r="J176" s="32" t="s">
        <v>1543</v>
      </c>
      <c r="K176" s="32" t="s">
        <v>1550</v>
      </c>
      <c r="L176" s="33"/>
      <c r="M176" s="32" t="s">
        <v>57</v>
      </c>
      <c r="N176" s="32"/>
      <c r="O176" s="32"/>
      <c r="P176" s="32"/>
      <c r="Q176" s="32"/>
      <c r="R176" s="32"/>
      <c r="S176" s="31"/>
      <c r="T176" s="88" t="str">
        <f ca="1" t="shared" si="1"/>
        <v/>
      </c>
      <c r="U176" s="27"/>
      <c r="V176" s="27"/>
      <c r="W176" s="27"/>
      <c r="X176" s="27"/>
      <c r="Y176" s="98"/>
      <c r="Z176" s="27"/>
      <c r="AA176" s="31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</row>
    <row r="177" ht="15.75" customHeight="1" spans="1:43">
      <c r="A177" s="29"/>
      <c r="B177" s="29"/>
      <c r="C177" s="29"/>
      <c r="D177" s="32" t="s">
        <v>51</v>
      </c>
      <c r="E177" s="32"/>
      <c r="F177" s="32" t="s">
        <v>566</v>
      </c>
      <c r="G177" s="32"/>
      <c r="H177" s="32" t="s">
        <v>81</v>
      </c>
      <c r="I177" s="27" t="str">
        <f t="shared" si="0"/>
        <v>Tiw-tiw, Danrea</v>
      </c>
      <c r="J177" s="32" t="s">
        <v>1551</v>
      </c>
      <c r="K177" s="32" t="s">
        <v>1552</v>
      </c>
      <c r="L177" s="33" t="s">
        <v>422</v>
      </c>
      <c r="M177" s="32" t="s">
        <v>57</v>
      </c>
      <c r="N177" s="32" t="s">
        <v>1553</v>
      </c>
      <c r="O177" s="32" t="s">
        <v>241</v>
      </c>
      <c r="P177" s="32" t="s">
        <v>1554</v>
      </c>
      <c r="Q177" s="32" t="s">
        <v>1555</v>
      </c>
      <c r="R177" s="32"/>
      <c r="S177" s="31">
        <v>31841</v>
      </c>
      <c r="T177" s="88">
        <f ca="1" t="shared" si="1"/>
        <v>39</v>
      </c>
      <c r="U177" s="27" t="s">
        <v>123</v>
      </c>
      <c r="V177" s="27" t="s">
        <v>1556</v>
      </c>
      <c r="W177" s="27" t="s">
        <v>1557</v>
      </c>
      <c r="X177" s="27" t="s">
        <v>51</v>
      </c>
      <c r="Y177" s="98"/>
      <c r="Z177" s="27" t="s">
        <v>51</v>
      </c>
      <c r="AA177" s="31"/>
      <c r="AB177" s="27" t="s">
        <v>121</v>
      </c>
      <c r="AC177" s="27" t="s">
        <v>103</v>
      </c>
      <c r="AD177" s="27" t="s">
        <v>1558</v>
      </c>
      <c r="AE177" s="27" t="s">
        <v>190</v>
      </c>
      <c r="AF177" s="27" t="s">
        <v>190</v>
      </c>
      <c r="AG177" s="27" t="s">
        <v>249</v>
      </c>
      <c r="AH177" s="27"/>
      <c r="AI177" s="27" t="s">
        <v>154</v>
      </c>
      <c r="AJ177" s="27" t="s">
        <v>1559</v>
      </c>
      <c r="AK177" s="27" t="s">
        <v>1560</v>
      </c>
      <c r="AL177" s="27" t="s">
        <v>51</v>
      </c>
      <c r="AM177" s="27" t="s">
        <v>157</v>
      </c>
      <c r="AN177" s="27" t="s">
        <v>1559</v>
      </c>
      <c r="AO177" s="27" t="s">
        <v>1561</v>
      </c>
      <c r="AP177" s="27" t="s">
        <v>77</v>
      </c>
      <c r="AQ177" s="27" t="s">
        <v>1562</v>
      </c>
    </row>
    <row r="178" ht="15.75" customHeight="1" spans="1:43">
      <c r="A178" s="29"/>
      <c r="B178" s="29"/>
      <c r="C178" s="29"/>
      <c r="D178" s="32" t="s">
        <v>79</v>
      </c>
      <c r="E178" s="32"/>
      <c r="F178" s="32" t="s">
        <v>309</v>
      </c>
      <c r="G178" s="32"/>
      <c r="H178" s="32" t="s">
        <v>92</v>
      </c>
      <c r="I178" s="190" t="str">
        <f t="shared" si="0"/>
        <v>Tomas, Andrea</v>
      </c>
      <c r="J178" s="32" t="s">
        <v>1563</v>
      </c>
      <c r="K178" s="32" t="s">
        <v>1564</v>
      </c>
      <c r="L178" s="33"/>
      <c r="M178" s="32" t="s">
        <v>57</v>
      </c>
      <c r="N178" s="32"/>
      <c r="O178" s="32"/>
      <c r="P178" s="32"/>
      <c r="Q178" s="32"/>
      <c r="R178" s="32"/>
      <c r="S178" s="31"/>
      <c r="T178" s="88" t="str">
        <f ca="1" t="shared" si="1"/>
        <v/>
      </c>
      <c r="U178" s="27"/>
      <c r="V178" s="27"/>
      <c r="W178" s="27"/>
      <c r="X178" s="27"/>
      <c r="Y178" s="98"/>
      <c r="Z178" s="27"/>
      <c r="AA178" s="31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</row>
    <row r="179" ht="15.75" customHeight="1" spans="1:43">
      <c r="A179" s="29"/>
      <c r="B179" s="29"/>
      <c r="C179" s="29"/>
      <c r="D179" s="32" t="s">
        <v>79</v>
      </c>
      <c r="E179" s="32"/>
      <c r="F179" s="32" t="s">
        <v>566</v>
      </c>
      <c r="G179" s="32"/>
      <c r="H179" s="32" t="s">
        <v>81</v>
      </c>
      <c r="I179" s="27" t="str">
        <f t="shared" si="0"/>
        <v>Torcedo, Estela</v>
      </c>
      <c r="J179" s="32" t="s">
        <v>1565</v>
      </c>
      <c r="K179" s="32" t="s">
        <v>1566</v>
      </c>
      <c r="L179" s="33"/>
      <c r="M179" s="32" t="s">
        <v>57</v>
      </c>
      <c r="N179" s="32"/>
      <c r="O179" s="32" t="s">
        <v>1567</v>
      </c>
      <c r="P179" s="32"/>
      <c r="Q179" s="32" t="s">
        <v>1568</v>
      </c>
      <c r="R179" s="32"/>
      <c r="S179" s="31">
        <v>15361</v>
      </c>
      <c r="T179" s="88">
        <f ca="1" t="shared" si="1"/>
        <v>84</v>
      </c>
      <c r="U179" s="27"/>
      <c r="V179" s="27"/>
      <c r="W179" s="27"/>
      <c r="X179" s="27"/>
      <c r="Y179" s="98"/>
      <c r="Z179" s="27"/>
      <c r="AA179" s="31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</row>
    <row r="180" ht="15.75" customHeight="1" spans="1:43">
      <c r="A180" s="29"/>
      <c r="B180" s="29"/>
      <c r="C180" s="29"/>
      <c r="D180" s="32" t="s">
        <v>79</v>
      </c>
      <c r="E180" s="32"/>
      <c r="F180" s="32" t="s">
        <v>566</v>
      </c>
      <c r="G180" s="32"/>
      <c r="H180" s="32" t="s">
        <v>81</v>
      </c>
      <c r="I180" s="27" t="str">
        <f t="shared" si="0"/>
        <v>Tubera, Thelma</v>
      </c>
      <c r="J180" s="32" t="s">
        <v>1569</v>
      </c>
      <c r="K180" s="32" t="s">
        <v>1570</v>
      </c>
      <c r="L180" s="33"/>
      <c r="M180" s="32" t="s">
        <v>57</v>
      </c>
      <c r="N180" s="32"/>
      <c r="O180" s="32"/>
      <c r="P180" s="32"/>
      <c r="Q180" s="32"/>
      <c r="R180" s="32"/>
      <c r="S180" s="31"/>
      <c r="T180" s="88" t="str">
        <f ca="1" t="shared" si="1"/>
        <v/>
      </c>
      <c r="U180" s="27"/>
      <c r="V180" s="27"/>
      <c r="W180" s="27"/>
      <c r="X180" s="27"/>
      <c r="Y180" s="98"/>
      <c r="Z180" s="27"/>
      <c r="AA180" s="31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</row>
    <row r="181" ht="15.75" customHeight="1" spans="1:43">
      <c r="A181" s="29"/>
      <c r="B181" s="29"/>
      <c r="C181" s="29"/>
      <c r="D181" s="32" t="s">
        <v>51</v>
      </c>
      <c r="E181" s="32"/>
      <c r="F181" s="32" t="s">
        <v>236</v>
      </c>
      <c r="G181" s="32"/>
      <c r="H181" s="32" t="s">
        <v>81</v>
      </c>
      <c r="I181" s="199" t="str">
        <f t="shared" si="0"/>
        <v>Visaya, Arcelyn</v>
      </c>
      <c r="J181" s="32" t="s">
        <v>1571</v>
      </c>
      <c r="K181" s="32" t="s">
        <v>1572</v>
      </c>
      <c r="L181" s="33" t="s">
        <v>422</v>
      </c>
      <c r="M181" s="32" t="s">
        <v>57</v>
      </c>
      <c r="N181" s="32" t="s">
        <v>1573</v>
      </c>
      <c r="O181" s="32" t="s">
        <v>193</v>
      </c>
      <c r="P181" s="32"/>
      <c r="Q181" s="32" t="s">
        <v>1574</v>
      </c>
      <c r="R181" s="32" t="s">
        <v>1575</v>
      </c>
      <c r="S181" s="31">
        <v>23121</v>
      </c>
      <c r="T181" s="88">
        <f ca="1" t="shared" si="1"/>
        <v>63</v>
      </c>
      <c r="U181" s="27" t="s">
        <v>123</v>
      </c>
      <c r="V181" s="27" t="s">
        <v>1576</v>
      </c>
      <c r="W181" s="27" t="s">
        <v>1577</v>
      </c>
      <c r="X181" s="27" t="s">
        <v>51</v>
      </c>
      <c r="Y181" s="232" t="s">
        <v>1578</v>
      </c>
      <c r="Z181" s="27" t="s">
        <v>51</v>
      </c>
      <c r="AA181" s="233" t="s">
        <v>1579</v>
      </c>
      <c r="AB181" s="27" t="s">
        <v>149</v>
      </c>
      <c r="AC181" s="27" t="s">
        <v>68</v>
      </c>
      <c r="AD181" s="27"/>
      <c r="AE181" s="27"/>
      <c r="AF181" s="27"/>
      <c r="AG181" s="27"/>
      <c r="AH181" s="27"/>
      <c r="AI181" s="27"/>
      <c r="AJ181" s="27" t="s">
        <v>1580</v>
      </c>
      <c r="AK181" s="27"/>
      <c r="AL181" s="27" t="s">
        <v>51</v>
      </c>
      <c r="AM181" s="27"/>
      <c r="AN181" s="27"/>
      <c r="AO181" s="27"/>
      <c r="AP181" s="27"/>
      <c r="AQ181" s="27"/>
    </row>
    <row r="182" ht="15.75" customHeight="1" spans="1:43">
      <c r="A182" s="29"/>
      <c r="B182" s="29"/>
      <c r="C182" s="29"/>
      <c r="D182" s="32" t="s">
        <v>51</v>
      </c>
      <c r="E182" s="32"/>
      <c r="F182" s="32" t="s">
        <v>91</v>
      </c>
      <c r="G182" s="32"/>
      <c r="H182" s="32" t="s">
        <v>81</v>
      </c>
      <c r="I182" s="27" t="str">
        <f t="shared" si="0"/>
        <v>Wagang, Vilma</v>
      </c>
      <c r="J182" s="32" t="s">
        <v>1581</v>
      </c>
      <c r="K182" s="32" t="s">
        <v>972</v>
      </c>
      <c r="L182" s="33" t="s">
        <v>818</v>
      </c>
      <c r="M182" s="32" t="s">
        <v>57</v>
      </c>
      <c r="N182" s="32" t="s">
        <v>1582</v>
      </c>
      <c r="O182" s="32" t="s">
        <v>1583</v>
      </c>
      <c r="P182" s="32"/>
      <c r="Q182" s="32" t="s">
        <v>1584</v>
      </c>
      <c r="R182" s="32" t="s">
        <v>1585</v>
      </c>
      <c r="S182" s="31">
        <v>30681</v>
      </c>
      <c r="T182" s="88">
        <f ca="1" t="shared" si="1"/>
        <v>42</v>
      </c>
      <c r="U182" s="27" t="s">
        <v>1586</v>
      </c>
      <c r="V182" s="27" t="s">
        <v>1587</v>
      </c>
      <c r="W182" s="27" t="s">
        <v>1588</v>
      </c>
      <c r="X182" s="27" t="s">
        <v>51</v>
      </c>
      <c r="Y182" s="232" t="s">
        <v>1589</v>
      </c>
      <c r="Z182" s="27" t="s">
        <v>51</v>
      </c>
      <c r="AA182" s="233" t="s">
        <v>1590</v>
      </c>
      <c r="AB182" s="27" t="s">
        <v>121</v>
      </c>
      <c r="AC182" s="27"/>
      <c r="AD182" s="27" t="s">
        <v>1591</v>
      </c>
      <c r="AE182" s="27"/>
      <c r="AF182" s="27"/>
      <c r="AG182" s="27"/>
      <c r="AH182" s="27"/>
      <c r="AI182" s="27" t="s">
        <v>1592</v>
      </c>
      <c r="AJ182" s="27" t="s">
        <v>1593</v>
      </c>
      <c r="AK182" s="27" t="s">
        <v>1594</v>
      </c>
      <c r="AL182" s="27" t="s">
        <v>51</v>
      </c>
      <c r="AM182" s="27" t="s">
        <v>51</v>
      </c>
      <c r="AN182" s="27" t="s">
        <v>1593</v>
      </c>
      <c r="AO182" s="27" t="s">
        <v>1595</v>
      </c>
      <c r="AP182" s="27" t="s">
        <v>77</v>
      </c>
      <c r="AQ182" s="32" t="s">
        <v>1596</v>
      </c>
    </row>
    <row r="183" ht="15.75" customHeight="1" spans="1:43">
      <c r="A183" s="29"/>
      <c r="B183" s="29"/>
      <c r="C183" s="29"/>
      <c r="D183" s="32" t="s">
        <v>51</v>
      </c>
      <c r="E183" s="32"/>
      <c r="F183" s="32" t="s">
        <v>125</v>
      </c>
      <c r="G183" s="32"/>
      <c r="H183" s="32" t="s">
        <v>53</v>
      </c>
      <c r="I183" s="27" t="str">
        <f t="shared" si="0"/>
        <v>Wakit, Agnes</v>
      </c>
      <c r="J183" s="32" t="s">
        <v>1597</v>
      </c>
      <c r="K183" s="32" t="s">
        <v>1598</v>
      </c>
      <c r="L183" s="33"/>
      <c r="M183" s="32" t="s">
        <v>57</v>
      </c>
      <c r="N183" s="32"/>
      <c r="O183" s="32" t="s">
        <v>478</v>
      </c>
      <c r="P183" s="32"/>
      <c r="Q183" s="32" t="s">
        <v>1599</v>
      </c>
      <c r="R183" s="32"/>
      <c r="S183" s="31">
        <v>21425</v>
      </c>
      <c r="T183" s="88">
        <f ca="1" t="shared" si="1"/>
        <v>68</v>
      </c>
      <c r="U183" s="27" t="s">
        <v>1315</v>
      </c>
      <c r="V183" s="27" t="s">
        <v>1600</v>
      </c>
      <c r="W183" s="27" t="s">
        <v>1600</v>
      </c>
      <c r="X183" s="27"/>
      <c r="Y183" s="98"/>
      <c r="Z183" s="27"/>
      <c r="AA183" s="31"/>
      <c r="AB183" s="27" t="s">
        <v>121</v>
      </c>
      <c r="AC183" s="27" t="s">
        <v>230</v>
      </c>
      <c r="AD183" s="27" t="s">
        <v>1601</v>
      </c>
      <c r="AE183" s="27" t="s">
        <v>1602</v>
      </c>
      <c r="AF183" s="27" t="s">
        <v>1602</v>
      </c>
      <c r="AG183" s="27" t="s">
        <v>1603</v>
      </c>
      <c r="AH183" s="27" t="s">
        <v>153</v>
      </c>
      <c r="AI183" s="27" t="s">
        <v>515</v>
      </c>
      <c r="AJ183" s="27" t="s">
        <v>1604</v>
      </c>
      <c r="AK183" s="27" t="s">
        <v>1605</v>
      </c>
      <c r="AL183" s="27" t="s">
        <v>157</v>
      </c>
      <c r="AM183" s="27" t="s">
        <v>157</v>
      </c>
      <c r="AN183" s="27" t="s">
        <v>1604</v>
      </c>
      <c r="AO183" s="27" t="s">
        <v>478</v>
      </c>
      <c r="AP183" s="27" t="s">
        <v>77</v>
      </c>
      <c r="AQ183" s="27"/>
    </row>
    <row r="184" ht="15.75" customHeight="1" spans="1:43">
      <c r="A184" s="29"/>
      <c r="B184" s="29"/>
      <c r="C184" s="29"/>
      <c r="D184" s="32" t="s">
        <v>51</v>
      </c>
      <c r="E184" s="32"/>
      <c r="F184" s="32" t="s">
        <v>274</v>
      </c>
      <c r="G184" s="32"/>
      <c r="H184" s="32" t="s">
        <v>81</v>
      </c>
      <c r="I184" s="27" t="str">
        <f t="shared" si="0"/>
        <v>Wakit, Tese</v>
      </c>
      <c r="J184" s="32" t="s">
        <v>1597</v>
      </c>
      <c r="K184" s="32" t="s">
        <v>1606</v>
      </c>
      <c r="L184" s="33"/>
      <c r="M184" s="32" t="s">
        <v>57</v>
      </c>
      <c r="N184" s="32"/>
      <c r="O184" s="32" t="s">
        <v>129</v>
      </c>
      <c r="P184" s="32"/>
      <c r="Q184" s="32" t="s">
        <v>1607</v>
      </c>
      <c r="R184" s="32"/>
      <c r="S184" s="31">
        <v>24351</v>
      </c>
      <c r="T184" s="88">
        <f ca="1" t="shared" si="1"/>
        <v>60</v>
      </c>
      <c r="U184" s="27" t="s">
        <v>806</v>
      </c>
      <c r="V184" s="27" t="s">
        <v>1608</v>
      </c>
      <c r="W184" s="27" t="s">
        <v>1609</v>
      </c>
      <c r="X184" s="27" t="s">
        <v>51</v>
      </c>
      <c r="Y184" s="232" t="s">
        <v>901</v>
      </c>
      <c r="Z184" s="27"/>
      <c r="AA184" s="31"/>
      <c r="AB184" s="27"/>
      <c r="AC184" s="27"/>
      <c r="AD184" s="27"/>
      <c r="AE184" s="27"/>
      <c r="AF184" s="27"/>
      <c r="AG184" s="27"/>
      <c r="AH184" s="27"/>
      <c r="AI184" s="27"/>
      <c r="AJ184" s="27" t="s">
        <v>1610</v>
      </c>
      <c r="AK184" s="27"/>
      <c r="AL184" s="27"/>
      <c r="AM184" s="27"/>
      <c r="AN184" s="27"/>
      <c r="AO184" s="27"/>
      <c r="AP184" s="27"/>
      <c r="AQ184" s="27"/>
    </row>
    <row r="185" ht="15.75" customHeight="1" spans="1:43">
      <c r="A185" s="29"/>
      <c r="B185" s="29"/>
      <c r="C185" s="29"/>
      <c r="D185" s="32" t="s">
        <v>51</v>
      </c>
      <c r="E185" s="32"/>
      <c r="F185" s="32" t="s">
        <v>380</v>
      </c>
      <c r="G185" s="32"/>
      <c r="H185" s="32" t="s">
        <v>81</v>
      </c>
      <c r="I185" s="27" t="str">
        <f t="shared" si="0"/>
        <v>Wasian, Lory Jane</v>
      </c>
      <c r="J185" s="32" t="s">
        <v>1611</v>
      </c>
      <c r="K185" s="32" t="s">
        <v>1612</v>
      </c>
      <c r="L185" s="33"/>
      <c r="M185" s="32" t="s">
        <v>57</v>
      </c>
      <c r="N185" s="32" t="s">
        <v>1613</v>
      </c>
      <c r="O185" s="32" t="s">
        <v>1222</v>
      </c>
      <c r="P185" s="32" t="s">
        <v>1614</v>
      </c>
      <c r="Q185" s="32" t="s">
        <v>1615</v>
      </c>
      <c r="R185" s="32"/>
      <c r="S185" s="31">
        <v>27691</v>
      </c>
      <c r="T185" s="88">
        <f ca="1" t="shared" si="1"/>
        <v>51</v>
      </c>
      <c r="U185" s="27" t="s">
        <v>1554</v>
      </c>
      <c r="V185" s="27" t="s">
        <v>1616</v>
      </c>
      <c r="W185" s="27" t="s">
        <v>137</v>
      </c>
      <c r="X185" s="27" t="s">
        <v>51</v>
      </c>
      <c r="Y185" s="98"/>
      <c r="Z185" s="27" t="s">
        <v>51</v>
      </c>
      <c r="AA185" s="31"/>
      <c r="AB185" s="27"/>
      <c r="AC185" s="27" t="s">
        <v>1617</v>
      </c>
      <c r="AD185" s="27" t="s">
        <v>189</v>
      </c>
      <c r="AE185" s="27"/>
      <c r="AF185" s="27"/>
      <c r="AG185" s="27"/>
      <c r="AH185" s="27" t="s">
        <v>153</v>
      </c>
      <c r="AI185" s="27"/>
      <c r="AJ185" s="27" t="s">
        <v>1618</v>
      </c>
      <c r="AK185" s="27" t="s">
        <v>1619</v>
      </c>
      <c r="AL185" s="27" t="s">
        <v>51</v>
      </c>
      <c r="AM185" s="27" t="s">
        <v>51</v>
      </c>
      <c r="AN185" s="27" t="s">
        <v>1618</v>
      </c>
      <c r="AO185" s="27" t="s">
        <v>1620</v>
      </c>
      <c r="AP185" s="27" t="s">
        <v>77</v>
      </c>
      <c r="AQ185" s="27" t="s">
        <v>1621</v>
      </c>
    </row>
    <row r="186" ht="15.75" customHeight="1" spans="1:43">
      <c r="A186" s="29"/>
      <c r="B186" s="29"/>
      <c r="C186" s="29"/>
      <c r="D186" s="32" t="s">
        <v>79</v>
      </c>
      <c r="E186" s="32"/>
      <c r="F186" s="32" t="s">
        <v>566</v>
      </c>
      <c r="G186" s="32"/>
      <c r="H186" s="32" t="s">
        <v>81</v>
      </c>
      <c r="I186" s="27" t="str">
        <f t="shared" si="0"/>
        <v>Wong, Reggie</v>
      </c>
      <c r="J186" s="32" t="s">
        <v>1622</v>
      </c>
      <c r="K186" s="32" t="s">
        <v>1623</v>
      </c>
      <c r="L186" s="33"/>
      <c r="M186" s="32" t="s">
        <v>57</v>
      </c>
      <c r="N186" s="32"/>
      <c r="O186" s="32"/>
      <c r="P186" s="32"/>
      <c r="Q186" s="32"/>
      <c r="R186" s="32"/>
      <c r="S186" s="31"/>
      <c r="T186" s="88" t="str">
        <f ca="1" t="shared" si="1"/>
        <v/>
      </c>
      <c r="U186" s="27"/>
      <c r="V186" s="27"/>
      <c r="W186" s="27"/>
      <c r="X186" s="27"/>
      <c r="Y186" s="98"/>
      <c r="Z186" s="27"/>
      <c r="AA186" s="31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</row>
    <row r="187" ht="15.75" customHeight="1" spans="1:43">
      <c r="A187" s="29"/>
      <c r="B187" s="29"/>
      <c r="C187" s="29"/>
      <c r="D187" s="32" t="s">
        <v>51</v>
      </c>
      <c r="E187" s="32"/>
      <c r="F187" s="32" t="s">
        <v>91</v>
      </c>
      <c r="G187" s="32"/>
      <c r="H187" s="32" t="s">
        <v>126</v>
      </c>
      <c r="I187" s="27" t="str">
        <f t="shared" si="0"/>
        <v>Zapata, Florencia</v>
      </c>
      <c r="J187" s="32" t="s">
        <v>1624</v>
      </c>
      <c r="K187" s="32" t="s">
        <v>1625</v>
      </c>
      <c r="L187" s="33"/>
      <c r="M187" s="32" t="s">
        <v>57</v>
      </c>
      <c r="N187" s="32">
        <v>33</v>
      </c>
      <c r="O187" s="32" t="s">
        <v>1626</v>
      </c>
      <c r="P187" s="32"/>
      <c r="Q187" s="32" t="s">
        <v>1093</v>
      </c>
      <c r="R187" s="32" t="s">
        <v>1627</v>
      </c>
      <c r="S187" s="31">
        <v>26797</v>
      </c>
      <c r="T187" s="88">
        <f ca="1" t="shared" si="1"/>
        <v>53</v>
      </c>
      <c r="U187" s="27" t="s">
        <v>123</v>
      </c>
      <c r="V187" s="27" t="s">
        <v>1628</v>
      </c>
      <c r="W187" s="27" t="s">
        <v>1629</v>
      </c>
      <c r="X187" s="27"/>
      <c r="Y187" s="98"/>
      <c r="Z187" s="27" t="s">
        <v>51</v>
      </c>
      <c r="AA187" s="233" t="s">
        <v>1630</v>
      </c>
      <c r="AB187" s="27" t="s">
        <v>121</v>
      </c>
      <c r="AC187" s="27" t="s">
        <v>1631</v>
      </c>
      <c r="AD187" s="27" t="s">
        <v>1632</v>
      </c>
      <c r="AE187" s="27" t="s">
        <v>1633</v>
      </c>
      <c r="AF187" s="27" t="s">
        <v>1634</v>
      </c>
      <c r="AG187" s="27" t="s">
        <v>190</v>
      </c>
      <c r="AH187" s="27"/>
      <c r="AI187" s="27" t="s">
        <v>154</v>
      </c>
      <c r="AJ187" s="27" t="s">
        <v>1635</v>
      </c>
      <c r="AK187" s="27" t="s">
        <v>1636</v>
      </c>
      <c r="AL187" s="27" t="s">
        <v>51</v>
      </c>
      <c r="AM187" s="27" t="s">
        <v>51</v>
      </c>
      <c r="AN187" s="27" t="s">
        <v>1635</v>
      </c>
      <c r="AO187" s="27" t="s">
        <v>1100</v>
      </c>
      <c r="AP187" s="27" t="s">
        <v>77</v>
      </c>
      <c r="AQ187" s="27" t="s">
        <v>1637</v>
      </c>
    </row>
    <row r="188" ht="15.75" customHeight="1" spans="1:43">
      <c r="A188" s="29"/>
      <c r="B188" s="29"/>
      <c r="C188" s="29"/>
      <c r="D188" s="32"/>
      <c r="E188" s="32"/>
      <c r="F188" s="32"/>
      <c r="G188" s="32"/>
      <c r="H188" s="32"/>
      <c r="I188" s="27" t="str">
        <f t="shared" si="0"/>
        <v/>
      </c>
      <c r="J188" s="32"/>
      <c r="K188" s="32"/>
      <c r="L188" s="33"/>
      <c r="M188" s="32"/>
      <c r="N188" s="32"/>
      <c r="O188" s="32"/>
      <c r="P188" s="32"/>
      <c r="Q188" s="32"/>
      <c r="R188" s="32"/>
      <c r="S188" s="31"/>
      <c r="T188" s="88" t="str">
        <f ca="1" t="shared" si="1"/>
        <v/>
      </c>
      <c r="U188" s="27"/>
      <c r="V188" s="27"/>
      <c r="W188" s="27"/>
      <c r="X188" s="27"/>
      <c r="Y188" s="98"/>
      <c r="Z188" s="27"/>
      <c r="AA188" s="31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</row>
    <row r="189" ht="15.75" customHeight="1" spans="1:43">
      <c r="A189" s="29"/>
      <c r="B189" s="29"/>
      <c r="C189" s="29"/>
      <c r="D189" s="32"/>
      <c r="E189" s="32"/>
      <c r="F189" s="32"/>
      <c r="G189" s="32"/>
      <c r="H189" s="32"/>
      <c r="I189" s="27" t="str">
        <f t="shared" si="0"/>
        <v/>
      </c>
      <c r="J189" s="32"/>
      <c r="K189" s="32"/>
      <c r="L189" s="33"/>
      <c r="M189" s="32"/>
      <c r="N189" s="32"/>
      <c r="O189" s="32"/>
      <c r="P189" s="32"/>
      <c r="Q189" s="32"/>
      <c r="R189" s="32"/>
      <c r="S189" s="31"/>
      <c r="T189" s="88" t="str">
        <f ca="1" t="shared" si="1"/>
        <v/>
      </c>
      <c r="U189" s="27"/>
      <c r="V189" s="27"/>
      <c r="W189" s="27"/>
      <c r="X189" s="27"/>
      <c r="Y189" s="98"/>
      <c r="Z189" s="27"/>
      <c r="AA189" s="31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</row>
    <row r="190" ht="15.75" customHeight="1" spans="1:43">
      <c r="A190" s="29"/>
      <c r="B190" s="29"/>
      <c r="C190" s="29"/>
      <c r="D190" s="32"/>
      <c r="E190" s="32"/>
      <c r="F190" s="32"/>
      <c r="G190" s="32"/>
      <c r="H190" s="32"/>
      <c r="I190" s="27" t="str">
        <f t="shared" si="0"/>
        <v/>
      </c>
      <c r="J190" s="32"/>
      <c r="K190" s="32"/>
      <c r="L190" s="33"/>
      <c r="M190" s="32"/>
      <c r="N190" s="32"/>
      <c r="O190" s="32"/>
      <c r="P190" s="32"/>
      <c r="Q190" s="32"/>
      <c r="R190" s="32"/>
      <c r="S190" s="31"/>
      <c r="T190" s="88" t="str">
        <f ca="1" t="shared" si="1"/>
        <v/>
      </c>
      <c r="U190" s="27"/>
      <c r="V190" s="27"/>
      <c r="W190" s="27"/>
      <c r="X190" s="27"/>
      <c r="Y190" s="98"/>
      <c r="Z190" s="27"/>
      <c r="AA190" s="31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</row>
    <row r="191" ht="15.75" customHeight="1" spans="1:43">
      <c r="A191" s="29"/>
      <c r="B191" s="29"/>
      <c r="C191" s="29"/>
      <c r="D191" s="32"/>
      <c r="E191" s="32"/>
      <c r="F191" s="32"/>
      <c r="G191" s="32"/>
      <c r="H191" s="32"/>
      <c r="I191" s="27" t="str">
        <f t="shared" si="0"/>
        <v/>
      </c>
      <c r="J191" s="32"/>
      <c r="K191" s="32"/>
      <c r="L191" s="33"/>
      <c r="M191" s="32"/>
      <c r="N191" s="32"/>
      <c r="O191" s="32"/>
      <c r="P191" s="32"/>
      <c r="Q191" s="32"/>
      <c r="R191" s="32"/>
      <c r="S191" s="31"/>
      <c r="T191" s="88" t="str">
        <f ca="1" t="shared" si="1"/>
        <v/>
      </c>
      <c r="U191" s="27"/>
      <c r="V191" s="27"/>
      <c r="W191" s="27"/>
      <c r="X191" s="27"/>
      <c r="Y191" s="98"/>
      <c r="Z191" s="27"/>
      <c r="AA191" s="31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</row>
    <row r="192" ht="15.75" customHeight="1" spans="1:43">
      <c r="A192" s="29"/>
      <c r="B192" s="29"/>
      <c r="C192" s="29"/>
      <c r="D192" s="32"/>
      <c r="E192" s="32"/>
      <c r="F192" s="32"/>
      <c r="G192" s="32"/>
      <c r="H192" s="32"/>
      <c r="I192" s="27" t="str">
        <f t="shared" si="0"/>
        <v/>
      </c>
      <c r="J192" s="32"/>
      <c r="K192" s="32"/>
      <c r="L192" s="33"/>
      <c r="M192" s="32"/>
      <c r="N192" s="32"/>
      <c r="O192" s="32"/>
      <c r="P192" s="32"/>
      <c r="Q192" s="32"/>
      <c r="R192" s="32"/>
      <c r="S192" s="31"/>
      <c r="T192" s="88" t="str">
        <f ca="1" t="shared" si="1"/>
        <v/>
      </c>
      <c r="U192" s="27"/>
      <c r="V192" s="27"/>
      <c r="W192" s="27"/>
      <c r="X192" s="27"/>
      <c r="Y192" s="98"/>
      <c r="Z192" s="27"/>
      <c r="AA192" s="31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</row>
    <row r="193" ht="15.75" customHeight="1" spans="1:43">
      <c r="A193" s="29"/>
      <c r="B193" s="29"/>
      <c r="C193" s="29"/>
      <c r="D193" s="32"/>
      <c r="E193" s="32"/>
      <c r="F193" s="32"/>
      <c r="G193" s="32"/>
      <c r="H193" s="32"/>
      <c r="I193" s="27" t="str">
        <f t="shared" si="0"/>
        <v/>
      </c>
      <c r="J193" s="32"/>
      <c r="K193" s="32"/>
      <c r="L193" s="33"/>
      <c r="M193" s="32"/>
      <c r="N193" s="32"/>
      <c r="O193" s="32"/>
      <c r="P193" s="32"/>
      <c r="Q193" s="32"/>
      <c r="R193" s="32"/>
      <c r="S193" s="31"/>
      <c r="T193" s="88" t="str">
        <f ca="1" t="shared" si="1"/>
        <v/>
      </c>
      <c r="U193" s="27"/>
      <c r="V193" s="27"/>
      <c r="W193" s="27"/>
      <c r="X193" s="27"/>
      <c r="Y193" s="98"/>
      <c r="Z193" s="27"/>
      <c r="AA193" s="31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</row>
    <row r="194" ht="15.75" customHeight="1" spans="1:43">
      <c r="A194" s="29"/>
      <c r="B194" s="29"/>
      <c r="C194" s="29"/>
      <c r="D194" s="32"/>
      <c r="E194" s="32"/>
      <c r="F194" s="32"/>
      <c r="G194" s="32"/>
      <c r="H194" s="32"/>
      <c r="I194" s="27" t="str">
        <f t="shared" si="0"/>
        <v/>
      </c>
      <c r="J194" s="32"/>
      <c r="K194" s="32"/>
      <c r="L194" s="33"/>
      <c r="M194" s="32"/>
      <c r="N194" s="32"/>
      <c r="O194" s="32"/>
      <c r="P194" s="32"/>
      <c r="Q194" s="32"/>
      <c r="R194" s="32"/>
      <c r="S194" s="31"/>
      <c r="T194" s="88" t="str">
        <f ca="1" t="shared" si="1"/>
        <v/>
      </c>
      <c r="U194" s="27"/>
      <c r="V194" s="27"/>
      <c r="W194" s="27"/>
      <c r="X194" s="27"/>
      <c r="Y194" s="98"/>
      <c r="Z194" s="27"/>
      <c r="AA194" s="31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</row>
    <row r="195" ht="15.75" customHeight="1" spans="1:43">
      <c r="A195" s="29"/>
      <c r="B195" s="29"/>
      <c r="C195" s="29"/>
      <c r="D195" s="32"/>
      <c r="E195" s="32"/>
      <c r="F195" s="32"/>
      <c r="G195" s="32"/>
      <c r="H195" s="32"/>
      <c r="I195" s="27" t="str">
        <f t="shared" si="0"/>
        <v/>
      </c>
      <c r="J195" s="32"/>
      <c r="K195" s="32"/>
      <c r="L195" s="33"/>
      <c r="M195" s="32"/>
      <c r="N195" s="32"/>
      <c r="O195" s="32"/>
      <c r="P195" s="32"/>
      <c r="Q195" s="32"/>
      <c r="R195" s="32"/>
      <c r="S195" s="31"/>
      <c r="T195" s="88" t="str">
        <f ca="1" t="shared" si="1"/>
        <v/>
      </c>
      <c r="U195" s="27"/>
      <c r="V195" s="27"/>
      <c r="W195" s="27"/>
      <c r="X195" s="27"/>
      <c r="Y195" s="98"/>
      <c r="Z195" s="27"/>
      <c r="AA195" s="31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</row>
    <row r="196" ht="15.75" customHeight="1" spans="1:43">
      <c r="A196" s="29"/>
      <c r="B196" s="29"/>
      <c r="C196" s="29"/>
      <c r="D196" s="32"/>
      <c r="E196" s="32"/>
      <c r="F196" s="32"/>
      <c r="G196" s="32"/>
      <c r="H196" s="32"/>
      <c r="I196" s="27" t="str">
        <f t="shared" si="0"/>
        <v/>
      </c>
      <c r="J196" s="32"/>
      <c r="K196" s="32"/>
      <c r="L196" s="33"/>
      <c r="M196" s="32"/>
      <c r="N196" s="32"/>
      <c r="O196" s="32"/>
      <c r="P196" s="32"/>
      <c r="Q196" s="32"/>
      <c r="R196" s="32"/>
      <c r="S196" s="31"/>
      <c r="T196" s="88" t="str">
        <f ca="1" t="shared" si="1"/>
        <v/>
      </c>
      <c r="U196" s="27"/>
      <c r="V196" s="27"/>
      <c r="W196" s="27"/>
      <c r="X196" s="27"/>
      <c r="Y196" s="98"/>
      <c r="Z196" s="27"/>
      <c r="AA196" s="31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</row>
    <row r="197" ht="15.75" customHeight="1" spans="1:43">
      <c r="A197" s="29"/>
      <c r="B197" s="29"/>
      <c r="C197" s="29"/>
      <c r="D197" s="32"/>
      <c r="E197" s="32"/>
      <c r="F197" s="32"/>
      <c r="G197" s="32"/>
      <c r="H197" s="32"/>
      <c r="I197" s="27" t="str">
        <f t="shared" si="0"/>
        <v/>
      </c>
      <c r="J197" s="32"/>
      <c r="K197" s="32"/>
      <c r="L197" s="33"/>
      <c r="M197" s="32"/>
      <c r="N197" s="32"/>
      <c r="O197" s="32"/>
      <c r="P197" s="32"/>
      <c r="Q197" s="32"/>
      <c r="R197" s="32"/>
      <c r="S197" s="31"/>
      <c r="T197" s="88" t="str">
        <f ca="1" t="shared" si="1"/>
        <v/>
      </c>
      <c r="U197" s="27"/>
      <c r="V197" s="27"/>
      <c r="W197" s="27"/>
      <c r="X197" s="27"/>
      <c r="Y197" s="98"/>
      <c r="Z197" s="27"/>
      <c r="AA197" s="31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</row>
    <row r="198" ht="15.75" customHeight="1" spans="1:43">
      <c r="A198" s="29"/>
      <c r="B198" s="29"/>
      <c r="C198" s="29"/>
      <c r="D198" s="32"/>
      <c r="E198" s="32"/>
      <c r="F198" s="32"/>
      <c r="G198" s="32"/>
      <c r="H198" s="32"/>
      <c r="I198" s="27" t="str">
        <f t="shared" si="0"/>
        <v/>
      </c>
      <c r="J198" s="32"/>
      <c r="K198" s="32"/>
      <c r="L198" s="33"/>
      <c r="M198" s="32"/>
      <c r="N198" s="32"/>
      <c r="O198" s="32"/>
      <c r="P198" s="32"/>
      <c r="Q198" s="32"/>
      <c r="R198" s="32"/>
      <c r="S198" s="31"/>
      <c r="T198" s="88" t="str">
        <f ca="1" t="shared" si="1"/>
        <v/>
      </c>
      <c r="U198" s="27"/>
      <c r="V198" s="27"/>
      <c r="W198" s="27"/>
      <c r="X198" s="27"/>
      <c r="Y198" s="98"/>
      <c r="Z198" s="27"/>
      <c r="AA198" s="31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</row>
    <row r="199" ht="15.75" customHeight="1" spans="1:43">
      <c r="A199" s="29"/>
      <c r="B199" s="29"/>
      <c r="C199" s="29"/>
      <c r="D199" s="32"/>
      <c r="E199" s="32"/>
      <c r="F199" s="32"/>
      <c r="G199" s="32"/>
      <c r="H199" s="32"/>
      <c r="I199" s="27" t="str">
        <f t="shared" si="0"/>
        <v/>
      </c>
      <c r="J199" s="32"/>
      <c r="K199" s="32"/>
      <c r="L199" s="33"/>
      <c r="M199" s="32"/>
      <c r="N199" s="32"/>
      <c r="O199" s="32"/>
      <c r="P199" s="32"/>
      <c r="Q199" s="32"/>
      <c r="R199" s="32"/>
      <c r="S199" s="31"/>
      <c r="T199" s="88" t="str">
        <f ca="1" t="shared" si="1"/>
        <v/>
      </c>
      <c r="U199" s="27"/>
      <c r="V199" s="27"/>
      <c r="W199" s="27"/>
      <c r="X199" s="27"/>
      <c r="Y199" s="98"/>
      <c r="Z199" s="27"/>
      <c r="AA199" s="31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</row>
    <row r="200" ht="15.75" customHeight="1" spans="1:43">
      <c r="A200" s="29"/>
      <c r="B200" s="29"/>
      <c r="C200" s="29"/>
      <c r="D200" s="32"/>
      <c r="E200" s="32"/>
      <c r="F200" s="32"/>
      <c r="G200" s="32"/>
      <c r="H200" s="32"/>
      <c r="I200" s="27" t="str">
        <f t="shared" si="0"/>
        <v/>
      </c>
      <c r="J200" s="32"/>
      <c r="K200" s="32"/>
      <c r="L200" s="33"/>
      <c r="M200" s="32"/>
      <c r="N200" s="32"/>
      <c r="O200" s="32"/>
      <c r="P200" s="32"/>
      <c r="Q200" s="32"/>
      <c r="R200" s="32"/>
      <c r="S200" s="31"/>
      <c r="T200" s="88" t="str">
        <f ca="1" t="shared" si="1"/>
        <v/>
      </c>
      <c r="U200" s="27"/>
      <c r="V200" s="27"/>
      <c r="W200" s="27"/>
      <c r="X200" s="27"/>
      <c r="Y200" s="98"/>
      <c r="Z200" s="27"/>
      <c r="AA200" s="31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</row>
    <row r="201" ht="15.75" customHeight="1" spans="1:43">
      <c r="A201" s="29"/>
      <c r="B201" s="29"/>
      <c r="C201" s="29"/>
      <c r="D201" s="32"/>
      <c r="E201" s="32"/>
      <c r="F201" s="32"/>
      <c r="G201" s="32"/>
      <c r="H201" s="32"/>
      <c r="I201" s="27" t="str">
        <f t="shared" si="0"/>
        <v/>
      </c>
      <c r="J201" s="32"/>
      <c r="K201" s="32"/>
      <c r="L201" s="33"/>
      <c r="M201" s="32"/>
      <c r="N201" s="32"/>
      <c r="O201" s="32"/>
      <c r="P201" s="32"/>
      <c r="Q201" s="32"/>
      <c r="R201" s="32"/>
      <c r="S201" s="31"/>
      <c r="T201" s="88" t="str">
        <f ca="1" t="shared" si="1"/>
        <v/>
      </c>
      <c r="U201" s="27"/>
      <c r="V201" s="27"/>
      <c r="W201" s="27"/>
      <c r="X201" s="27"/>
      <c r="Y201" s="98"/>
      <c r="Z201" s="27"/>
      <c r="AA201" s="31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</row>
    <row r="202" ht="15.75" customHeight="1" spans="1:43">
      <c r="A202" s="29"/>
      <c r="B202" s="29"/>
      <c r="C202" s="29"/>
      <c r="D202" s="32"/>
      <c r="E202" s="32"/>
      <c r="F202" s="32"/>
      <c r="G202" s="32"/>
      <c r="H202" s="32"/>
      <c r="I202" s="27" t="str">
        <f t="shared" si="0"/>
        <v/>
      </c>
      <c r="J202" s="32"/>
      <c r="K202" s="32"/>
      <c r="L202" s="33"/>
      <c r="M202" s="32"/>
      <c r="N202" s="32"/>
      <c r="O202" s="32"/>
      <c r="P202" s="32"/>
      <c r="Q202" s="32"/>
      <c r="R202" s="32"/>
      <c r="S202" s="31"/>
      <c r="T202" s="88" t="str">
        <f ca="1" t="shared" si="1"/>
        <v/>
      </c>
      <c r="U202" s="27"/>
      <c r="V202" s="27"/>
      <c r="W202" s="27"/>
      <c r="X202" s="27"/>
      <c r="Y202" s="98"/>
      <c r="Z202" s="27"/>
      <c r="AA202" s="31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</row>
    <row r="203" ht="15.75" customHeight="1" spans="1:43">
      <c r="A203" s="29"/>
      <c r="B203" s="29"/>
      <c r="C203" s="29"/>
      <c r="D203" s="32"/>
      <c r="E203" s="32"/>
      <c r="F203" s="32"/>
      <c r="G203" s="32"/>
      <c r="H203" s="32"/>
      <c r="I203" s="27" t="str">
        <f t="shared" si="0"/>
        <v/>
      </c>
      <c r="J203" s="32"/>
      <c r="K203" s="32"/>
      <c r="L203" s="33"/>
      <c r="M203" s="32"/>
      <c r="N203" s="32"/>
      <c r="O203" s="32"/>
      <c r="P203" s="32"/>
      <c r="Q203" s="32"/>
      <c r="R203" s="32"/>
      <c r="S203" s="31"/>
      <c r="T203" s="88" t="str">
        <f ca="1" t="shared" si="1"/>
        <v/>
      </c>
      <c r="U203" s="27"/>
      <c r="V203" s="27"/>
      <c r="W203" s="27"/>
      <c r="X203" s="27"/>
      <c r="Y203" s="98"/>
      <c r="Z203" s="27"/>
      <c r="AA203" s="31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</row>
    <row r="204" ht="15.75" customHeight="1" spans="1:43">
      <c r="A204" s="29"/>
      <c r="B204" s="29"/>
      <c r="C204" s="29"/>
      <c r="D204" s="32"/>
      <c r="E204" s="32"/>
      <c r="F204" s="32"/>
      <c r="G204" s="32"/>
      <c r="H204" s="32"/>
      <c r="I204" s="27" t="str">
        <f t="shared" si="0"/>
        <v/>
      </c>
      <c r="J204" s="32"/>
      <c r="K204" s="32"/>
      <c r="L204" s="33"/>
      <c r="M204" s="32"/>
      <c r="N204" s="32"/>
      <c r="O204" s="32"/>
      <c r="P204" s="32"/>
      <c r="Q204" s="32"/>
      <c r="R204" s="32"/>
      <c r="S204" s="31"/>
      <c r="T204" s="88" t="str">
        <f ca="1" t="shared" si="1"/>
        <v/>
      </c>
      <c r="U204" s="27"/>
      <c r="V204" s="27"/>
      <c r="W204" s="27"/>
      <c r="X204" s="27"/>
      <c r="Y204" s="98"/>
      <c r="Z204" s="27"/>
      <c r="AA204" s="31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</row>
    <row r="205" ht="15.75" customHeight="1" spans="1:43">
      <c r="A205" s="29"/>
      <c r="B205" s="29"/>
      <c r="C205" s="29"/>
      <c r="D205" s="32"/>
      <c r="E205" s="32"/>
      <c r="F205" s="32"/>
      <c r="G205" s="32"/>
      <c r="H205" s="32"/>
      <c r="I205" s="27" t="str">
        <f t="shared" si="0"/>
        <v/>
      </c>
      <c r="J205" s="32"/>
      <c r="K205" s="32"/>
      <c r="L205" s="33"/>
      <c r="M205" s="32"/>
      <c r="N205" s="32"/>
      <c r="O205" s="32"/>
      <c r="P205" s="32"/>
      <c r="Q205" s="32"/>
      <c r="R205" s="32"/>
      <c r="S205" s="31"/>
      <c r="T205" s="88" t="str">
        <f ca="1" t="shared" si="1"/>
        <v/>
      </c>
      <c r="U205" s="27"/>
      <c r="V205" s="27"/>
      <c r="W205" s="27"/>
      <c r="X205" s="27"/>
      <c r="Y205" s="98"/>
      <c r="Z205" s="27"/>
      <c r="AA205" s="31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</row>
    <row r="206" ht="15.75" customHeight="1" spans="1:43">
      <c r="A206" s="29"/>
      <c r="B206" s="29"/>
      <c r="C206" s="29"/>
      <c r="D206" s="32"/>
      <c r="E206" s="32"/>
      <c r="F206" s="32"/>
      <c r="G206" s="32"/>
      <c r="H206" s="32"/>
      <c r="I206" s="27" t="str">
        <f t="shared" si="0"/>
        <v/>
      </c>
      <c r="J206" s="32"/>
      <c r="K206" s="32"/>
      <c r="L206" s="33"/>
      <c r="M206" s="32"/>
      <c r="N206" s="32"/>
      <c r="O206" s="32"/>
      <c r="P206" s="32"/>
      <c r="Q206" s="32"/>
      <c r="R206" s="32"/>
      <c r="S206" s="31"/>
      <c r="T206" s="88" t="str">
        <f ca="1" t="shared" si="1"/>
        <v/>
      </c>
      <c r="U206" s="27"/>
      <c r="V206" s="27"/>
      <c r="W206" s="27"/>
      <c r="X206" s="27"/>
      <c r="Y206" s="98"/>
      <c r="Z206" s="27"/>
      <c r="AA206" s="31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</row>
    <row r="207" ht="15.75" customHeight="1" spans="1:43">
      <c r="A207" s="29"/>
      <c r="B207" s="29"/>
      <c r="C207" s="29"/>
      <c r="D207" s="32"/>
      <c r="E207" s="32"/>
      <c r="F207" s="32"/>
      <c r="G207" s="32"/>
      <c r="H207" s="32"/>
      <c r="I207" s="27" t="str">
        <f t="shared" si="0"/>
        <v/>
      </c>
      <c r="J207" s="32"/>
      <c r="K207" s="32"/>
      <c r="L207" s="33"/>
      <c r="M207" s="32"/>
      <c r="N207" s="32"/>
      <c r="O207" s="32"/>
      <c r="P207" s="32"/>
      <c r="Q207" s="32"/>
      <c r="R207" s="32"/>
      <c r="S207" s="31"/>
      <c r="T207" s="88" t="str">
        <f ca="1" t="shared" si="1"/>
        <v/>
      </c>
      <c r="U207" s="27"/>
      <c r="V207" s="27"/>
      <c r="W207" s="27"/>
      <c r="X207" s="27"/>
      <c r="Y207" s="98"/>
      <c r="Z207" s="27"/>
      <c r="AA207" s="31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</row>
    <row r="208" ht="15.75" customHeight="1" spans="1:43">
      <c r="A208" s="29"/>
      <c r="B208" s="29"/>
      <c r="C208" s="29"/>
      <c r="D208" s="32"/>
      <c r="E208" s="32"/>
      <c r="F208" s="32"/>
      <c r="G208" s="32"/>
      <c r="H208" s="32"/>
      <c r="I208" s="27" t="str">
        <f t="shared" si="0"/>
        <v/>
      </c>
      <c r="J208" s="32"/>
      <c r="K208" s="32"/>
      <c r="L208" s="33"/>
      <c r="M208" s="32"/>
      <c r="N208" s="32"/>
      <c r="O208" s="32"/>
      <c r="P208" s="32"/>
      <c r="Q208" s="32"/>
      <c r="R208" s="32"/>
      <c r="S208" s="31"/>
      <c r="T208" s="88" t="str">
        <f ca="1" t="shared" si="1"/>
        <v/>
      </c>
      <c r="U208" s="27"/>
      <c r="V208" s="27"/>
      <c r="W208" s="27"/>
      <c r="X208" s="27"/>
      <c r="Y208" s="98"/>
      <c r="Z208" s="27"/>
      <c r="AA208" s="31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</row>
    <row r="209" ht="15.75" customHeight="1" spans="1:43">
      <c r="A209" s="29"/>
      <c r="B209" s="29"/>
      <c r="C209" s="29"/>
      <c r="D209" s="32"/>
      <c r="E209" s="32"/>
      <c r="F209" s="32"/>
      <c r="G209" s="32"/>
      <c r="H209" s="32"/>
      <c r="I209" s="27" t="str">
        <f t="shared" si="0"/>
        <v/>
      </c>
      <c r="J209" s="32"/>
      <c r="K209" s="32"/>
      <c r="L209" s="33"/>
      <c r="M209" s="32"/>
      <c r="N209" s="32"/>
      <c r="O209" s="32"/>
      <c r="P209" s="32"/>
      <c r="Q209" s="32"/>
      <c r="R209" s="32"/>
      <c r="S209" s="31"/>
      <c r="T209" s="88" t="str">
        <f ca="1" t="shared" si="1"/>
        <v/>
      </c>
      <c r="U209" s="27"/>
      <c r="V209" s="27"/>
      <c r="W209" s="27"/>
      <c r="X209" s="27"/>
      <c r="Y209" s="98"/>
      <c r="Z209" s="27"/>
      <c r="AA209" s="31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</row>
    <row r="210" ht="15.75" customHeight="1" spans="1:43">
      <c r="A210" s="29"/>
      <c r="B210" s="29"/>
      <c r="C210" s="29"/>
      <c r="D210" s="32"/>
      <c r="E210" s="32"/>
      <c r="F210" s="32"/>
      <c r="G210" s="32"/>
      <c r="H210" s="32"/>
      <c r="I210" s="27" t="str">
        <f t="shared" si="0"/>
        <v/>
      </c>
      <c r="J210" s="32"/>
      <c r="K210" s="32"/>
      <c r="L210" s="33"/>
      <c r="M210" s="32"/>
      <c r="N210" s="32"/>
      <c r="O210" s="32"/>
      <c r="P210" s="32"/>
      <c r="Q210" s="32"/>
      <c r="R210" s="32"/>
      <c r="S210" s="31"/>
      <c r="T210" s="88" t="str">
        <f ca="1" t="shared" si="1"/>
        <v/>
      </c>
      <c r="U210" s="27"/>
      <c r="V210" s="27"/>
      <c r="W210" s="27"/>
      <c r="X210" s="27"/>
      <c r="Y210" s="98"/>
      <c r="Z210" s="27"/>
      <c r="AA210" s="31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</row>
    <row r="211" ht="15.75" customHeight="1" spans="1:43">
      <c r="A211" s="29"/>
      <c r="B211" s="29"/>
      <c r="C211" s="29"/>
      <c r="D211" s="32"/>
      <c r="E211" s="32"/>
      <c r="F211" s="32"/>
      <c r="G211" s="32"/>
      <c r="H211" s="32"/>
      <c r="I211" s="27" t="str">
        <f t="shared" si="0"/>
        <v/>
      </c>
      <c r="J211" s="32"/>
      <c r="K211" s="32"/>
      <c r="L211" s="33"/>
      <c r="M211" s="32"/>
      <c r="N211" s="32"/>
      <c r="O211" s="32"/>
      <c r="P211" s="32"/>
      <c r="Q211" s="32"/>
      <c r="R211" s="32"/>
      <c r="S211" s="31"/>
      <c r="T211" s="88" t="str">
        <f ca="1" t="shared" si="1"/>
        <v/>
      </c>
      <c r="U211" s="27"/>
      <c r="V211" s="27"/>
      <c r="W211" s="27"/>
      <c r="X211" s="27"/>
      <c r="Y211" s="98"/>
      <c r="Z211" s="27"/>
      <c r="AA211" s="31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</row>
    <row r="212" ht="15.75" customHeight="1" spans="1:43">
      <c r="A212" s="29"/>
      <c r="B212" s="29"/>
      <c r="C212" s="29"/>
      <c r="D212" s="32"/>
      <c r="E212" s="32"/>
      <c r="F212" s="32"/>
      <c r="G212" s="32"/>
      <c r="H212" s="32"/>
      <c r="I212" s="27" t="str">
        <f t="shared" si="0"/>
        <v/>
      </c>
      <c r="J212" s="32"/>
      <c r="K212" s="32"/>
      <c r="L212" s="33"/>
      <c r="M212" s="32"/>
      <c r="N212" s="32"/>
      <c r="O212" s="32"/>
      <c r="P212" s="32"/>
      <c r="Q212" s="32"/>
      <c r="R212" s="32"/>
      <c r="S212" s="31"/>
      <c r="T212" s="88" t="str">
        <f ca="1" t="shared" si="1"/>
        <v/>
      </c>
      <c r="U212" s="27"/>
      <c r="V212" s="27"/>
      <c r="W212" s="27"/>
      <c r="X212" s="27"/>
      <c r="Y212" s="98"/>
      <c r="Z212" s="27"/>
      <c r="AA212" s="31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</row>
    <row r="213" ht="15.75" customHeight="1" spans="1:43">
      <c r="A213" s="29"/>
      <c r="B213" s="29"/>
      <c r="C213" s="29"/>
      <c r="D213" s="32"/>
      <c r="E213" s="32"/>
      <c r="F213" s="32"/>
      <c r="G213" s="32"/>
      <c r="H213" s="32"/>
      <c r="I213" s="27" t="str">
        <f t="shared" si="0"/>
        <v/>
      </c>
      <c r="J213" s="32"/>
      <c r="K213" s="32"/>
      <c r="L213" s="33"/>
      <c r="M213" s="32"/>
      <c r="N213" s="32"/>
      <c r="O213" s="32"/>
      <c r="P213" s="32"/>
      <c r="Q213" s="32"/>
      <c r="R213" s="32"/>
      <c r="S213" s="31"/>
      <c r="T213" s="88" t="str">
        <f ca="1" t="shared" si="1"/>
        <v/>
      </c>
      <c r="U213" s="27"/>
      <c r="V213" s="27"/>
      <c r="W213" s="27"/>
      <c r="X213" s="27"/>
      <c r="Y213" s="98"/>
      <c r="Z213" s="27"/>
      <c r="AA213" s="31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</row>
    <row r="214" ht="15.75" customHeight="1" spans="1:43">
      <c r="A214" s="29"/>
      <c r="B214" s="29"/>
      <c r="C214" s="29"/>
      <c r="D214" s="32"/>
      <c r="E214" s="32"/>
      <c r="F214" s="32"/>
      <c r="G214" s="32"/>
      <c r="H214" s="32"/>
      <c r="I214" s="27" t="str">
        <f t="shared" si="0"/>
        <v/>
      </c>
      <c r="J214" s="32"/>
      <c r="K214" s="32"/>
      <c r="L214" s="33"/>
      <c r="M214" s="32"/>
      <c r="N214" s="32"/>
      <c r="O214" s="32"/>
      <c r="P214" s="32"/>
      <c r="Q214" s="32"/>
      <c r="R214" s="32"/>
      <c r="S214" s="31"/>
      <c r="T214" s="88" t="str">
        <f ca="1" t="shared" si="1"/>
        <v/>
      </c>
      <c r="U214" s="27"/>
      <c r="V214" s="27"/>
      <c r="W214" s="27"/>
      <c r="X214" s="27"/>
      <c r="Y214" s="98"/>
      <c r="Z214" s="27"/>
      <c r="AA214" s="31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</row>
    <row r="215" ht="15.75" customHeight="1" spans="1:43">
      <c r="A215" s="29"/>
      <c r="B215" s="29"/>
      <c r="C215" s="29"/>
      <c r="D215" s="32"/>
      <c r="E215" s="32"/>
      <c r="F215" s="32"/>
      <c r="G215" s="32"/>
      <c r="H215" s="32"/>
      <c r="I215" s="27" t="str">
        <f t="shared" si="0"/>
        <v/>
      </c>
      <c r="J215" s="32"/>
      <c r="K215" s="32"/>
      <c r="L215" s="33"/>
      <c r="M215" s="32"/>
      <c r="N215" s="32"/>
      <c r="O215" s="32"/>
      <c r="P215" s="32"/>
      <c r="Q215" s="32"/>
      <c r="R215" s="32"/>
      <c r="S215" s="31"/>
      <c r="T215" s="88" t="str">
        <f ca="1" t="shared" si="1"/>
        <v/>
      </c>
      <c r="U215" s="27"/>
      <c r="V215" s="27"/>
      <c r="W215" s="27"/>
      <c r="X215" s="27"/>
      <c r="Y215" s="98"/>
      <c r="Z215" s="27"/>
      <c r="AA215" s="31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</row>
    <row r="216" ht="15.75" customHeight="1" spans="1:43">
      <c r="A216" s="29"/>
      <c r="B216" s="29"/>
      <c r="C216" s="29"/>
      <c r="D216" s="32"/>
      <c r="E216" s="32"/>
      <c r="F216" s="32"/>
      <c r="G216" s="32"/>
      <c r="H216" s="32"/>
      <c r="I216" s="27" t="str">
        <f t="shared" si="0"/>
        <v/>
      </c>
      <c r="J216" s="32"/>
      <c r="K216" s="32"/>
      <c r="L216" s="33"/>
      <c r="M216" s="32"/>
      <c r="N216" s="32"/>
      <c r="O216" s="32"/>
      <c r="P216" s="32"/>
      <c r="Q216" s="32"/>
      <c r="R216" s="32"/>
      <c r="S216" s="31"/>
      <c r="T216" s="88" t="str">
        <f ca="1" t="shared" si="1"/>
        <v/>
      </c>
      <c r="U216" s="27"/>
      <c r="V216" s="27"/>
      <c r="W216" s="27"/>
      <c r="X216" s="27"/>
      <c r="Y216" s="98"/>
      <c r="Z216" s="27"/>
      <c r="AA216" s="31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</row>
    <row r="217" ht="15.75" customHeight="1" spans="1:43">
      <c r="A217" s="29"/>
      <c r="B217" s="29"/>
      <c r="C217" s="29"/>
      <c r="D217" s="32"/>
      <c r="E217" s="32"/>
      <c r="F217" s="32"/>
      <c r="G217" s="32"/>
      <c r="H217" s="32"/>
      <c r="I217" s="27" t="str">
        <f t="shared" si="0"/>
        <v/>
      </c>
      <c r="J217" s="32"/>
      <c r="K217" s="32"/>
      <c r="L217" s="33"/>
      <c r="M217" s="32"/>
      <c r="N217" s="32"/>
      <c r="O217" s="32"/>
      <c r="P217" s="32"/>
      <c r="Q217" s="32"/>
      <c r="R217" s="32"/>
      <c r="S217" s="31"/>
      <c r="T217" s="88" t="str">
        <f ca="1" t="shared" si="1"/>
        <v/>
      </c>
      <c r="U217" s="27"/>
      <c r="V217" s="27"/>
      <c r="W217" s="27"/>
      <c r="X217" s="27"/>
      <c r="Y217" s="98"/>
      <c r="Z217" s="27"/>
      <c r="AA217" s="31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</row>
    <row r="218" ht="15.75" customHeight="1" spans="1:43">
      <c r="A218" s="29"/>
      <c r="B218" s="29"/>
      <c r="C218" s="29"/>
      <c r="D218" s="32"/>
      <c r="E218" s="32"/>
      <c r="F218" s="32"/>
      <c r="G218" s="32"/>
      <c r="H218" s="32"/>
      <c r="I218" s="27" t="str">
        <f t="shared" si="0"/>
        <v/>
      </c>
      <c r="J218" s="32"/>
      <c r="K218" s="32"/>
      <c r="L218" s="33"/>
      <c r="M218" s="32"/>
      <c r="N218" s="32"/>
      <c r="O218" s="32"/>
      <c r="P218" s="32"/>
      <c r="Q218" s="32"/>
      <c r="R218" s="32"/>
      <c r="S218" s="31"/>
      <c r="T218" s="88" t="str">
        <f ca="1" t="shared" si="1"/>
        <v/>
      </c>
      <c r="U218" s="27"/>
      <c r="V218" s="27"/>
      <c r="W218" s="27"/>
      <c r="X218" s="27"/>
      <c r="Y218" s="98"/>
      <c r="Z218" s="27"/>
      <c r="AA218" s="31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</row>
    <row r="219" ht="15.75" customHeight="1" spans="1:43">
      <c r="A219" s="29"/>
      <c r="B219" s="29"/>
      <c r="C219" s="29"/>
      <c r="D219" s="32"/>
      <c r="E219" s="32"/>
      <c r="F219" s="32"/>
      <c r="G219" s="32"/>
      <c r="H219" s="32"/>
      <c r="I219" s="27" t="str">
        <f t="shared" si="0"/>
        <v/>
      </c>
      <c r="J219" s="32"/>
      <c r="K219" s="32"/>
      <c r="L219" s="33"/>
      <c r="M219" s="32"/>
      <c r="N219" s="32"/>
      <c r="O219" s="32"/>
      <c r="P219" s="32"/>
      <c r="Q219" s="32"/>
      <c r="R219" s="32"/>
      <c r="S219" s="31"/>
      <c r="T219" s="88" t="str">
        <f ca="1" t="shared" si="1"/>
        <v/>
      </c>
      <c r="U219" s="27"/>
      <c r="V219" s="27"/>
      <c r="W219" s="27"/>
      <c r="X219" s="27"/>
      <c r="Y219" s="98"/>
      <c r="Z219" s="27"/>
      <c r="AA219" s="31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</row>
    <row r="220" ht="15.75" customHeight="1" spans="1:43">
      <c r="A220" s="29"/>
      <c r="B220" s="29"/>
      <c r="C220" s="29"/>
      <c r="D220" s="32"/>
      <c r="E220" s="32"/>
      <c r="F220" s="32"/>
      <c r="G220" s="32"/>
      <c r="H220" s="32"/>
      <c r="I220" s="27" t="str">
        <f t="shared" si="0"/>
        <v/>
      </c>
      <c r="J220" s="32"/>
      <c r="K220" s="32"/>
      <c r="L220" s="33"/>
      <c r="M220" s="32"/>
      <c r="N220" s="32"/>
      <c r="O220" s="32"/>
      <c r="P220" s="32"/>
      <c r="Q220" s="32"/>
      <c r="R220" s="32"/>
      <c r="S220" s="31"/>
      <c r="T220" s="88" t="str">
        <f ca="1" t="shared" si="1"/>
        <v/>
      </c>
      <c r="U220" s="27"/>
      <c r="V220" s="27"/>
      <c r="W220" s="27"/>
      <c r="X220" s="27"/>
      <c r="Y220" s="98"/>
      <c r="Z220" s="27"/>
      <c r="AA220" s="31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</row>
    <row r="221" ht="15.75" customHeight="1" spans="1:43">
      <c r="A221" s="29"/>
      <c r="B221" s="29"/>
      <c r="C221" s="29"/>
      <c r="D221" s="32"/>
      <c r="E221" s="32"/>
      <c r="F221" s="32"/>
      <c r="G221" s="32"/>
      <c r="H221" s="32"/>
      <c r="I221" s="27" t="str">
        <f t="shared" si="0"/>
        <v/>
      </c>
      <c r="J221" s="32"/>
      <c r="K221" s="32"/>
      <c r="L221" s="33"/>
      <c r="M221" s="32"/>
      <c r="N221" s="32"/>
      <c r="O221" s="32"/>
      <c r="P221" s="32"/>
      <c r="Q221" s="32"/>
      <c r="R221" s="32"/>
      <c r="S221" s="31"/>
      <c r="T221" s="88" t="str">
        <f ca="1" t="shared" si="1"/>
        <v/>
      </c>
      <c r="U221" s="27"/>
      <c r="V221" s="27"/>
      <c r="W221" s="27"/>
      <c r="X221" s="27"/>
      <c r="Y221" s="98"/>
      <c r="Z221" s="27"/>
      <c r="AA221" s="31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</row>
    <row r="222" ht="15.75" customHeight="1" spans="1:43">
      <c r="A222" s="29"/>
      <c r="B222" s="29"/>
      <c r="C222" s="29"/>
      <c r="D222" s="32"/>
      <c r="E222" s="32"/>
      <c r="F222" s="32"/>
      <c r="G222" s="32"/>
      <c r="H222" s="32"/>
      <c r="I222" s="27" t="str">
        <f t="shared" si="0"/>
        <v/>
      </c>
      <c r="J222" s="32"/>
      <c r="K222" s="32"/>
      <c r="L222" s="33"/>
      <c r="M222" s="32"/>
      <c r="N222" s="32"/>
      <c r="O222" s="32"/>
      <c r="P222" s="32"/>
      <c r="Q222" s="32"/>
      <c r="R222" s="32"/>
      <c r="S222" s="31"/>
      <c r="T222" s="88" t="str">
        <f ca="1" t="shared" si="1"/>
        <v/>
      </c>
      <c r="U222" s="27"/>
      <c r="V222" s="27"/>
      <c r="W222" s="27"/>
      <c r="X222" s="27"/>
      <c r="Y222" s="98"/>
      <c r="Z222" s="27"/>
      <c r="AA222" s="31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</row>
    <row r="223" ht="15.75" customHeight="1" spans="1:43">
      <c r="A223" s="29"/>
      <c r="B223" s="29"/>
      <c r="C223" s="29"/>
      <c r="D223" s="32"/>
      <c r="E223" s="32"/>
      <c r="F223" s="32"/>
      <c r="G223" s="32"/>
      <c r="H223" s="32"/>
      <c r="I223" s="27" t="str">
        <f t="shared" si="0"/>
        <v/>
      </c>
      <c r="J223" s="32"/>
      <c r="K223" s="32"/>
      <c r="L223" s="33"/>
      <c r="M223" s="32"/>
      <c r="N223" s="32"/>
      <c r="O223" s="32"/>
      <c r="P223" s="32"/>
      <c r="Q223" s="32"/>
      <c r="R223" s="32"/>
      <c r="S223" s="31"/>
      <c r="T223" s="88" t="str">
        <f ca="1" t="shared" si="1"/>
        <v/>
      </c>
      <c r="U223" s="27"/>
      <c r="V223" s="27"/>
      <c r="W223" s="27"/>
      <c r="X223" s="27"/>
      <c r="Y223" s="98"/>
      <c r="Z223" s="27"/>
      <c r="AA223" s="31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</row>
    <row r="224" ht="15.75" customHeight="1" spans="1:43">
      <c r="A224" s="29"/>
      <c r="B224" s="29"/>
      <c r="C224" s="29"/>
      <c r="D224" s="32"/>
      <c r="E224" s="32"/>
      <c r="F224" s="32"/>
      <c r="G224" s="32"/>
      <c r="H224" s="32"/>
      <c r="I224" s="27" t="str">
        <f t="shared" si="0"/>
        <v/>
      </c>
      <c r="J224" s="32"/>
      <c r="K224" s="32"/>
      <c r="L224" s="33"/>
      <c r="M224" s="32"/>
      <c r="N224" s="32"/>
      <c r="O224" s="32"/>
      <c r="P224" s="32"/>
      <c r="Q224" s="32"/>
      <c r="R224" s="32"/>
      <c r="S224" s="31"/>
      <c r="T224" s="88" t="str">
        <f ca="1" t="shared" si="1"/>
        <v/>
      </c>
      <c r="U224" s="27"/>
      <c r="V224" s="27"/>
      <c r="W224" s="27"/>
      <c r="X224" s="27"/>
      <c r="Y224" s="98"/>
      <c r="Z224" s="27"/>
      <c r="AA224" s="31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</row>
    <row r="225" ht="15.75" customHeight="1" spans="1:43">
      <c r="A225" s="29"/>
      <c r="B225" s="29"/>
      <c r="C225" s="29"/>
      <c r="D225" s="32"/>
      <c r="E225" s="32"/>
      <c r="F225" s="32"/>
      <c r="G225" s="32"/>
      <c r="H225" s="32"/>
      <c r="I225" s="27" t="str">
        <f t="shared" si="0"/>
        <v/>
      </c>
      <c r="J225" s="32"/>
      <c r="K225" s="32"/>
      <c r="L225" s="33"/>
      <c r="M225" s="32"/>
      <c r="N225" s="32"/>
      <c r="O225" s="32"/>
      <c r="P225" s="32"/>
      <c r="Q225" s="32"/>
      <c r="R225" s="32"/>
      <c r="S225" s="31"/>
      <c r="T225" s="88" t="str">
        <f ca="1" t="shared" si="1"/>
        <v/>
      </c>
      <c r="U225" s="27"/>
      <c r="V225" s="27"/>
      <c r="W225" s="27"/>
      <c r="X225" s="27"/>
      <c r="Y225" s="98"/>
      <c r="Z225" s="27"/>
      <c r="AA225" s="31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</row>
    <row r="226" ht="15.75" customHeight="1" spans="1:43">
      <c r="A226" s="29"/>
      <c r="B226" s="29"/>
      <c r="C226" s="29"/>
      <c r="D226" s="32"/>
      <c r="E226" s="32"/>
      <c r="F226" s="32"/>
      <c r="G226" s="32"/>
      <c r="H226" s="32"/>
      <c r="I226" s="27" t="str">
        <f t="shared" si="0"/>
        <v/>
      </c>
      <c r="J226" s="32"/>
      <c r="K226" s="32"/>
      <c r="L226" s="33"/>
      <c r="M226" s="32"/>
      <c r="N226" s="32"/>
      <c r="O226" s="32"/>
      <c r="P226" s="32"/>
      <c r="Q226" s="32"/>
      <c r="R226" s="32"/>
      <c r="S226" s="31"/>
      <c r="T226" s="88" t="str">
        <f ca="1" t="shared" si="1"/>
        <v/>
      </c>
      <c r="U226" s="27"/>
      <c r="V226" s="27"/>
      <c r="W226" s="27"/>
      <c r="X226" s="27"/>
      <c r="Y226" s="98"/>
      <c r="Z226" s="27"/>
      <c r="AA226" s="31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</row>
    <row r="227" ht="15.75" customHeight="1" spans="1:43">
      <c r="A227" s="29"/>
      <c r="B227" s="29"/>
      <c r="C227" s="29"/>
      <c r="D227" s="32"/>
      <c r="E227" s="32"/>
      <c r="F227" s="32"/>
      <c r="G227" s="32"/>
      <c r="H227" s="32"/>
      <c r="I227" s="27" t="str">
        <f t="shared" si="0"/>
        <v/>
      </c>
      <c r="J227" s="32"/>
      <c r="K227" s="32"/>
      <c r="L227" s="33"/>
      <c r="M227" s="32"/>
      <c r="N227" s="32"/>
      <c r="O227" s="32"/>
      <c r="P227" s="32"/>
      <c r="Q227" s="32"/>
      <c r="R227" s="32"/>
      <c r="S227" s="31"/>
      <c r="T227" s="88" t="str">
        <f ca="1" t="shared" si="1"/>
        <v/>
      </c>
      <c r="U227" s="27"/>
      <c r="V227" s="27"/>
      <c r="W227" s="27"/>
      <c r="X227" s="27"/>
      <c r="Y227" s="98"/>
      <c r="Z227" s="27"/>
      <c r="AA227" s="31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</row>
    <row r="228" ht="15.75" customHeight="1" spans="1:43">
      <c r="A228" s="29"/>
      <c r="B228" s="29"/>
      <c r="C228" s="29"/>
      <c r="D228" s="32"/>
      <c r="E228" s="32"/>
      <c r="F228" s="32"/>
      <c r="G228" s="32"/>
      <c r="H228" s="32"/>
      <c r="I228" s="27" t="str">
        <f t="shared" si="0"/>
        <v/>
      </c>
      <c r="J228" s="32"/>
      <c r="K228" s="32"/>
      <c r="L228" s="33"/>
      <c r="M228" s="32"/>
      <c r="N228" s="32"/>
      <c r="O228" s="32"/>
      <c r="P228" s="32"/>
      <c r="Q228" s="32"/>
      <c r="R228" s="32"/>
      <c r="S228" s="31"/>
      <c r="T228" s="88" t="str">
        <f ca="1" t="shared" si="1"/>
        <v/>
      </c>
      <c r="U228" s="27"/>
      <c r="V228" s="27"/>
      <c r="W228" s="27"/>
      <c r="X228" s="27"/>
      <c r="Y228" s="98"/>
      <c r="Z228" s="27"/>
      <c r="AA228" s="31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</row>
    <row r="229" ht="15.75" customHeight="1" spans="1:43">
      <c r="A229" s="29"/>
      <c r="B229" s="29"/>
      <c r="C229" s="29"/>
      <c r="D229" s="32"/>
      <c r="E229" s="32"/>
      <c r="F229" s="32"/>
      <c r="G229" s="32"/>
      <c r="H229" s="32"/>
      <c r="I229" s="27" t="str">
        <f t="shared" si="0"/>
        <v/>
      </c>
      <c r="J229" s="32"/>
      <c r="K229" s="32"/>
      <c r="L229" s="33"/>
      <c r="M229" s="32"/>
      <c r="N229" s="32"/>
      <c r="O229" s="32"/>
      <c r="P229" s="32"/>
      <c r="Q229" s="32"/>
      <c r="R229" s="32"/>
      <c r="S229" s="31"/>
      <c r="T229" s="88" t="str">
        <f ca="1" t="shared" si="1"/>
        <v/>
      </c>
      <c r="U229" s="27"/>
      <c r="V229" s="27"/>
      <c r="W229" s="27"/>
      <c r="X229" s="27"/>
      <c r="Y229" s="98"/>
      <c r="Z229" s="27"/>
      <c r="AA229" s="31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</row>
    <row r="230" ht="15.75" customHeight="1" spans="1:43">
      <c r="A230" s="29"/>
      <c r="B230" s="29"/>
      <c r="C230" s="29"/>
      <c r="D230" s="32"/>
      <c r="E230" s="32"/>
      <c r="F230" s="32"/>
      <c r="G230" s="32"/>
      <c r="H230" s="32"/>
      <c r="I230" s="27" t="str">
        <f t="shared" si="0"/>
        <v/>
      </c>
      <c r="J230" s="32"/>
      <c r="K230" s="32"/>
      <c r="L230" s="33"/>
      <c r="M230" s="32"/>
      <c r="N230" s="32"/>
      <c r="O230" s="32"/>
      <c r="P230" s="32"/>
      <c r="Q230" s="32"/>
      <c r="R230" s="32"/>
      <c r="S230" s="31"/>
      <c r="T230" s="88" t="str">
        <f ca="1" t="shared" si="1"/>
        <v/>
      </c>
      <c r="U230" s="27"/>
      <c r="V230" s="27"/>
      <c r="W230" s="27"/>
      <c r="X230" s="27"/>
      <c r="Y230" s="98"/>
      <c r="Z230" s="27"/>
      <c r="AA230" s="31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</row>
    <row r="231" ht="15.75" customHeight="1" spans="1:43">
      <c r="A231" s="29"/>
      <c r="B231" s="29"/>
      <c r="C231" s="29"/>
      <c r="D231" s="32"/>
      <c r="E231" s="32"/>
      <c r="F231" s="32"/>
      <c r="G231" s="32"/>
      <c r="H231" s="32"/>
      <c r="I231" s="27" t="str">
        <f t="shared" si="0"/>
        <v/>
      </c>
      <c r="J231" s="32"/>
      <c r="K231" s="32"/>
      <c r="L231" s="33"/>
      <c r="M231" s="32"/>
      <c r="N231" s="32"/>
      <c r="O231" s="32"/>
      <c r="P231" s="32"/>
      <c r="Q231" s="32"/>
      <c r="R231" s="32"/>
      <c r="S231" s="31"/>
      <c r="T231" s="88" t="str">
        <f ca="1" t="shared" si="1"/>
        <v/>
      </c>
      <c r="U231" s="27"/>
      <c r="V231" s="27"/>
      <c r="W231" s="27"/>
      <c r="X231" s="27"/>
      <c r="Y231" s="98"/>
      <c r="Z231" s="27"/>
      <c r="AA231" s="31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</row>
    <row r="232" ht="15.75" customHeight="1" spans="1:43">
      <c r="A232" s="29"/>
      <c r="B232" s="29"/>
      <c r="C232" s="29"/>
      <c r="D232" s="32"/>
      <c r="E232" s="32"/>
      <c r="F232" s="32"/>
      <c r="G232" s="32"/>
      <c r="H232" s="32"/>
      <c r="I232" s="27" t="str">
        <f t="shared" si="0"/>
        <v/>
      </c>
      <c r="J232" s="32"/>
      <c r="K232" s="32"/>
      <c r="L232" s="33"/>
      <c r="M232" s="32"/>
      <c r="N232" s="32"/>
      <c r="O232" s="32"/>
      <c r="P232" s="32"/>
      <c r="Q232" s="32"/>
      <c r="R232" s="32"/>
      <c r="S232" s="31"/>
      <c r="T232" s="88" t="str">
        <f ca="1" t="shared" si="1"/>
        <v/>
      </c>
      <c r="U232" s="27"/>
      <c r="V232" s="27"/>
      <c r="W232" s="27"/>
      <c r="X232" s="27"/>
      <c r="Y232" s="98"/>
      <c r="Z232" s="27"/>
      <c r="AA232" s="31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</row>
    <row r="233" ht="15.75" customHeight="1" spans="1:43">
      <c r="A233" s="29"/>
      <c r="B233" s="29"/>
      <c r="C233" s="29"/>
      <c r="D233" s="32"/>
      <c r="E233" s="32"/>
      <c r="F233" s="32"/>
      <c r="G233" s="32"/>
      <c r="H233" s="32"/>
      <c r="I233" s="27" t="str">
        <f t="shared" si="0"/>
        <v/>
      </c>
      <c r="J233" s="32"/>
      <c r="K233" s="32"/>
      <c r="L233" s="33"/>
      <c r="M233" s="32"/>
      <c r="N233" s="32"/>
      <c r="O233" s="32"/>
      <c r="P233" s="32"/>
      <c r="Q233" s="32"/>
      <c r="R233" s="32"/>
      <c r="S233" s="31"/>
      <c r="T233" s="88" t="str">
        <f ca="1" t="shared" si="1"/>
        <v/>
      </c>
      <c r="U233" s="27"/>
      <c r="V233" s="27"/>
      <c r="W233" s="27"/>
      <c r="X233" s="27"/>
      <c r="Y233" s="98"/>
      <c r="Z233" s="27"/>
      <c r="AA233" s="31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</row>
    <row r="234" ht="15.75" customHeight="1" spans="1:43">
      <c r="A234" s="29"/>
      <c r="B234" s="29"/>
      <c r="C234" s="29"/>
      <c r="D234" s="32"/>
      <c r="E234" s="32"/>
      <c r="F234" s="32"/>
      <c r="G234" s="32"/>
      <c r="H234" s="32"/>
      <c r="I234" s="27" t="str">
        <f t="shared" si="0"/>
        <v/>
      </c>
      <c r="J234" s="32"/>
      <c r="K234" s="32"/>
      <c r="L234" s="33"/>
      <c r="M234" s="32"/>
      <c r="N234" s="32"/>
      <c r="O234" s="32"/>
      <c r="P234" s="32"/>
      <c r="Q234" s="32"/>
      <c r="R234" s="32"/>
      <c r="S234" s="31"/>
      <c r="T234" s="88" t="str">
        <f ca="1" t="shared" si="1"/>
        <v/>
      </c>
      <c r="U234" s="27"/>
      <c r="V234" s="27"/>
      <c r="W234" s="27"/>
      <c r="X234" s="27"/>
      <c r="Y234" s="98"/>
      <c r="Z234" s="27"/>
      <c r="AA234" s="31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</row>
    <row r="235" ht="15.75" customHeight="1" spans="1:43">
      <c r="A235" s="29"/>
      <c r="B235" s="29"/>
      <c r="C235" s="29"/>
      <c r="D235" s="32"/>
      <c r="E235" s="32"/>
      <c r="F235" s="32"/>
      <c r="G235" s="32"/>
      <c r="H235" s="32"/>
      <c r="I235" s="27" t="str">
        <f t="shared" si="0"/>
        <v/>
      </c>
      <c r="J235" s="32"/>
      <c r="K235" s="32"/>
      <c r="L235" s="33"/>
      <c r="M235" s="32"/>
      <c r="N235" s="32"/>
      <c r="O235" s="32"/>
      <c r="P235" s="32"/>
      <c r="Q235" s="32"/>
      <c r="R235" s="32"/>
      <c r="S235" s="31"/>
      <c r="T235" s="88" t="str">
        <f ca="1" t="shared" si="1"/>
        <v/>
      </c>
      <c r="U235" s="27"/>
      <c r="V235" s="27"/>
      <c r="W235" s="27"/>
      <c r="X235" s="27"/>
      <c r="Y235" s="98"/>
      <c r="Z235" s="27"/>
      <c r="AA235" s="31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</row>
    <row r="236" ht="15.75" customHeight="1" spans="1:43">
      <c r="A236" s="29"/>
      <c r="B236" s="29"/>
      <c r="C236" s="29"/>
      <c r="D236" s="32"/>
      <c r="E236" s="32"/>
      <c r="F236" s="32"/>
      <c r="G236" s="32"/>
      <c r="H236" s="32"/>
      <c r="I236" s="27" t="str">
        <f t="shared" si="0"/>
        <v/>
      </c>
      <c r="J236" s="32"/>
      <c r="K236" s="32"/>
      <c r="L236" s="33"/>
      <c r="M236" s="32"/>
      <c r="N236" s="32"/>
      <c r="O236" s="32"/>
      <c r="P236" s="32"/>
      <c r="Q236" s="32"/>
      <c r="R236" s="32"/>
      <c r="S236" s="31"/>
      <c r="T236" s="88" t="str">
        <f ca="1" t="shared" si="1"/>
        <v/>
      </c>
      <c r="U236" s="27"/>
      <c r="V236" s="27"/>
      <c r="W236" s="27"/>
      <c r="X236" s="27"/>
      <c r="Y236" s="98"/>
      <c r="Z236" s="27"/>
      <c r="AA236" s="31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</row>
    <row r="237" ht="15.75" customHeight="1" spans="1:43">
      <c r="A237" s="29"/>
      <c r="B237" s="29"/>
      <c r="C237" s="29"/>
      <c r="D237" s="32"/>
      <c r="E237" s="32"/>
      <c r="F237" s="32"/>
      <c r="G237" s="32"/>
      <c r="H237" s="32"/>
      <c r="I237" s="27" t="str">
        <f t="shared" si="0"/>
        <v/>
      </c>
      <c r="J237" s="32"/>
      <c r="K237" s="32"/>
      <c r="L237" s="33"/>
      <c r="M237" s="32"/>
      <c r="N237" s="32"/>
      <c r="O237" s="32"/>
      <c r="P237" s="32"/>
      <c r="Q237" s="32"/>
      <c r="R237" s="32"/>
      <c r="S237" s="31"/>
      <c r="T237" s="88" t="str">
        <f ca="1" t="shared" si="1"/>
        <v/>
      </c>
      <c r="U237" s="27"/>
      <c r="V237" s="27"/>
      <c r="W237" s="27"/>
      <c r="X237" s="27"/>
      <c r="Y237" s="98"/>
      <c r="Z237" s="27"/>
      <c r="AA237" s="31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</row>
    <row r="238" ht="15.75" customHeight="1" spans="1:43">
      <c r="A238" s="29"/>
      <c r="B238" s="29"/>
      <c r="C238" s="29"/>
      <c r="D238" s="32"/>
      <c r="E238" s="32"/>
      <c r="F238" s="32"/>
      <c r="G238" s="32"/>
      <c r="H238" s="32"/>
      <c r="I238" s="27" t="str">
        <f t="shared" si="0"/>
        <v/>
      </c>
      <c r="J238" s="32"/>
      <c r="K238" s="32"/>
      <c r="L238" s="33"/>
      <c r="M238" s="32"/>
      <c r="N238" s="32"/>
      <c r="O238" s="32"/>
      <c r="P238" s="32"/>
      <c r="Q238" s="32"/>
      <c r="R238" s="32"/>
      <c r="S238" s="31"/>
      <c r="T238" s="88" t="str">
        <f ca="1" t="shared" si="1"/>
        <v/>
      </c>
      <c r="U238" s="27"/>
      <c r="V238" s="27"/>
      <c r="W238" s="27"/>
      <c r="X238" s="27"/>
      <c r="Y238" s="98"/>
      <c r="Z238" s="27"/>
      <c r="AA238" s="31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</row>
    <row r="239" ht="15.75" customHeight="1" spans="1:43">
      <c r="A239" s="29"/>
      <c r="B239" s="29"/>
      <c r="C239" s="29"/>
      <c r="D239" s="32"/>
      <c r="E239" s="32"/>
      <c r="F239" s="32"/>
      <c r="G239" s="32"/>
      <c r="H239" s="32"/>
      <c r="I239" s="27" t="str">
        <f t="shared" si="0"/>
        <v/>
      </c>
      <c r="J239" s="32"/>
      <c r="K239" s="32"/>
      <c r="L239" s="33"/>
      <c r="M239" s="32"/>
      <c r="N239" s="32"/>
      <c r="O239" s="32"/>
      <c r="P239" s="32"/>
      <c r="Q239" s="32"/>
      <c r="R239" s="32"/>
      <c r="S239" s="31"/>
      <c r="T239" s="88" t="str">
        <f ca="1" t="shared" si="1"/>
        <v/>
      </c>
      <c r="U239" s="27"/>
      <c r="V239" s="27"/>
      <c r="W239" s="27"/>
      <c r="X239" s="27"/>
      <c r="Y239" s="98"/>
      <c r="Z239" s="27"/>
      <c r="AA239" s="31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</row>
    <row r="240" ht="15.75" customHeight="1" spans="1:43">
      <c r="A240" s="29"/>
      <c r="B240" s="29"/>
      <c r="C240" s="29"/>
      <c r="D240" s="32"/>
      <c r="E240" s="32"/>
      <c r="F240" s="32"/>
      <c r="G240" s="32"/>
      <c r="H240" s="32"/>
      <c r="I240" s="27" t="str">
        <f t="shared" si="0"/>
        <v/>
      </c>
      <c r="J240" s="32"/>
      <c r="K240" s="32"/>
      <c r="L240" s="33"/>
      <c r="M240" s="32"/>
      <c r="N240" s="32"/>
      <c r="O240" s="32"/>
      <c r="P240" s="32"/>
      <c r="Q240" s="32"/>
      <c r="R240" s="32"/>
      <c r="S240" s="31"/>
      <c r="T240" s="88" t="str">
        <f ca="1" t="shared" si="1"/>
        <v/>
      </c>
      <c r="U240" s="27"/>
      <c r="V240" s="27"/>
      <c r="W240" s="27"/>
      <c r="X240" s="27"/>
      <c r="Y240" s="98"/>
      <c r="Z240" s="27"/>
      <c r="AA240" s="31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</row>
    <row r="241" ht="15.75" customHeight="1" spans="1:43">
      <c r="A241" s="29"/>
      <c r="B241" s="29"/>
      <c r="C241" s="29"/>
      <c r="D241" s="32"/>
      <c r="E241" s="32"/>
      <c r="F241" s="32"/>
      <c r="G241" s="32"/>
      <c r="H241" s="32"/>
      <c r="I241" s="27" t="str">
        <f t="shared" si="0"/>
        <v/>
      </c>
      <c r="J241" s="32"/>
      <c r="K241" s="32"/>
      <c r="L241" s="33"/>
      <c r="M241" s="32"/>
      <c r="N241" s="32"/>
      <c r="O241" s="32"/>
      <c r="P241" s="32"/>
      <c r="Q241" s="32"/>
      <c r="R241" s="32"/>
      <c r="S241" s="31"/>
      <c r="T241" s="88" t="str">
        <f ca="1" t="shared" si="1"/>
        <v/>
      </c>
      <c r="U241" s="27"/>
      <c r="V241" s="27"/>
      <c r="W241" s="27"/>
      <c r="X241" s="27"/>
      <c r="Y241" s="98"/>
      <c r="Z241" s="27"/>
      <c r="AA241" s="31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</row>
    <row r="242" ht="15.75" customHeight="1" spans="1:43">
      <c r="A242" s="29"/>
      <c r="B242" s="29"/>
      <c r="C242" s="29"/>
      <c r="D242" s="32"/>
      <c r="E242" s="32"/>
      <c r="F242" s="32"/>
      <c r="G242" s="32"/>
      <c r="H242" s="32"/>
      <c r="I242" s="27" t="str">
        <f t="shared" si="0"/>
        <v/>
      </c>
      <c r="J242" s="32"/>
      <c r="K242" s="32"/>
      <c r="L242" s="33"/>
      <c r="M242" s="32"/>
      <c r="N242" s="32"/>
      <c r="O242" s="32"/>
      <c r="P242" s="32"/>
      <c r="Q242" s="32"/>
      <c r="R242" s="32"/>
      <c r="S242" s="31"/>
      <c r="T242" s="88" t="str">
        <f ca="1" t="shared" si="1"/>
        <v/>
      </c>
      <c r="U242" s="27"/>
      <c r="V242" s="27"/>
      <c r="W242" s="27"/>
      <c r="X242" s="27"/>
      <c r="Y242" s="98"/>
      <c r="Z242" s="27"/>
      <c r="AA242" s="31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</row>
    <row r="243" ht="15.75" customHeight="1" spans="1:43">
      <c r="A243" s="29"/>
      <c r="B243" s="29"/>
      <c r="C243" s="29"/>
      <c r="D243" s="32"/>
      <c r="E243" s="32"/>
      <c r="F243" s="32"/>
      <c r="G243" s="32"/>
      <c r="H243" s="32"/>
      <c r="I243" s="27" t="str">
        <f t="shared" si="0"/>
        <v/>
      </c>
      <c r="J243" s="32"/>
      <c r="K243" s="32"/>
      <c r="L243" s="33"/>
      <c r="M243" s="32"/>
      <c r="N243" s="32"/>
      <c r="O243" s="32"/>
      <c r="P243" s="32"/>
      <c r="Q243" s="32"/>
      <c r="R243" s="32"/>
      <c r="S243" s="31"/>
      <c r="T243" s="88" t="str">
        <f ca="1" t="shared" si="1"/>
        <v/>
      </c>
      <c r="U243" s="27"/>
      <c r="V243" s="27"/>
      <c r="W243" s="27"/>
      <c r="X243" s="27"/>
      <c r="Y243" s="98"/>
      <c r="Z243" s="27"/>
      <c r="AA243" s="31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</row>
    <row r="244" ht="15.75" customHeight="1" spans="1:43">
      <c r="A244" s="29"/>
      <c r="B244" s="29"/>
      <c r="C244" s="29"/>
      <c r="D244" s="32"/>
      <c r="E244" s="32"/>
      <c r="F244" s="32"/>
      <c r="G244" s="32"/>
      <c r="H244" s="32"/>
      <c r="I244" s="27" t="str">
        <f t="shared" si="0"/>
        <v/>
      </c>
      <c r="J244" s="32"/>
      <c r="K244" s="32"/>
      <c r="L244" s="33"/>
      <c r="M244" s="32"/>
      <c r="N244" s="32"/>
      <c r="O244" s="32"/>
      <c r="P244" s="32"/>
      <c r="Q244" s="32"/>
      <c r="R244" s="32"/>
      <c r="S244" s="31"/>
      <c r="T244" s="88" t="str">
        <f ca="1" t="shared" si="1"/>
        <v/>
      </c>
      <c r="U244" s="27"/>
      <c r="V244" s="27"/>
      <c r="W244" s="27"/>
      <c r="X244" s="27"/>
      <c r="Y244" s="98"/>
      <c r="Z244" s="27"/>
      <c r="AA244" s="31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</row>
    <row r="245" ht="15.75" customHeight="1" spans="1:43">
      <c r="A245" s="29"/>
      <c r="B245" s="29"/>
      <c r="C245" s="29"/>
      <c r="D245" s="32"/>
      <c r="E245" s="32"/>
      <c r="F245" s="32"/>
      <c r="G245" s="32"/>
      <c r="H245" s="32"/>
      <c r="I245" s="27" t="str">
        <f t="shared" si="0"/>
        <v/>
      </c>
      <c r="J245" s="32"/>
      <c r="K245" s="32"/>
      <c r="L245" s="33"/>
      <c r="M245" s="32"/>
      <c r="N245" s="32"/>
      <c r="O245" s="32"/>
      <c r="P245" s="32"/>
      <c r="Q245" s="32"/>
      <c r="R245" s="32"/>
      <c r="S245" s="31"/>
      <c r="T245" s="88" t="str">
        <f ca="1" t="shared" si="1"/>
        <v/>
      </c>
      <c r="U245" s="27"/>
      <c r="V245" s="27"/>
      <c r="W245" s="27"/>
      <c r="X245" s="27"/>
      <c r="Y245" s="98"/>
      <c r="Z245" s="27"/>
      <c r="AA245" s="31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</row>
    <row r="246" ht="15.75" customHeight="1" spans="1:43">
      <c r="A246" s="29"/>
      <c r="B246" s="29"/>
      <c r="C246" s="29"/>
      <c r="D246" s="32"/>
      <c r="E246" s="32"/>
      <c r="F246" s="32"/>
      <c r="G246" s="32"/>
      <c r="H246" s="32"/>
      <c r="I246" s="27" t="str">
        <f t="shared" si="0"/>
        <v/>
      </c>
      <c r="J246" s="32"/>
      <c r="K246" s="32"/>
      <c r="L246" s="33"/>
      <c r="M246" s="32"/>
      <c r="N246" s="32"/>
      <c r="O246" s="32"/>
      <c r="P246" s="32"/>
      <c r="Q246" s="32"/>
      <c r="R246" s="32"/>
      <c r="S246" s="31"/>
      <c r="T246" s="88" t="str">
        <f ca="1" t="shared" si="1"/>
        <v/>
      </c>
      <c r="U246" s="27"/>
      <c r="V246" s="27"/>
      <c r="W246" s="27"/>
      <c r="X246" s="27"/>
      <c r="Y246" s="98"/>
      <c r="Z246" s="27"/>
      <c r="AA246" s="31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</row>
    <row r="247" ht="15.75" customHeight="1" spans="1:43">
      <c r="A247" s="29"/>
      <c r="B247" s="29"/>
      <c r="C247" s="29"/>
      <c r="D247" s="32"/>
      <c r="E247" s="32"/>
      <c r="F247" s="32"/>
      <c r="G247" s="32"/>
      <c r="H247" s="32"/>
      <c r="I247" s="27" t="str">
        <f t="shared" si="0"/>
        <v/>
      </c>
      <c r="J247" s="32"/>
      <c r="K247" s="32"/>
      <c r="L247" s="33"/>
      <c r="M247" s="32"/>
      <c r="N247" s="32"/>
      <c r="O247" s="32"/>
      <c r="P247" s="32"/>
      <c r="Q247" s="32"/>
      <c r="R247" s="32"/>
      <c r="S247" s="31"/>
      <c r="T247" s="88" t="str">
        <f ca="1" t="shared" si="1"/>
        <v/>
      </c>
      <c r="U247" s="27"/>
      <c r="V247" s="27"/>
      <c r="W247" s="27"/>
      <c r="X247" s="27"/>
      <c r="Y247" s="98"/>
      <c r="Z247" s="27"/>
      <c r="AA247" s="31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</row>
    <row r="248" ht="15.75" customHeight="1" spans="1:43">
      <c r="A248" s="29"/>
      <c r="B248" s="29"/>
      <c r="C248" s="29"/>
      <c r="D248" s="32"/>
      <c r="E248" s="32"/>
      <c r="F248" s="32"/>
      <c r="G248" s="32"/>
      <c r="H248" s="32"/>
      <c r="I248" s="27" t="str">
        <f t="shared" si="0"/>
        <v/>
      </c>
      <c r="J248" s="32"/>
      <c r="K248" s="32"/>
      <c r="L248" s="33"/>
      <c r="M248" s="32"/>
      <c r="N248" s="32"/>
      <c r="O248" s="32"/>
      <c r="P248" s="32"/>
      <c r="Q248" s="32"/>
      <c r="R248" s="32"/>
      <c r="S248" s="31"/>
      <c r="T248" s="88" t="str">
        <f ca="1" t="shared" si="1"/>
        <v/>
      </c>
      <c r="U248" s="27"/>
      <c r="V248" s="27"/>
      <c r="W248" s="27"/>
      <c r="X248" s="27"/>
      <c r="Y248" s="98"/>
      <c r="Z248" s="27"/>
      <c r="AA248" s="31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</row>
    <row r="249" ht="15.75" customHeight="1" spans="1:43">
      <c r="A249" s="29"/>
      <c r="B249" s="29"/>
      <c r="C249" s="29"/>
      <c r="D249" s="32"/>
      <c r="E249" s="32"/>
      <c r="F249" s="32"/>
      <c r="G249" s="32"/>
      <c r="H249" s="32"/>
      <c r="I249" s="27" t="str">
        <f t="shared" si="0"/>
        <v/>
      </c>
      <c r="J249" s="32"/>
      <c r="K249" s="32"/>
      <c r="L249" s="33"/>
      <c r="M249" s="32"/>
      <c r="N249" s="32"/>
      <c r="O249" s="32"/>
      <c r="P249" s="32"/>
      <c r="Q249" s="32"/>
      <c r="R249" s="32"/>
      <c r="S249" s="31"/>
      <c r="T249" s="88" t="str">
        <f ca="1" t="shared" si="1"/>
        <v/>
      </c>
      <c r="U249" s="27"/>
      <c r="V249" s="27"/>
      <c r="W249" s="27"/>
      <c r="X249" s="27"/>
      <c r="Y249" s="98"/>
      <c r="Z249" s="27"/>
      <c r="AA249" s="31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</row>
    <row r="250" ht="15.75" customHeight="1" spans="1:43">
      <c r="A250" s="29"/>
      <c r="B250" s="29"/>
      <c r="C250" s="29"/>
      <c r="D250" s="32"/>
      <c r="E250" s="32"/>
      <c r="F250" s="32"/>
      <c r="G250" s="32"/>
      <c r="H250" s="32"/>
      <c r="I250" s="27" t="str">
        <f t="shared" si="0"/>
        <v/>
      </c>
      <c r="J250" s="32"/>
      <c r="K250" s="32"/>
      <c r="L250" s="33"/>
      <c r="M250" s="32"/>
      <c r="N250" s="32"/>
      <c r="O250" s="32"/>
      <c r="P250" s="32"/>
      <c r="Q250" s="32"/>
      <c r="R250" s="32"/>
      <c r="S250" s="31"/>
      <c r="T250" s="88" t="str">
        <f ca="1" t="shared" si="1"/>
        <v/>
      </c>
      <c r="U250" s="27"/>
      <c r="V250" s="27"/>
      <c r="W250" s="27"/>
      <c r="X250" s="27"/>
      <c r="Y250" s="98"/>
      <c r="Z250" s="27"/>
      <c r="AA250" s="31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</row>
    <row r="251" ht="15.75" customHeight="1" spans="1:43">
      <c r="A251" s="29"/>
      <c r="B251" s="29"/>
      <c r="C251" s="29"/>
      <c r="D251" s="32"/>
      <c r="E251" s="32"/>
      <c r="F251" s="32"/>
      <c r="G251" s="32"/>
      <c r="H251" s="32"/>
      <c r="I251" s="27" t="str">
        <f t="shared" si="0"/>
        <v/>
      </c>
      <c r="J251" s="32"/>
      <c r="K251" s="32"/>
      <c r="L251" s="33"/>
      <c r="M251" s="32"/>
      <c r="N251" s="32"/>
      <c r="O251" s="32"/>
      <c r="P251" s="32"/>
      <c r="Q251" s="32"/>
      <c r="R251" s="32"/>
      <c r="S251" s="31"/>
      <c r="T251" s="88" t="str">
        <f ca="1" t="shared" si="1"/>
        <v/>
      </c>
      <c r="U251" s="27"/>
      <c r="V251" s="27"/>
      <c r="W251" s="27"/>
      <c r="X251" s="27"/>
      <c r="Y251" s="98"/>
      <c r="Z251" s="27"/>
      <c r="AA251" s="31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</row>
    <row r="252" ht="15.75" customHeight="1" spans="1:43">
      <c r="A252" s="29"/>
      <c r="B252" s="29"/>
      <c r="C252" s="29"/>
      <c r="D252" s="32"/>
      <c r="E252" s="32"/>
      <c r="F252" s="32"/>
      <c r="G252" s="32"/>
      <c r="H252" s="32"/>
      <c r="I252" s="27" t="str">
        <f t="shared" si="0"/>
        <v/>
      </c>
      <c r="J252" s="32"/>
      <c r="K252" s="32"/>
      <c r="L252" s="33"/>
      <c r="M252" s="32"/>
      <c r="N252" s="32"/>
      <c r="O252" s="32"/>
      <c r="P252" s="32"/>
      <c r="Q252" s="32"/>
      <c r="R252" s="32"/>
      <c r="S252" s="31"/>
      <c r="T252" s="88" t="str">
        <f ca="1" t="shared" si="1"/>
        <v/>
      </c>
      <c r="U252" s="27"/>
      <c r="V252" s="27"/>
      <c r="W252" s="27"/>
      <c r="X252" s="27"/>
      <c r="Y252" s="98"/>
      <c r="Z252" s="27"/>
      <c r="AA252" s="31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</row>
    <row r="253" ht="15.75" customHeight="1" spans="1:43">
      <c r="A253" s="29"/>
      <c r="B253" s="29"/>
      <c r="C253" s="29"/>
      <c r="D253" s="32"/>
      <c r="E253" s="32"/>
      <c r="F253" s="32"/>
      <c r="G253" s="32"/>
      <c r="H253" s="32"/>
      <c r="I253" s="27" t="str">
        <f t="shared" si="0"/>
        <v/>
      </c>
      <c r="J253" s="32"/>
      <c r="K253" s="32"/>
      <c r="L253" s="33"/>
      <c r="M253" s="32"/>
      <c r="N253" s="32"/>
      <c r="O253" s="32"/>
      <c r="P253" s="32"/>
      <c r="Q253" s="32"/>
      <c r="R253" s="32"/>
      <c r="S253" s="31"/>
      <c r="T253" s="88" t="str">
        <f ca="1" t="shared" si="1"/>
        <v/>
      </c>
      <c r="U253" s="27"/>
      <c r="V253" s="27"/>
      <c r="W253" s="27"/>
      <c r="X253" s="27"/>
      <c r="Y253" s="98"/>
      <c r="Z253" s="27"/>
      <c r="AA253" s="31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</row>
    <row r="254" ht="15.75" customHeight="1" spans="1:43">
      <c r="A254" s="29"/>
      <c r="B254" s="29"/>
      <c r="C254" s="29"/>
      <c r="D254" s="32"/>
      <c r="E254" s="32"/>
      <c r="F254" s="32"/>
      <c r="G254" s="32"/>
      <c r="H254" s="32"/>
      <c r="I254" s="27" t="str">
        <f t="shared" si="0"/>
        <v/>
      </c>
      <c r="J254" s="32"/>
      <c r="K254" s="32"/>
      <c r="L254" s="33"/>
      <c r="M254" s="32"/>
      <c r="N254" s="32"/>
      <c r="O254" s="32"/>
      <c r="P254" s="32"/>
      <c r="Q254" s="32"/>
      <c r="R254" s="32"/>
      <c r="S254" s="31"/>
      <c r="T254" s="88" t="str">
        <f ca="1" t="shared" si="1"/>
        <v/>
      </c>
      <c r="U254" s="27"/>
      <c r="V254" s="27"/>
      <c r="W254" s="27"/>
      <c r="X254" s="27"/>
      <c r="Y254" s="98"/>
      <c r="Z254" s="27"/>
      <c r="AA254" s="31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</row>
    <row r="255" ht="15.75" customHeight="1" spans="1:43">
      <c r="A255" s="29"/>
      <c r="B255" s="29"/>
      <c r="C255" s="29"/>
      <c r="D255" s="32"/>
      <c r="E255" s="32"/>
      <c r="F255" s="32"/>
      <c r="G255" s="32"/>
      <c r="H255" s="32"/>
      <c r="I255" s="27" t="str">
        <f t="shared" si="0"/>
        <v/>
      </c>
      <c r="J255" s="32"/>
      <c r="K255" s="32"/>
      <c r="L255" s="33"/>
      <c r="M255" s="32"/>
      <c r="N255" s="32"/>
      <c r="O255" s="32"/>
      <c r="P255" s="32"/>
      <c r="Q255" s="32"/>
      <c r="R255" s="32"/>
      <c r="S255" s="31"/>
      <c r="T255" s="88" t="str">
        <f ca="1" t="shared" si="1"/>
        <v/>
      </c>
      <c r="U255" s="27"/>
      <c r="V255" s="27"/>
      <c r="W255" s="27"/>
      <c r="X255" s="27"/>
      <c r="Y255" s="98"/>
      <c r="Z255" s="27"/>
      <c r="AA255" s="31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</row>
    <row r="256" ht="15.75" customHeight="1" spans="1:43">
      <c r="A256" s="29"/>
      <c r="B256" s="29"/>
      <c r="C256" s="29"/>
      <c r="D256" s="32"/>
      <c r="E256" s="32"/>
      <c r="F256" s="32"/>
      <c r="G256" s="32"/>
      <c r="H256" s="32"/>
      <c r="I256" s="27" t="str">
        <f t="shared" si="0"/>
        <v/>
      </c>
      <c r="J256" s="32"/>
      <c r="K256" s="32"/>
      <c r="L256" s="33"/>
      <c r="M256" s="32"/>
      <c r="N256" s="32"/>
      <c r="O256" s="32"/>
      <c r="P256" s="32"/>
      <c r="Q256" s="32"/>
      <c r="R256" s="32"/>
      <c r="S256" s="31"/>
      <c r="T256" s="88" t="str">
        <f ca="1" t="shared" si="1"/>
        <v/>
      </c>
      <c r="U256" s="27"/>
      <c r="V256" s="27"/>
      <c r="W256" s="27"/>
      <c r="X256" s="27"/>
      <c r="Y256" s="98"/>
      <c r="Z256" s="27"/>
      <c r="AA256" s="31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</row>
    <row r="257" ht="15.75" customHeight="1" spans="1:43">
      <c r="A257" s="29"/>
      <c r="B257" s="29"/>
      <c r="C257" s="29"/>
      <c r="D257" s="32"/>
      <c r="E257" s="32"/>
      <c r="F257" s="32"/>
      <c r="G257" s="32"/>
      <c r="H257" s="32"/>
      <c r="I257" s="27" t="str">
        <f t="shared" si="0"/>
        <v/>
      </c>
      <c r="J257" s="32"/>
      <c r="K257" s="32"/>
      <c r="L257" s="33"/>
      <c r="M257" s="32"/>
      <c r="N257" s="32"/>
      <c r="O257" s="32"/>
      <c r="P257" s="32"/>
      <c r="Q257" s="32"/>
      <c r="R257" s="32"/>
      <c r="S257" s="31"/>
      <c r="T257" s="88" t="str">
        <f ca="1" t="shared" si="1"/>
        <v/>
      </c>
      <c r="U257" s="27"/>
      <c r="V257" s="27"/>
      <c r="W257" s="27"/>
      <c r="X257" s="27"/>
      <c r="Y257" s="98"/>
      <c r="Z257" s="27"/>
      <c r="AA257" s="31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</row>
    <row r="258" ht="15.75" customHeight="1" spans="1:43">
      <c r="A258" s="29"/>
      <c r="B258" s="29"/>
      <c r="C258" s="29"/>
      <c r="D258" s="32"/>
      <c r="E258" s="32"/>
      <c r="F258" s="32"/>
      <c r="G258" s="32"/>
      <c r="H258" s="32"/>
      <c r="I258" s="27" t="str">
        <f t="shared" si="0"/>
        <v/>
      </c>
      <c r="J258" s="32"/>
      <c r="K258" s="32"/>
      <c r="L258" s="33"/>
      <c r="M258" s="32"/>
      <c r="N258" s="32"/>
      <c r="O258" s="32"/>
      <c r="P258" s="32"/>
      <c r="Q258" s="32"/>
      <c r="R258" s="32"/>
      <c r="S258" s="31"/>
      <c r="T258" s="88" t="str">
        <f ca="1" t="shared" si="1"/>
        <v/>
      </c>
      <c r="U258" s="27"/>
      <c r="V258" s="27"/>
      <c r="W258" s="27"/>
      <c r="X258" s="27"/>
      <c r="Y258" s="98"/>
      <c r="Z258" s="27"/>
      <c r="AA258" s="31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</row>
    <row r="259" ht="15.75" customHeight="1" spans="1:43">
      <c r="A259" s="29"/>
      <c r="B259" s="29"/>
      <c r="C259" s="29"/>
      <c r="D259" s="32"/>
      <c r="E259" s="32"/>
      <c r="F259" s="32"/>
      <c r="G259" s="32"/>
      <c r="H259" s="32"/>
      <c r="I259" s="27" t="str">
        <f t="shared" si="0"/>
        <v/>
      </c>
      <c r="J259" s="32"/>
      <c r="K259" s="32"/>
      <c r="L259" s="33"/>
      <c r="M259" s="32"/>
      <c r="N259" s="32"/>
      <c r="O259" s="32"/>
      <c r="P259" s="32"/>
      <c r="Q259" s="32"/>
      <c r="R259" s="32"/>
      <c r="S259" s="31"/>
      <c r="T259" s="88" t="str">
        <f ca="1" t="shared" si="1"/>
        <v/>
      </c>
      <c r="U259" s="27"/>
      <c r="V259" s="27"/>
      <c r="W259" s="27"/>
      <c r="X259" s="27"/>
      <c r="Y259" s="98"/>
      <c r="Z259" s="27"/>
      <c r="AA259" s="31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</row>
    <row r="260" ht="15.75" customHeight="1" spans="1:43">
      <c r="A260" s="29"/>
      <c r="B260" s="29"/>
      <c r="C260" s="29"/>
      <c r="D260" s="32"/>
      <c r="E260" s="32"/>
      <c r="F260" s="32"/>
      <c r="G260" s="32"/>
      <c r="H260" s="32"/>
      <c r="I260" s="27" t="str">
        <f t="shared" si="0"/>
        <v/>
      </c>
      <c r="J260" s="32"/>
      <c r="K260" s="32"/>
      <c r="L260" s="33"/>
      <c r="M260" s="32"/>
      <c r="N260" s="32"/>
      <c r="O260" s="32"/>
      <c r="P260" s="32"/>
      <c r="Q260" s="32"/>
      <c r="R260" s="32"/>
      <c r="S260" s="31"/>
      <c r="T260" s="88" t="str">
        <f ca="1" t="shared" si="1"/>
        <v/>
      </c>
      <c r="U260" s="27"/>
      <c r="V260" s="27"/>
      <c r="W260" s="27"/>
      <c r="X260" s="27"/>
      <c r="Y260" s="98"/>
      <c r="Z260" s="27"/>
      <c r="AA260" s="31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</row>
    <row r="261" ht="15.75" customHeight="1" spans="1:43">
      <c r="A261" s="29"/>
      <c r="B261" s="29"/>
      <c r="C261" s="29"/>
      <c r="D261" s="32"/>
      <c r="E261" s="32"/>
      <c r="F261" s="32"/>
      <c r="G261" s="32"/>
      <c r="H261" s="32"/>
      <c r="I261" s="27" t="str">
        <f t="shared" si="0"/>
        <v/>
      </c>
      <c r="J261" s="32"/>
      <c r="K261" s="32"/>
      <c r="L261" s="33"/>
      <c r="M261" s="32"/>
      <c r="N261" s="32"/>
      <c r="O261" s="32"/>
      <c r="P261" s="32"/>
      <c r="Q261" s="32"/>
      <c r="R261" s="32"/>
      <c r="S261" s="31"/>
      <c r="T261" s="88" t="str">
        <f ca="1" t="shared" si="1"/>
        <v/>
      </c>
      <c r="U261" s="27"/>
      <c r="V261" s="27"/>
      <c r="W261" s="27"/>
      <c r="X261" s="27"/>
      <c r="Y261" s="98"/>
      <c r="Z261" s="27"/>
      <c r="AA261" s="31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</row>
    <row r="262" ht="15.75" customHeight="1" spans="1:43">
      <c r="A262" s="29"/>
      <c r="B262" s="29"/>
      <c r="C262" s="29"/>
      <c r="D262" s="32"/>
      <c r="E262" s="32"/>
      <c r="F262" s="32"/>
      <c r="G262" s="32"/>
      <c r="H262" s="32"/>
      <c r="I262" s="27" t="str">
        <f t="shared" si="0"/>
        <v/>
      </c>
      <c r="J262" s="32"/>
      <c r="K262" s="32"/>
      <c r="L262" s="33"/>
      <c r="M262" s="32"/>
      <c r="N262" s="32"/>
      <c r="O262" s="32"/>
      <c r="P262" s="32"/>
      <c r="Q262" s="32"/>
      <c r="R262" s="32"/>
      <c r="S262" s="31"/>
      <c r="T262" s="88" t="str">
        <f ca="1" t="shared" si="1"/>
        <v/>
      </c>
      <c r="U262" s="27"/>
      <c r="V262" s="27"/>
      <c r="W262" s="27"/>
      <c r="X262" s="27"/>
      <c r="Y262" s="98"/>
      <c r="Z262" s="27"/>
      <c r="AA262" s="31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</row>
    <row r="263" ht="15.75" customHeight="1" spans="1:43">
      <c r="A263" s="29"/>
      <c r="B263" s="29"/>
      <c r="C263" s="29"/>
      <c r="D263" s="32"/>
      <c r="E263" s="32"/>
      <c r="F263" s="32"/>
      <c r="G263" s="32"/>
      <c r="H263" s="32"/>
      <c r="I263" s="27" t="str">
        <f t="shared" si="0"/>
        <v/>
      </c>
      <c r="J263" s="32"/>
      <c r="K263" s="32"/>
      <c r="L263" s="33"/>
      <c r="M263" s="32"/>
      <c r="N263" s="32"/>
      <c r="O263" s="32"/>
      <c r="P263" s="32"/>
      <c r="Q263" s="32"/>
      <c r="R263" s="32"/>
      <c r="S263" s="31"/>
      <c r="T263" s="88" t="str">
        <f ca="1" t="shared" si="1"/>
        <v/>
      </c>
      <c r="U263" s="27"/>
      <c r="V263" s="27"/>
      <c r="W263" s="27"/>
      <c r="X263" s="27"/>
      <c r="Y263" s="98"/>
      <c r="Z263" s="27"/>
      <c r="AA263" s="31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</row>
    <row r="264" ht="15.75" customHeight="1" spans="1:43">
      <c r="A264" s="29"/>
      <c r="B264" s="29"/>
      <c r="C264" s="29"/>
      <c r="D264" s="32"/>
      <c r="E264" s="32"/>
      <c r="F264" s="32"/>
      <c r="G264" s="32"/>
      <c r="H264" s="32"/>
      <c r="I264" s="27" t="str">
        <f t="shared" si="0"/>
        <v/>
      </c>
      <c r="J264" s="32"/>
      <c r="K264" s="32"/>
      <c r="L264" s="33"/>
      <c r="M264" s="32"/>
      <c r="N264" s="32"/>
      <c r="O264" s="32"/>
      <c r="P264" s="32"/>
      <c r="Q264" s="32"/>
      <c r="R264" s="32"/>
      <c r="S264" s="31"/>
      <c r="T264" s="88" t="str">
        <f ca="1" t="shared" si="1"/>
        <v/>
      </c>
      <c r="U264" s="27"/>
      <c r="V264" s="27"/>
      <c r="W264" s="27"/>
      <c r="X264" s="27"/>
      <c r="Y264" s="98"/>
      <c r="Z264" s="27"/>
      <c r="AA264" s="31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</row>
    <row r="265" ht="15.75" customHeight="1" spans="1:43">
      <c r="A265" s="29"/>
      <c r="B265" s="29"/>
      <c r="C265" s="29"/>
      <c r="D265" s="32"/>
      <c r="E265" s="32"/>
      <c r="F265" s="32"/>
      <c r="G265" s="32"/>
      <c r="H265" s="32"/>
      <c r="I265" s="27" t="str">
        <f t="shared" si="0"/>
        <v/>
      </c>
      <c r="J265" s="32"/>
      <c r="K265" s="32"/>
      <c r="L265" s="33"/>
      <c r="M265" s="32"/>
      <c r="N265" s="32"/>
      <c r="O265" s="32"/>
      <c r="P265" s="32"/>
      <c r="Q265" s="32"/>
      <c r="R265" s="32"/>
      <c r="S265" s="31"/>
      <c r="T265" s="88" t="str">
        <f ca="1" t="shared" si="1"/>
        <v/>
      </c>
      <c r="U265" s="27"/>
      <c r="V265" s="27"/>
      <c r="W265" s="27"/>
      <c r="X265" s="27"/>
      <c r="Y265" s="98"/>
      <c r="Z265" s="27"/>
      <c r="AA265" s="31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</row>
    <row r="266" ht="15.75" customHeight="1" spans="1:43">
      <c r="A266" s="29"/>
      <c r="B266" s="29"/>
      <c r="C266" s="29"/>
      <c r="D266" s="32"/>
      <c r="E266" s="32"/>
      <c r="F266" s="32"/>
      <c r="G266" s="32"/>
      <c r="H266" s="32"/>
      <c r="I266" s="27" t="str">
        <f t="shared" si="0"/>
        <v/>
      </c>
      <c r="J266" s="32"/>
      <c r="K266" s="32"/>
      <c r="L266" s="33"/>
      <c r="M266" s="32"/>
      <c r="N266" s="32"/>
      <c r="O266" s="32"/>
      <c r="P266" s="32"/>
      <c r="Q266" s="32"/>
      <c r="R266" s="32"/>
      <c r="S266" s="31"/>
      <c r="T266" s="88" t="str">
        <f ca="1" t="shared" si="1"/>
        <v/>
      </c>
      <c r="U266" s="27"/>
      <c r="V266" s="27"/>
      <c r="W266" s="27"/>
      <c r="X266" s="27"/>
      <c r="Y266" s="98"/>
      <c r="Z266" s="27"/>
      <c r="AA266" s="31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</row>
    <row r="267" ht="15.75" customHeight="1" spans="1:43">
      <c r="A267" s="29"/>
      <c r="B267" s="29"/>
      <c r="C267" s="29"/>
      <c r="D267" s="32"/>
      <c r="E267" s="32"/>
      <c r="F267" s="32"/>
      <c r="G267" s="32"/>
      <c r="H267" s="32"/>
      <c r="I267" s="27" t="str">
        <f t="shared" si="0"/>
        <v/>
      </c>
      <c r="J267" s="32"/>
      <c r="K267" s="32"/>
      <c r="L267" s="33"/>
      <c r="M267" s="32"/>
      <c r="N267" s="32"/>
      <c r="O267" s="32"/>
      <c r="P267" s="32"/>
      <c r="Q267" s="32"/>
      <c r="R267" s="32"/>
      <c r="S267" s="31"/>
      <c r="T267" s="88" t="str">
        <f ca="1" t="shared" si="1"/>
        <v/>
      </c>
      <c r="U267" s="27"/>
      <c r="V267" s="27"/>
      <c r="W267" s="27"/>
      <c r="X267" s="27"/>
      <c r="Y267" s="98"/>
      <c r="Z267" s="27"/>
      <c r="AA267" s="31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</row>
    <row r="268" ht="15.75" customHeight="1" spans="1:43">
      <c r="A268" s="29"/>
      <c r="B268" s="29"/>
      <c r="C268" s="29"/>
      <c r="D268" s="32"/>
      <c r="E268" s="32"/>
      <c r="F268" s="32"/>
      <c r="G268" s="32"/>
      <c r="H268" s="32"/>
      <c r="I268" s="27" t="str">
        <f t="shared" si="0"/>
        <v/>
      </c>
      <c r="J268" s="32"/>
      <c r="K268" s="32"/>
      <c r="L268" s="33"/>
      <c r="M268" s="32"/>
      <c r="N268" s="32"/>
      <c r="O268" s="32"/>
      <c r="P268" s="32"/>
      <c r="Q268" s="32"/>
      <c r="R268" s="32"/>
      <c r="S268" s="31"/>
      <c r="T268" s="88" t="str">
        <f ca="1" t="shared" si="1"/>
        <v/>
      </c>
      <c r="U268" s="27"/>
      <c r="V268" s="27"/>
      <c r="W268" s="27"/>
      <c r="X268" s="27"/>
      <c r="Y268" s="98"/>
      <c r="Z268" s="27"/>
      <c r="AA268" s="31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</row>
    <row r="269" ht="15.75" customHeight="1" spans="1:43">
      <c r="A269" s="29"/>
      <c r="B269" s="29"/>
      <c r="C269" s="29"/>
      <c r="D269" s="32"/>
      <c r="E269" s="32"/>
      <c r="F269" s="32"/>
      <c r="G269" s="32"/>
      <c r="H269" s="32"/>
      <c r="I269" s="27" t="str">
        <f t="shared" si="0"/>
        <v/>
      </c>
      <c r="J269" s="32"/>
      <c r="K269" s="32"/>
      <c r="L269" s="33"/>
      <c r="M269" s="32"/>
      <c r="N269" s="32"/>
      <c r="O269" s="32"/>
      <c r="P269" s="32"/>
      <c r="Q269" s="32"/>
      <c r="R269" s="32"/>
      <c r="S269" s="31"/>
      <c r="T269" s="88" t="str">
        <f ca="1" t="shared" si="1"/>
        <v/>
      </c>
      <c r="U269" s="27"/>
      <c r="V269" s="27"/>
      <c r="W269" s="27"/>
      <c r="X269" s="27"/>
      <c r="Y269" s="98"/>
      <c r="Z269" s="27"/>
      <c r="AA269" s="31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</row>
    <row r="270" ht="15.75" customHeight="1" spans="1:43">
      <c r="A270" s="29"/>
      <c r="B270" s="29"/>
      <c r="C270" s="29"/>
      <c r="D270" s="32"/>
      <c r="E270" s="32"/>
      <c r="F270" s="32"/>
      <c r="G270" s="32"/>
      <c r="H270" s="32"/>
      <c r="I270" s="27" t="str">
        <f t="shared" si="0"/>
        <v/>
      </c>
      <c r="J270" s="32"/>
      <c r="K270" s="32"/>
      <c r="L270" s="33"/>
      <c r="M270" s="32"/>
      <c r="N270" s="32"/>
      <c r="O270" s="32"/>
      <c r="P270" s="32"/>
      <c r="Q270" s="32"/>
      <c r="R270" s="32"/>
      <c r="S270" s="31"/>
      <c r="T270" s="88" t="str">
        <f ca="1" t="shared" si="1"/>
        <v/>
      </c>
      <c r="U270" s="27"/>
      <c r="V270" s="27"/>
      <c r="W270" s="27"/>
      <c r="X270" s="27"/>
      <c r="Y270" s="98"/>
      <c r="Z270" s="27"/>
      <c r="AA270" s="31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</row>
    <row r="271" ht="15.75" customHeight="1" spans="1:43">
      <c r="A271" s="29"/>
      <c r="B271" s="29"/>
      <c r="C271" s="29"/>
      <c r="D271" s="32"/>
      <c r="E271" s="32"/>
      <c r="F271" s="32"/>
      <c r="G271" s="32"/>
      <c r="H271" s="32"/>
      <c r="I271" s="27" t="str">
        <f t="shared" si="0"/>
        <v/>
      </c>
      <c r="J271" s="32"/>
      <c r="K271" s="32"/>
      <c r="L271" s="33"/>
      <c r="M271" s="32"/>
      <c r="N271" s="32"/>
      <c r="O271" s="32"/>
      <c r="P271" s="32"/>
      <c r="Q271" s="32"/>
      <c r="R271" s="32"/>
      <c r="S271" s="31"/>
      <c r="T271" s="88" t="str">
        <f ca="1" t="shared" si="1"/>
        <v/>
      </c>
      <c r="U271" s="27"/>
      <c r="V271" s="27"/>
      <c r="W271" s="27"/>
      <c r="X271" s="27"/>
      <c r="Y271" s="98"/>
      <c r="Z271" s="27"/>
      <c r="AA271" s="31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</row>
    <row r="272" ht="15.75" customHeight="1" spans="1:43">
      <c r="A272" s="29"/>
      <c r="B272" s="29"/>
      <c r="C272" s="29"/>
      <c r="D272" s="32"/>
      <c r="E272" s="32"/>
      <c r="F272" s="32"/>
      <c r="G272" s="32"/>
      <c r="H272" s="32"/>
      <c r="I272" s="27" t="str">
        <f t="shared" si="0"/>
        <v/>
      </c>
      <c r="J272" s="32"/>
      <c r="K272" s="32"/>
      <c r="L272" s="33"/>
      <c r="M272" s="32"/>
      <c r="N272" s="32"/>
      <c r="O272" s="32"/>
      <c r="P272" s="32"/>
      <c r="Q272" s="32"/>
      <c r="R272" s="32"/>
      <c r="S272" s="31"/>
      <c r="T272" s="88" t="str">
        <f ca="1" t="shared" si="1"/>
        <v/>
      </c>
      <c r="U272" s="27"/>
      <c r="V272" s="27"/>
      <c r="W272" s="27"/>
      <c r="X272" s="27"/>
      <c r="Y272" s="98"/>
      <c r="Z272" s="27"/>
      <c r="AA272" s="31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</row>
    <row r="273" ht="15.75" customHeight="1" spans="1:43">
      <c r="A273" s="29"/>
      <c r="B273" s="29"/>
      <c r="C273" s="29"/>
      <c r="D273" s="32"/>
      <c r="E273" s="32"/>
      <c r="F273" s="32"/>
      <c r="G273" s="32"/>
      <c r="H273" s="32"/>
      <c r="I273" s="27" t="str">
        <f t="shared" si="0"/>
        <v/>
      </c>
      <c r="J273" s="32"/>
      <c r="K273" s="32"/>
      <c r="L273" s="33"/>
      <c r="M273" s="32"/>
      <c r="N273" s="32"/>
      <c r="O273" s="32"/>
      <c r="P273" s="32"/>
      <c r="Q273" s="32"/>
      <c r="R273" s="32"/>
      <c r="S273" s="31"/>
      <c r="T273" s="88" t="str">
        <f ca="1" t="shared" si="1"/>
        <v/>
      </c>
      <c r="U273" s="27"/>
      <c r="V273" s="27"/>
      <c r="W273" s="27"/>
      <c r="X273" s="27"/>
      <c r="Y273" s="98"/>
      <c r="Z273" s="27"/>
      <c r="AA273" s="31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</row>
    <row r="274" ht="15.75" customHeight="1" spans="1:43">
      <c r="A274" s="29"/>
      <c r="B274" s="29"/>
      <c r="C274" s="29"/>
      <c r="D274" s="32"/>
      <c r="E274" s="32"/>
      <c r="F274" s="32"/>
      <c r="G274" s="32"/>
      <c r="H274" s="32"/>
      <c r="I274" s="27" t="str">
        <f t="shared" si="0"/>
        <v/>
      </c>
      <c r="J274" s="32"/>
      <c r="K274" s="32"/>
      <c r="L274" s="33"/>
      <c r="M274" s="32"/>
      <c r="N274" s="32"/>
      <c r="O274" s="32"/>
      <c r="P274" s="32"/>
      <c r="Q274" s="32"/>
      <c r="R274" s="32"/>
      <c r="S274" s="31"/>
      <c r="T274" s="88" t="str">
        <f ca="1" t="shared" si="1"/>
        <v/>
      </c>
      <c r="U274" s="27"/>
      <c r="V274" s="27"/>
      <c r="W274" s="27"/>
      <c r="X274" s="27"/>
      <c r="Y274" s="98"/>
      <c r="Z274" s="27"/>
      <c r="AA274" s="31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</row>
    <row r="275" ht="15.75" customHeight="1" spans="1:43">
      <c r="A275" s="29"/>
      <c r="B275" s="29"/>
      <c r="C275" s="29"/>
      <c r="D275" s="32"/>
      <c r="E275" s="32"/>
      <c r="F275" s="32"/>
      <c r="G275" s="32"/>
      <c r="H275" s="32"/>
      <c r="I275" s="27" t="str">
        <f t="shared" si="0"/>
        <v/>
      </c>
      <c r="J275" s="32"/>
      <c r="K275" s="32"/>
      <c r="L275" s="33"/>
      <c r="M275" s="32"/>
      <c r="N275" s="32"/>
      <c r="O275" s="32"/>
      <c r="P275" s="32"/>
      <c r="Q275" s="32"/>
      <c r="R275" s="32"/>
      <c r="S275" s="31"/>
      <c r="T275" s="88" t="str">
        <f ca="1" t="shared" si="1"/>
        <v/>
      </c>
      <c r="U275" s="27"/>
      <c r="V275" s="27"/>
      <c r="W275" s="27"/>
      <c r="X275" s="27"/>
      <c r="Y275" s="98"/>
      <c r="Z275" s="27"/>
      <c r="AA275" s="31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</row>
    <row r="276" ht="15.75" customHeight="1" spans="1:43">
      <c r="A276" s="29"/>
      <c r="B276" s="29"/>
      <c r="C276" s="29"/>
      <c r="D276" s="32"/>
      <c r="E276" s="32"/>
      <c r="F276" s="32"/>
      <c r="G276" s="32"/>
      <c r="H276" s="32"/>
      <c r="I276" s="27" t="str">
        <f t="shared" si="0"/>
        <v/>
      </c>
      <c r="J276" s="32"/>
      <c r="K276" s="32"/>
      <c r="L276" s="33"/>
      <c r="M276" s="32"/>
      <c r="N276" s="32"/>
      <c r="O276" s="32"/>
      <c r="P276" s="32"/>
      <c r="Q276" s="32"/>
      <c r="R276" s="32"/>
      <c r="S276" s="31"/>
      <c r="T276" s="88" t="str">
        <f ca="1" t="shared" si="1"/>
        <v/>
      </c>
      <c r="U276" s="27"/>
      <c r="V276" s="27"/>
      <c r="W276" s="27"/>
      <c r="X276" s="27"/>
      <c r="Y276" s="98"/>
      <c r="Z276" s="27"/>
      <c r="AA276" s="31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</row>
    <row r="277" ht="15.75" customHeight="1" spans="1:43">
      <c r="A277" s="29"/>
      <c r="B277" s="29"/>
      <c r="C277" s="29"/>
      <c r="D277" s="32"/>
      <c r="E277" s="32"/>
      <c r="F277" s="32"/>
      <c r="G277" s="32"/>
      <c r="H277" s="32"/>
      <c r="I277" s="27" t="str">
        <f t="shared" si="0"/>
        <v/>
      </c>
      <c r="J277" s="32"/>
      <c r="K277" s="32"/>
      <c r="L277" s="33"/>
      <c r="M277" s="32"/>
      <c r="N277" s="32"/>
      <c r="O277" s="32"/>
      <c r="P277" s="32"/>
      <c r="Q277" s="32"/>
      <c r="R277" s="32"/>
      <c r="S277" s="31"/>
      <c r="T277" s="88" t="str">
        <f ca="1" t="shared" si="1"/>
        <v/>
      </c>
      <c r="U277" s="27"/>
      <c r="V277" s="27"/>
      <c r="W277" s="27"/>
      <c r="X277" s="27"/>
      <c r="Y277" s="98"/>
      <c r="Z277" s="27"/>
      <c r="AA277" s="31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</row>
    <row r="278" ht="15.75" customHeight="1" spans="1:43">
      <c r="A278" s="29"/>
      <c r="B278" s="29"/>
      <c r="C278" s="29"/>
      <c r="D278" s="32"/>
      <c r="E278" s="32"/>
      <c r="F278" s="32"/>
      <c r="G278" s="32"/>
      <c r="H278" s="32"/>
      <c r="I278" s="27" t="str">
        <f t="shared" si="0"/>
        <v/>
      </c>
      <c r="J278" s="32"/>
      <c r="K278" s="32"/>
      <c r="L278" s="33"/>
      <c r="M278" s="32"/>
      <c r="N278" s="32"/>
      <c r="O278" s="32"/>
      <c r="P278" s="32"/>
      <c r="Q278" s="32"/>
      <c r="R278" s="32"/>
      <c r="S278" s="31"/>
      <c r="T278" s="88" t="str">
        <f ca="1" t="shared" si="1"/>
        <v/>
      </c>
      <c r="U278" s="27"/>
      <c r="V278" s="27"/>
      <c r="W278" s="27"/>
      <c r="X278" s="27"/>
      <c r="Y278" s="98"/>
      <c r="Z278" s="27"/>
      <c r="AA278" s="31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</row>
    <row r="279" ht="15.75" customHeight="1" spans="1:43">
      <c r="A279" s="29"/>
      <c r="B279" s="29"/>
      <c r="C279" s="29"/>
      <c r="D279" s="32"/>
      <c r="E279" s="32"/>
      <c r="F279" s="32"/>
      <c r="G279" s="32"/>
      <c r="H279" s="32"/>
      <c r="I279" s="27" t="str">
        <f t="shared" si="0"/>
        <v/>
      </c>
      <c r="J279" s="32"/>
      <c r="K279" s="32"/>
      <c r="L279" s="33"/>
      <c r="M279" s="32"/>
      <c r="N279" s="32"/>
      <c r="O279" s="32"/>
      <c r="P279" s="32"/>
      <c r="Q279" s="32"/>
      <c r="R279" s="32"/>
      <c r="S279" s="31"/>
      <c r="T279" s="88" t="str">
        <f ca="1" t="shared" si="1"/>
        <v/>
      </c>
      <c r="U279" s="27"/>
      <c r="V279" s="27"/>
      <c r="W279" s="27"/>
      <c r="X279" s="27"/>
      <c r="Y279" s="98"/>
      <c r="Z279" s="27"/>
      <c r="AA279" s="31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</row>
    <row r="280" ht="15.75" customHeight="1" spans="1:43">
      <c r="A280" s="29"/>
      <c r="B280" s="29"/>
      <c r="C280" s="29"/>
      <c r="D280" s="32"/>
      <c r="E280" s="32"/>
      <c r="F280" s="32"/>
      <c r="G280" s="32"/>
      <c r="H280" s="32"/>
      <c r="I280" s="27" t="str">
        <f t="shared" si="0"/>
        <v/>
      </c>
      <c r="J280" s="32"/>
      <c r="K280" s="32"/>
      <c r="L280" s="33"/>
      <c r="M280" s="32"/>
      <c r="N280" s="32"/>
      <c r="O280" s="32"/>
      <c r="P280" s="32"/>
      <c r="Q280" s="32"/>
      <c r="R280" s="32"/>
      <c r="S280" s="31"/>
      <c r="T280" s="88" t="str">
        <f ca="1" t="shared" si="1"/>
        <v/>
      </c>
      <c r="U280" s="27"/>
      <c r="V280" s="27"/>
      <c r="W280" s="27"/>
      <c r="X280" s="27"/>
      <c r="Y280" s="98"/>
      <c r="Z280" s="27"/>
      <c r="AA280" s="31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</row>
    <row r="281" ht="15.75" customHeight="1" spans="1:43">
      <c r="A281" s="29"/>
      <c r="B281" s="29"/>
      <c r="C281" s="29"/>
      <c r="D281" s="32"/>
      <c r="E281" s="32"/>
      <c r="F281" s="32"/>
      <c r="G281" s="32"/>
      <c r="H281" s="32"/>
      <c r="I281" s="27" t="str">
        <f t="shared" si="0"/>
        <v/>
      </c>
      <c r="J281" s="32"/>
      <c r="K281" s="32"/>
      <c r="L281" s="33"/>
      <c r="M281" s="32"/>
      <c r="N281" s="32"/>
      <c r="O281" s="32"/>
      <c r="P281" s="32"/>
      <c r="Q281" s="32"/>
      <c r="R281" s="32"/>
      <c r="S281" s="31"/>
      <c r="T281" s="88" t="str">
        <f ca="1" t="shared" si="1"/>
        <v/>
      </c>
      <c r="U281" s="27"/>
      <c r="V281" s="27"/>
      <c r="W281" s="27"/>
      <c r="X281" s="27"/>
      <c r="Y281" s="98"/>
      <c r="Z281" s="27"/>
      <c r="AA281" s="31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</row>
    <row r="282" ht="15.75" customHeight="1" spans="1:43">
      <c r="A282" s="29"/>
      <c r="B282" s="29"/>
      <c r="C282" s="29"/>
      <c r="D282" s="32"/>
      <c r="E282" s="32"/>
      <c r="F282" s="32"/>
      <c r="G282" s="32"/>
      <c r="H282" s="32"/>
      <c r="I282" s="27" t="str">
        <f t="shared" si="0"/>
        <v/>
      </c>
      <c r="J282" s="32"/>
      <c r="K282" s="32"/>
      <c r="L282" s="33"/>
      <c r="M282" s="32"/>
      <c r="N282" s="32"/>
      <c r="O282" s="32"/>
      <c r="P282" s="32"/>
      <c r="Q282" s="32"/>
      <c r="R282" s="32"/>
      <c r="S282" s="31"/>
      <c r="T282" s="88" t="str">
        <f ca="1" t="shared" si="1"/>
        <v/>
      </c>
      <c r="U282" s="27"/>
      <c r="V282" s="27"/>
      <c r="W282" s="27"/>
      <c r="X282" s="27"/>
      <c r="Y282" s="98"/>
      <c r="Z282" s="27"/>
      <c r="AA282" s="31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</row>
    <row r="283" ht="15.75" customHeight="1" spans="1:43">
      <c r="A283" s="29"/>
      <c r="B283" s="29"/>
      <c r="C283" s="29"/>
      <c r="D283" s="32"/>
      <c r="E283" s="32"/>
      <c r="F283" s="32"/>
      <c r="G283" s="32"/>
      <c r="H283" s="32"/>
      <c r="I283" s="27" t="str">
        <f t="shared" si="0"/>
        <v/>
      </c>
      <c r="J283" s="32"/>
      <c r="K283" s="32"/>
      <c r="L283" s="33"/>
      <c r="M283" s="32"/>
      <c r="N283" s="32"/>
      <c r="O283" s="32"/>
      <c r="P283" s="32"/>
      <c r="Q283" s="32"/>
      <c r="R283" s="32"/>
      <c r="S283" s="31"/>
      <c r="T283" s="88" t="str">
        <f ca="1" t="shared" si="1"/>
        <v/>
      </c>
      <c r="U283" s="27"/>
      <c r="V283" s="27"/>
      <c r="W283" s="27"/>
      <c r="X283" s="27"/>
      <c r="Y283" s="98"/>
      <c r="Z283" s="27"/>
      <c r="AA283" s="31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</row>
    <row r="284" ht="15.75" customHeight="1" spans="1:43">
      <c r="A284" s="29"/>
      <c r="B284" s="29"/>
      <c r="C284" s="29"/>
      <c r="D284" s="32"/>
      <c r="E284" s="32"/>
      <c r="F284" s="32"/>
      <c r="G284" s="32"/>
      <c r="H284" s="32"/>
      <c r="I284" s="27" t="str">
        <f t="shared" si="0"/>
        <v/>
      </c>
      <c r="J284" s="32"/>
      <c r="K284" s="32"/>
      <c r="L284" s="33"/>
      <c r="M284" s="32"/>
      <c r="N284" s="32"/>
      <c r="O284" s="32"/>
      <c r="P284" s="32"/>
      <c r="Q284" s="32"/>
      <c r="R284" s="32"/>
      <c r="S284" s="31"/>
      <c r="T284" s="88" t="str">
        <f ca="1" t="shared" si="1"/>
        <v/>
      </c>
      <c r="U284" s="27"/>
      <c r="V284" s="27"/>
      <c r="W284" s="27"/>
      <c r="X284" s="27"/>
      <c r="Y284" s="98"/>
      <c r="Z284" s="27"/>
      <c r="AA284" s="31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</row>
    <row r="285" ht="15.75" customHeight="1" spans="1:43">
      <c r="A285" s="29"/>
      <c r="B285" s="29"/>
      <c r="C285" s="29"/>
      <c r="D285" s="32"/>
      <c r="E285" s="32"/>
      <c r="F285" s="32"/>
      <c r="G285" s="32"/>
      <c r="H285" s="32"/>
      <c r="I285" s="27" t="str">
        <f t="shared" si="0"/>
        <v/>
      </c>
      <c r="J285" s="32"/>
      <c r="K285" s="32"/>
      <c r="L285" s="33"/>
      <c r="M285" s="32"/>
      <c r="N285" s="32"/>
      <c r="O285" s="32"/>
      <c r="P285" s="32"/>
      <c r="Q285" s="32"/>
      <c r="R285" s="32"/>
      <c r="S285" s="31"/>
      <c r="T285" s="88" t="str">
        <f ca="1" t="shared" si="1"/>
        <v/>
      </c>
      <c r="U285" s="27"/>
      <c r="V285" s="27"/>
      <c r="W285" s="27"/>
      <c r="X285" s="27"/>
      <c r="Y285" s="98"/>
      <c r="Z285" s="27"/>
      <c r="AA285" s="31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</row>
    <row r="286" ht="15.75" customHeight="1" spans="1:43">
      <c r="A286" s="29"/>
      <c r="B286" s="29"/>
      <c r="C286" s="29"/>
      <c r="D286" s="32"/>
      <c r="E286" s="32"/>
      <c r="F286" s="32"/>
      <c r="G286" s="32"/>
      <c r="H286" s="32"/>
      <c r="I286" s="27" t="str">
        <f t="shared" si="0"/>
        <v/>
      </c>
      <c r="J286" s="32"/>
      <c r="K286" s="32"/>
      <c r="L286" s="33"/>
      <c r="M286" s="32"/>
      <c r="N286" s="32"/>
      <c r="O286" s="32"/>
      <c r="P286" s="32"/>
      <c r="Q286" s="32"/>
      <c r="R286" s="32"/>
      <c r="S286" s="31"/>
      <c r="T286" s="88" t="str">
        <f ca="1" t="shared" si="1"/>
        <v/>
      </c>
      <c r="U286" s="27"/>
      <c r="V286" s="27"/>
      <c r="W286" s="27"/>
      <c r="X286" s="27"/>
      <c r="Y286" s="98"/>
      <c r="Z286" s="27"/>
      <c r="AA286" s="31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</row>
    <row r="287" ht="15.75" customHeight="1" spans="1:43">
      <c r="A287" s="29"/>
      <c r="B287" s="29"/>
      <c r="C287" s="29"/>
      <c r="D287" s="32"/>
      <c r="E287" s="32"/>
      <c r="F287" s="32"/>
      <c r="G287" s="32"/>
      <c r="H287" s="32"/>
      <c r="I287" s="27" t="str">
        <f t="shared" si="0"/>
        <v/>
      </c>
      <c r="J287" s="32"/>
      <c r="K287" s="32"/>
      <c r="L287" s="33"/>
      <c r="M287" s="32"/>
      <c r="N287" s="32"/>
      <c r="O287" s="32"/>
      <c r="P287" s="32"/>
      <c r="Q287" s="32"/>
      <c r="R287" s="32"/>
      <c r="S287" s="31"/>
      <c r="T287" s="88" t="str">
        <f ca="1" t="shared" si="1"/>
        <v/>
      </c>
      <c r="U287" s="27"/>
      <c r="V287" s="27"/>
      <c r="W287" s="27"/>
      <c r="X287" s="27"/>
      <c r="Y287" s="98"/>
      <c r="Z287" s="27"/>
      <c r="AA287" s="31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</row>
    <row r="288" ht="15.75" customHeight="1" spans="1:43">
      <c r="A288" s="29"/>
      <c r="B288" s="29"/>
      <c r="C288" s="29"/>
      <c r="D288" s="32"/>
      <c r="E288" s="32"/>
      <c r="F288" s="32"/>
      <c r="G288" s="32"/>
      <c r="H288" s="32"/>
      <c r="I288" s="27" t="str">
        <f t="shared" si="0"/>
        <v/>
      </c>
      <c r="J288" s="32"/>
      <c r="K288" s="32"/>
      <c r="L288" s="33"/>
      <c r="M288" s="32"/>
      <c r="N288" s="32"/>
      <c r="O288" s="32"/>
      <c r="P288" s="32"/>
      <c r="Q288" s="32"/>
      <c r="R288" s="32"/>
      <c r="S288" s="31"/>
      <c r="T288" s="88" t="str">
        <f ca="1" t="shared" si="1"/>
        <v/>
      </c>
      <c r="U288" s="27"/>
      <c r="V288" s="27"/>
      <c r="W288" s="27"/>
      <c r="X288" s="27"/>
      <c r="Y288" s="98"/>
      <c r="Z288" s="27"/>
      <c r="AA288" s="31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</row>
    <row r="289" ht="15.75" customHeight="1" spans="1:43">
      <c r="A289" s="29"/>
      <c r="B289" s="29"/>
      <c r="C289" s="29"/>
      <c r="D289" s="32"/>
      <c r="E289" s="32"/>
      <c r="F289" s="32"/>
      <c r="G289" s="32"/>
      <c r="H289" s="32"/>
      <c r="I289" s="27" t="str">
        <f t="shared" si="0"/>
        <v/>
      </c>
      <c r="J289" s="32"/>
      <c r="K289" s="32"/>
      <c r="L289" s="33"/>
      <c r="M289" s="32"/>
      <c r="N289" s="32"/>
      <c r="O289" s="32"/>
      <c r="P289" s="32"/>
      <c r="Q289" s="32"/>
      <c r="R289" s="32"/>
      <c r="S289" s="31"/>
      <c r="T289" s="88" t="str">
        <f ca="1" t="shared" si="1"/>
        <v/>
      </c>
      <c r="U289" s="27"/>
      <c r="V289" s="27"/>
      <c r="W289" s="27"/>
      <c r="X289" s="27"/>
      <c r="Y289" s="98"/>
      <c r="Z289" s="27"/>
      <c r="AA289" s="31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</row>
    <row r="290" ht="15.75" customHeight="1" spans="1:43">
      <c r="A290" s="29"/>
      <c r="B290" s="29"/>
      <c r="C290" s="29"/>
      <c r="D290" s="32"/>
      <c r="E290" s="32"/>
      <c r="F290" s="32"/>
      <c r="G290" s="32"/>
      <c r="H290" s="32"/>
      <c r="I290" s="27" t="str">
        <f t="shared" si="0"/>
        <v/>
      </c>
      <c r="J290" s="32"/>
      <c r="K290" s="32"/>
      <c r="L290" s="33"/>
      <c r="M290" s="32"/>
      <c r="N290" s="32"/>
      <c r="O290" s="32"/>
      <c r="P290" s="32"/>
      <c r="Q290" s="32"/>
      <c r="R290" s="32"/>
      <c r="S290" s="31"/>
      <c r="T290" s="88" t="str">
        <f ca="1" t="shared" si="1"/>
        <v/>
      </c>
      <c r="U290" s="27"/>
      <c r="V290" s="27"/>
      <c r="W290" s="27"/>
      <c r="X290" s="27"/>
      <c r="Y290" s="98"/>
      <c r="Z290" s="27"/>
      <c r="AA290" s="31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</row>
    <row r="291" ht="15.75" customHeight="1" spans="1:43">
      <c r="A291" s="29"/>
      <c r="B291" s="29"/>
      <c r="C291" s="29"/>
      <c r="D291" s="32"/>
      <c r="E291" s="32"/>
      <c r="F291" s="32"/>
      <c r="G291" s="32"/>
      <c r="H291" s="32"/>
      <c r="I291" s="27" t="str">
        <f t="shared" si="0"/>
        <v/>
      </c>
      <c r="J291" s="32"/>
      <c r="K291" s="32"/>
      <c r="L291" s="33"/>
      <c r="M291" s="32"/>
      <c r="N291" s="32"/>
      <c r="O291" s="32"/>
      <c r="P291" s="32"/>
      <c r="Q291" s="32"/>
      <c r="R291" s="32"/>
      <c r="S291" s="31"/>
      <c r="T291" s="88" t="str">
        <f ca="1" t="shared" si="1"/>
        <v/>
      </c>
      <c r="U291" s="27"/>
      <c r="V291" s="27"/>
      <c r="W291" s="27"/>
      <c r="X291" s="27"/>
      <c r="Y291" s="98"/>
      <c r="Z291" s="27"/>
      <c r="AA291" s="31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</row>
    <row r="292" ht="15.75" customHeight="1" spans="1:43">
      <c r="A292" s="29"/>
      <c r="B292" s="29"/>
      <c r="C292" s="29"/>
      <c r="D292" s="32"/>
      <c r="E292" s="32"/>
      <c r="F292" s="32"/>
      <c r="G292" s="32"/>
      <c r="H292" s="32"/>
      <c r="I292" s="27" t="str">
        <f t="shared" si="0"/>
        <v/>
      </c>
      <c r="J292" s="32"/>
      <c r="K292" s="32"/>
      <c r="L292" s="33"/>
      <c r="M292" s="32"/>
      <c r="N292" s="32"/>
      <c r="O292" s="32"/>
      <c r="P292" s="32"/>
      <c r="Q292" s="32"/>
      <c r="R292" s="32"/>
      <c r="S292" s="31"/>
      <c r="T292" s="88" t="str">
        <f ca="1" t="shared" si="1"/>
        <v/>
      </c>
      <c r="U292" s="27"/>
      <c r="V292" s="27"/>
      <c r="W292" s="27"/>
      <c r="X292" s="27"/>
      <c r="Y292" s="98"/>
      <c r="Z292" s="27"/>
      <c r="AA292" s="31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</row>
    <row r="293" ht="15.75" customHeight="1" spans="1:43">
      <c r="A293" s="29"/>
      <c r="B293" s="29"/>
      <c r="C293" s="29"/>
      <c r="D293" s="32"/>
      <c r="E293" s="32"/>
      <c r="F293" s="32"/>
      <c r="G293" s="32"/>
      <c r="H293" s="32"/>
      <c r="I293" s="27" t="str">
        <f t="shared" si="0"/>
        <v/>
      </c>
      <c r="J293" s="32"/>
      <c r="K293" s="32"/>
      <c r="L293" s="33"/>
      <c r="M293" s="32"/>
      <c r="N293" s="32"/>
      <c r="O293" s="32"/>
      <c r="P293" s="32"/>
      <c r="Q293" s="32"/>
      <c r="R293" s="32"/>
      <c r="S293" s="31"/>
      <c r="T293" s="88" t="str">
        <f ca="1" t="shared" si="1"/>
        <v/>
      </c>
      <c r="U293" s="27"/>
      <c r="V293" s="27"/>
      <c r="W293" s="27"/>
      <c r="X293" s="27"/>
      <c r="Y293" s="98"/>
      <c r="Z293" s="27"/>
      <c r="AA293" s="31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</row>
    <row r="294" ht="15.75" customHeight="1" spans="1:43">
      <c r="A294" s="29"/>
      <c r="B294" s="29"/>
      <c r="C294" s="29"/>
      <c r="D294" s="32"/>
      <c r="E294" s="32"/>
      <c r="F294" s="32"/>
      <c r="G294" s="32"/>
      <c r="H294" s="32"/>
      <c r="I294" s="27" t="str">
        <f t="shared" si="0"/>
        <v/>
      </c>
      <c r="J294" s="32"/>
      <c r="K294" s="32"/>
      <c r="L294" s="33"/>
      <c r="M294" s="32"/>
      <c r="N294" s="32"/>
      <c r="O294" s="32"/>
      <c r="P294" s="32"/>
      <c r="Q294" s="32"/>
      <c r="R294" s="32"/>
      <c r="S294" s="31"/>
      <c r="T294" s="88" t="str">
        <f ca="1" t="shared" si="1"/>
        <v/>
      </c>
      <c r="U294" s="27"/>
      <c r="V294" s="27"/>
      <c r="W294" s="27"/>
      <c r="X294" s="27"/>
      <c r="Y294" s="98"/>
      <c r="Z294" s="27"/>
      <c r="AA294" s="31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</row>
    <row r="295" ht="15.75" customHeight="1" spans="1:43">
      <c r="A295" s="29"/>
      <c r="B295" s="29"/>
      <c r="C295" s="29"/>
      <c r="D295" s="32"/>
      <c r="E295" s="32"/>
      <c r="F295" s="32"/>
      <c r="G295" s="32"/>
      <c r="H295" s="32"/>
      <c r="I295" s="27" t="str">
        <f t="shared" si="0"/>
        <v/>
      </c>
      <c r="J295" s="32"/>
      <c r="K295" s="32"/>
      <c r="L295" s="33"/>
      <c r="M295" s="32"/>
      <c r="N295" s="32"/>
      <c r="O295" s="32"/>
      <c r="P295" s="32"/>
      <c r="Q295" s="32"/>
      <c r="R295" s="32"/>
      <c r="S295" s="31"/>
      <c r="T295" s="88" t="str">
        <f ca="1" t="shared" si="1"/>
        <v/>
      </c>
      <c r="U295" s="27"/>
      <c r="V295" s="27"/>
      <c r="W295" s="27"/>
      <c r="X295" s="27"/>
      <c r="Y295" s="98"/>
      <c r="Z295" s="27"/>
      <c r="AA295" s="31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</row>
    <row r="296" ht="15.75" customHeight="1" spans="1:43">
      <c r="A296" s="29"/>
      <c r="B296" s="29"/>
      <c r="C296" s="29"/>
      <c r="D296" s="32"/>
      <c r="E296" s="32"/>
      <c r="F296" s="32"/>
      <c r="G296" s="32"/>
      <c r="H296" s="32"/>
      <c r="I296" s="27" t="str">
        <f t="shared" si="0"/>
        <v/>
      </c>
      <c r="J296" s="32"/>
      <c r="K296" s="32"/>
      <c r="L296" s="33"/>
      <c r="M296" s="32"/>
      <c r="N296" s="32"/>
      <c r="O296" s="32"/>
      <c r="P296" s="32"/>
      <c r="Q296" s="32"/>
      <c r="R296" s="32"/>
      <c r="S296" s="31"/>
      <c r="T296" s="88" t="str">
        <f ca="1" t="shared" si="1"/>
        <v/>
      </c>
      <c r="U296" s="27"/>
      <c r="V296" s="27"/>
      <c r="W296" s="27"/>
      <c r="X296" s="27"/>
      <c r="Y296" s="98"/>
      <c r="Z296" s="27"/>
      <c r="AA296" s="31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</row>
    <row r="297" ht="15.75" customHeight="1" spans="1:43">
      <c r="A297" s="29"/>
      <c r="B297" s="29"/>
      <c r="C297" s="29"/>
      <c r="D297" s="32"/>
      <c r="E297" s="32"/>
      <c r="F297" s="32"/>
      <c r="G297" s="32"/>
      <c r="H297" s="32"/>
      <c r="I297" s="27" t="str">
        <f t="shared" si="0"/>
        <v/>
      </c>
      <c r="J297" s="32"/>
      <c r="K297" s="32"/>
      <c r="L297" s="33"/>
      <c r="M297" s="32"/>
      <c r="N297" s="32"/>
      <c r="O297" s="32"/>
      <c r="P297" s="32"/>
      <c r="Q297" s="32"/>
      <c r="R297" s="32"/>
      <c r="S297" s="31"/>
      <c r="T297" s="88" t="str">
        <f ca="1" t="shared" si="1"/>
        <v/>
      </c>
      <c r="U297" s="27"/>
      <c r="V297" s="27"/>
      <c r="W297" s="27"/>
      <c r="X297" s="27"/>
      <c r="Y297" s="98"/>
      <c r="Z297" s="27"/>
      <c r="AA297" s="31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</row>
    <row r="298" ht="15.75" customHeight="1" spans="1:43">
      <c r="A298" s="29"/>
      <c r="B298" s="29"/>
      <c r="C298" s="29"/>
      <c r="D298" s="32"/>
      <c r="E298" s="32"/>
      <c r="F298" s="32"/>
      <c r="G298" s="32"/>
      <c r="H298" s="32"/>
      <c r="I298" s="27" t="str">
        <f t="shared" si="0"/>
        <v/>
      </c>
      <c r="J298" s="32"/>
      <c r="K298" s="32"/>
      <c r="L298" s="33"/>
      <c r="M298" s="32"/>
      <c r="N298" s="32"/>
      <c r="O298" s="32"/>
      <c r="P298" s="32"/>
      <c r="Q298" s="32"/>
      <c r="R298" s="32"/>
      <c r="S298" s="31"/>
      <c r="T298" s="88" t="str">
        <f ca="1" t="shared" si="1"/>
        <v/>
      </c>
      <c r="U298" s="27"/>
      <c r="V298" s="27"/>
      <c r="W298" s="27"/>
      <c r="X298" s="27"/>
      <c r="Y298" s="98"/>
      <c r="Z298" s="27"/>
      <c r="AA298" s="31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</row>
    <row r="299" ht="15.75" customHeight="1" spans="1:43">
      <c r="AA299" s="99"/>
    </row>
    <row r="300" ht="15.75" customHeight="1" spans="1:43">
      <c r="AA300" s="99"/>
    </row>
    <row r="301" ht="15.75" customHeight="1" spans="1:43">
      <c r="AA301" s="99"/>
    </row>
    <row r="302" ht="15.75" customHeight="1" spans="1:43">
      <c r="AA302" s="99"/>
    </row>
    <row r="303" ht="15.75" customHeight="1" spans="1:43">
      <c r="AA303" s="99"/>
    </row>
    <row r="304" ht="15.75" customHeight="1" spans="1:43">
      <c r="AA304" s="99"/>
    </row>
    <row r="305" ht="15.75" customHeight="1" spans="27:27">
      <c r="AA305" s="99"/>
    </row>
    <row r="306" ht="15.75" customHeight="1" spans="27:27">
      <c r="AA306" s="99"/>
    </row>
    <row r="307" ht="15.75" customHeight="1" spans="27:27">
      <c r="AA307" s="99"/>
    </row>
    <row r="308" ht="15.75" customHeight="1" spans="27:27">
      <c r="AA308" s="99"/>
    </row>
    <row r="309" ht="15.75" customHeight="1" spans="27:27">
      <c r="AA309" s="99"/>
    </row>
    <row r="310" ht="15.75" customHeight="1" spans="27:27">
      <c r="AA310" s="99"/>
    </row>
    <row r="311" ht="15.75" customHeight="1" spans="27:27">
      <c r="AA311" s="99"/>
    </row>
    <row r="312" ht="15.75" customHeight="1" spans="27:27">
      <c r="AA312" s="99"/>
    </row>
    <row r="313" ht="15.75" customHeight="1" spans="27:27">
      <c r="AA313" s="99"/>
    </row>
    <row r="314" ht="15.75" customHeight="1" spans="27:27">
      <c r="AA314" s="99"/>
    </row>
    <row r="315" ht="15.75" customHeight="1" spans="27:27">
      <c r="AA315" s="99"/>
    </row>
    <row r="316" ht="15.75" customHeight="1" spans="27:27">
      <c r="AA316" s="99"/>
    </row>
    <row r="317" ht="15.75" customHeight="1" spans="27:27">
      <c r="AA317" s="99"/>
    </row>
    <row r="318" ht="15.75" customHeight="1" spans="27:27">
      <c r="AA318" s="99"/>
    </row>
    <row r="319" ht="15.75" customHeight="1" spans="27:27">
      <c r="AA319" s="99"/>
    </row>
    <row r="320" ht="15.75" customHeight="1" spans="27:27">
      <c r="AA320" s="99"/>
    </row>
    <row r="321" ht="15.75" customHeight="1" spans="27:27">
      <c r="AA321" s="99"/>
    </row>
    <row r="322" ht="15.75" customHeight="1" spans="27:27">
      <c r="AA322" s="99"/>
    </row>
    <row r="323" ht="15.75" customHeight="1" spans="27:27">
      <c r="AA323" s="99"/>
    </row>
    <row r="324" ht="15.75" customHeight="1" spans="27:27">
      <c r="AA324" s="99"/>
    </row>
    <row r="325" ht="15.75" customHeight="1" spans="27:27">
      <c r="AA325" s="99"/>
    </row>
    <row r="326" ht="15.75" customHeight="1" spans="27:27">
      <c r="AA326" s="99"/>
    </row>
    <row r="327" ht="15.75" customHeight="1" spans="27:27">
      <c r="AA327" s="99"/>
    </row>
    <row r="328" ht="15.75" customHeight="1" spans="27:27">
      <c r="AA328" s="99"/>
    </row>
    <row r="329" ht="15.75" customHeight="1" spans="27:27">
      <c r="AA329" s="99"/>
    </row>
    <row r="330" ht="15.75" customHeight="1" spans="27:27">
      <c r="AA330" s="99"/>
    </row>
    <row r="331" ht="15.75" customHeight="1" spans="27:27">
      <c r="AA331" s="99"/>
    </row>
    <row r="332" ht="15.75" customHeight="1" spans="27:27">
      <c r="AA332" s="99"/>
    </row>
    <row r="333" ht="15.75" customHeight="1" spans="27:27">
      <c r="AA333" s="99"/>
    </row>
    <row r="334" ht="15.75" customHeight="1" spans="27:27">
      <c r="AA334" s="99"/>
    </row>
    <row r="335" ht="15.75" customHeight="1" spans="27:27">
      <c r="AA335" s="99"/>
    </row>
    <row r="336" ht="15.75" customHeight="1" spans="27:27">
      <c r="AA336" s="99"/>
    </row>
    <row r="337" ht="15.75" customHeight="1" spans="27:27">
      <c r="AA337" s="99"/>
    </row>
    <row r="338" ht="15.75" customHeight="1" spans="27:27">
      <c r="AA338" s="99"/>
    </row>
    <row r="339" ht="15.75" customHeight="1" spans="27:27">
      <c r="AA339" s="99"/>
    </row>
    <row r="340" ht="15.75" customHeight="1" spans="27:27">
      <c r="AA340" s="99"/>
    </row>
    <row r="341" ht="15.75" customHeight="1" spans="27:27">
      <c r="AA341" s="99"/>
    </row>
    <row r="342" ht="15.75" customHeight="1" spans="27:27">
      <c r="AA342" s="99"/>
    </row>
    <row r="343" ht="15.75" customHeight="1" spans="27:27">
      <c r="AA343" s="99"/>
    </row>
    <row r="344" ht="15.75" customHeight="1" spans="27:27">
      <c r="AA344" s="99"/>
    </row>
    <row r="345" ht="15.75" customHeight="1" spans="27:27">
      <c r="AA345" s="99"/>
    </row>
    <row r="346" ht="15.75" customHeight="1" spans="27:27">
      <c r="AA346" s="99"/>
    </row>
    <row r="347" ht="15.75" customHeight="1" spans="27:27">
      <c r="AA347" s="99"/>
    </row>
    <row r="348" ht="15.75" customHeight="1" spans="27:27">
      <c r="AA348" s="99"/>
    </row>
    <row r="349" ht="15.75" customHeight="1" spans="27:27">
      <c r="AA349" s="99"/>
    </row>
    <row r="350" ht="15.75" customHeight="1" spans="27:27">
      <c r="AA350" s="99"/>
    </row>
    <row r="351" ht="15.75" customHeight="1" spans="27:27">
      <c r="AA351" s="99"/>
    </row>
    <row r="352" ht="15.75" customHeight="1" spans="27:27">
      <c r="AA352" s="99"/>
    </row>
    <row r="353" ht="15.75" customHeight="1" spans="27:27">
      <c r="AA353" s="99"/>
    </row>
    <row r="354" ht="15.75" customHeight="1" spans="27:27">
      <c r="AA354" s="99"/>
    </row>
    <row r="355" ht="15.75" customHeight="1" spans="27:27">
      <c r="AA355" s="99"/>
    </row>
    <row r="356" ht="15.75" customHeight="1" spans="27:27">
      <c r="AA356" s="99"/>
    </row>
    <row r="357" ht="15.75" customHeight="1" spans="27:27">
      <c r="AA357" s="99"/>
    </row>
    <row r="358" ht="15.75" customHeight="1" spans="27:27">
      <c r="AA358" s="99"/>
    </row>
    <row r="359" ht="15.75" customHeight="1" spans="27:27">
      <c r="AA359" s="99"/>
    </row>
    <row r="360" ht="15.75" customHeight="1" spans="27:27">
      <c r="AA360" s="99"/>
    </row>
    <row r="361" ht="15.75" customHeight="1" spans="27:27">
      <c r="AA361" s="99"/>
    </row>
    <row r="362" ht="15.75" customHeight="1" spans="27:27">
      <c r="AA362" s="99"/>
    </row>
    <row r="363" ht="15.75" customHeight="1" spans="27:27">
      <c r="AA363" s="99"/>
    </row>
    <row r="364" ht="15.75" customHeight="1" spans="27:27">
      <c r="AA364" s="99"/>
    </row>
    <row r="365" ht="15.75" customHeight="1" spans="27:27">
      <c r="AA365" s="99"/>
    </row>
    <row r="366" ht="15.75" customHeight="1" spans="27:27">
      <c r="AA366" s="99"/>
    </row>
    <row r="367" ht="15.75" customHeight="1" spans="27:27">
      <c r="AA367" s="99"/>
    </row>
    <row r="368" ht="15.75" customHeight="1" spans="27:27">
      <c r="AA368" s="99"/>
    </row>
    <row r="369" ht="15.75" customHeight="1" spans="27:27">
      <c r="AA369" s="99"/>
    </row>
    <row r="370" ht="15.75" customHeight="1" spans="27:27">
      <c r="AA370" s="99"/>
    </row>
    <row r="371" ht="15.75" customHeight="1" spans="27:27">
      <c r="AA371" s="99"/>
    </row>
    <row r="372" ht="15.75" customHeight="1" spans="27:27">
      <c r="AA372" s="99"/>
    </row>
    <row r="373" ht="15.75" customHeight="1" spans="27:27">
      <c r="AA373" s="99"/>
    </row>
    <row r="374" ht="15.75" customHeight="1" spans="27:27">
      <c r="AA374" s="99"/>
    </row>
    <row r="375" ht="15.75" customHeight="1" spans="27:27">
      <c r="AA375" s="99"/>
    </row>
    <row r="376" ht="15.75" customHeight="1" spans="27:27">
      <c r="AA376" s="99"/>
    </row>
    <row r="377" ht="15.75" customHeight="1" spans="27:27">
      <c r="AA377" s="99"/>
    </row>
    <row r="378" ht="15.75" customHeight="1" spans="27:27">
      <c r="AA378" s="99"/>
    </row>
    <row r="379" ht="15.75" customHeight="1" spans="27:27">
      <c r="AA379" s="99"/>
    </row>
    <row r="380" ht="15.75" customHeight="1" spans="27:27">
      <c r="AA380" s="99"/>
    </row>
    <row r="381" ht="15.75" customHeight="1" spans="27:27">
      <c r="AA381" s="99"/>
    </row>
    <row r="382" ht="15.75" customHeight="1" spans="27:27">
      <c r="AA382" s="99"/>
    </row>
    <row r="383" ht="15.75" customHeight="1" spans="27:27">
      <c r="AA383" s="99"/>
    </row>
    <row r="384" ht="15.75" customHeight="1" spans="27:27">
      <c r="AA384" s="99"/>
    </row>
    <row r="385" ht="15.75" customHeight="1" spans="27:27">
      <c r="AA385" s="99"/>
    </row>
    <row r="386" ht="15.75" customHeight="1" spans="27:27">
      <c r="AA386" s="99"/>
    </row>
    <row r="387" ht="15.75" customHeight="1" spans="27:27">
      <c r="AA387" s="99"/>
    </row>
    <row r="388" ht="15.75" customHeight="1" spans="27:27">
      <c r="AA388" s="99"/>
    </row>
    <row r="389" ht="15.75" customHeight="1" spans="27:27">
      <c r="AA389" s="99"/>
    </row>
    <row r="390" ht="15.75" customHeight="1" spans="27:27">
      <c r="AA390" s="99"/>
    </row>
    <row r="391" ht="15.75" customHeight="1" spans="27:27">
      <c r="AA391" s="99"/>
    </row>
    <row r="392" ht="15.75" customHeight="1" spans="27:27">
      <c r="AA392" s="99"/>
    </row>
    <row r="393" ht="15.75" customHeight="1" spans="27:27">
      <c r="AA393" s="99"/>
    </row>
    <row r="394" ht="15.75" customHeight="1" spans="27:27">
      <c r="AA394" s="99"/>
    </row>
    <row r="395" ht="15.75" customHeight="1" spans="27:27">
      <c r="AA395" s="99"/>
    </row>
    <row r="396" ht="15.75" customHeight="1" spans="27:27">
      <c r="AA396" s="99"/>
    </row>
    <row r="397" ht="15.75" customHeight="1" spans="27:27">
      <c r="AA397" s="99"/>
    </row>
    <row r="398" ht="15.75" customHeight="1" spans="27:27">
      <c r="AA398" s="99"/>
    </row>
    <row r="399" ht="15.75" customHeight="1" spans="27:27">
      <c r="AA399" s="99"/>
    </row>
    <row r="400" ht="15.75" customHeight="1" spans="27:27">
      <c r="AA400" s="99"/>
    </row>
    <row r="401" ht="15.75" customHeight="1" spans="27:27">
      <c r="AA401" s="99"/>
    </row>
    <row r="402" ht="15.75" customHeight="1" spans="27:27">
      <c r="AA402" s="99"/>
    </row>
    <row r="403" ht="15.75" customHeight="1" spans="27:27">
      <c r="AA403" s="99"/>
    </row>
    <row r="404" ht="15.75" customHeight="1" spans="27:27">
      <c r="AA404" s="99"/>
    </row>
    <row r="405" ht="15.75" customHeight="1" spans="27:27">
      <c r="AA405" s="99"/>
    </row>
    <row r="406" ht="15.75" customHeight="1" spans="27:27">
      <c r="AA406" s="99"/>
    </row>
    <row r="407" ht="15.75" customHeight="1" spans="27:27">
      <c r="AA407" s="99"/>
    </row>
    <row r="408" ht="15.75" customHeight="1" spans="27:27">
      <c r="AA408" s="99"/>
    </row>
    <row r="409" ht="15.75" customHeight="1" spans="27:27">
      <c r="AA409" s="99"/>
    </row>
    <row r="410" ht="15.75" customHeight="1" spans="27:27">
      <c r="AA410" s="99"/>
    </row>
    <row r="411" ht="15.75" customHeight="1" spans="27:27">
      <c r="AA411" s="99"/>
    </row>
    <row r="412" ht="15.75" customHeight="1" spans="27:27">
      <c r="AA412" s="99"/>
    </row>
    <row r="413" ht="15.75" customHeight="1" spans="27:27">
      <c r="AA413" s="99"/>
    </row>
    <row r="414" ht="15.75" customHeight="1" spans="27:27">
      <c r="AA414" s="99"/>
    </row>
    <row r="415" ht="15.75" customHeight="1" spans="27:27">
      <c r="AA415" s="99"/>
    </row>
    <row r="416" ht="15.75" customHeight="1" spans="27:27">
      <c r="AA416" s="99"/>
    </row>
    <row r="417" ht="15.75" customHeight="1" spans="27:27">
      <c r="AA417" s="99"/>
    </row>
    <row r="418" ht="15.75" customHeight="1" spans="27:27">
      <c r="AA418" s="99"/>
    </row>
    <row r="419" ht="15.75" customHeight="1" spans="27:27">
      <c r="AA419" s="99"/>
    </row>
    <row r="420" ht="15.75" customHeight="1" spans="27:27">
      <c r="AA420" s="99"/>
    </row>
    <row r="421" ht="15.75" customHeight="1" spans="27:27">
      <c r="AA421" s="99"/>
    </row>
    <row r="422" ht="15.75" customHeight="1" spans="27:27">
      <c r="AA422" s="99"/>
    </row>
    <row r="423" ht="15.75" customHeight="1" spans="27:27">
      <c r="AA423" s="99"/>
    </row>
    <row r="424" ht="15.75" customHeight="1" spans="27:27">
      <c r="AA424" s="99"/>
    </row>
    <row r="425" ht="15.75" customHeight="1" spans="27:27">
      <c r="AA425" s="99"/>
    </row>
    <row r="426" ht="15.75" customHeight="1" spans="27:27">
      <c r="AA426" s="99"/>
    </row>
    <row r="427" ht="15.75" customHeight="1" spans="27:27">
      <c r="AA427" s="99"/>
    </row>
    <row r="428" ht="15.75" customHeight="1" spans="27:27">
      <c r="AA428" s="99"/>
    </row>
    <row r="429" ht="15.75" customHeight="1" spans="27:27">
      <c r="AA429" s="99"/>
    </row>
    <row r="430" ht="15.75" customHeight="1" spans="27:27">
      <c r="AA430" s="99"/>
    </row>
    <row r="431" ht="15.75" customHeight="1" spans="27:27">
      <c r="AA431" s="99"/>
    </row>
    <row r="432" ht="15.75" customHeight="1" spans="27:27">
      <c r="AA432" s="99"/>
    </row>
    <row r="433" ht="15.75" customHeight="1" spans="27:27">
      <c r="AA433" s="99"/>
    </row>
    <row r="434" ht="15.75" customHeight="1" spans="27:27">
      <c r="AA434" s="99"/>
    </row>
    <row r="435" ht="15.75" customHeight="1" spans="27:27">
      <c r="AA435" s="99"/>
    </row>
    <row r="436" ht="15.75" customHeight="1" spans="27:27">
      <c r="AA436" s="99"/>
    </row>
    <row r="437" ht="15.75" customHeight="1" spans="27:27">
      <c r="AA437" s="99"/>
    </row>
    <row r="438" ht="15.75" customHeight="1" spans="27:27">
      <c r="AA438" s="99"/>
    </row>
    <row r="439" ht="15.75" customHeight="1" spans="27:27">
      <c r="AA439" s="99"/>
    </row>
    <row r="440" ht="15.75" customHeight="1" spans="27:27">
      <c r="AA440" s="99"/>
    </row>
    <row r="441" ht="15.75" customHeight="1" spans="27:27">
      <c r="AA441" s="99"/>
    </row>
    <row r="442" ht="15.75" customHeight="1" spans="27:27">
      <c r="AA442" s="99"/>
    </row>
    <row r="443" ht="15.75" customHeight="1" spans="27:27">
      <c r="AA443" s="99"/>
    </row>
    <row r="444" ht="15.75" customHeight="1" spans="27:27">
      <c r="AA444" s="99"/>
    </row>
    <row r="445" ht="15.75" customHeight="1" spans="27:27">
      <c r="AA445" s="99"/>
    </row>
    <row r="446" ht="15.75" customHeight="1" spans="27:27">
      <c r="AA446" s="99"/>
    </row>
    <row r="447" ht="15.75" customHeight="1" spans="27:27">
      <c r="AA447" s="99"/>
    </row>
    <row r="448" ht="15.75" customHeight="1" spans="27:27">
      <c r="AA448" s="99"/>
    </row>
    <row r="449" ht="15.75" customHeight="1" spans="27:27">
      <c r="AA449" s="99"/>
    </row>
    <row r="450" ht="15.75" customHeight="1" spans="27:27">
      <c r="AA450" s="99"/>
    </row>
    <row r="451" ht="15.75" customHeight="1" spans="27:27">
      <c r="AA451" s="99"/>
    </row>
    <row r="452" ht="15.75" customHeight="1" spans="27:27">
      <c r="AA452" s="99"/>
    </row>
    <row r="453" ht="15.75" customHeight="1" spans="27:27">
      <c r="AA453" s="99"/>
    </row>
    <row r="454" ht="15.75" customHeight="1" spans="27:27">
      <c r="AA454" s="99"/>
    </row>
    <row r="455" ht="15.75" customHeight="1" spans="27:27">
      <c r="AA455" s="99"/>
    </row>
    <row r="456" ht="15.75" customHeight="1" spans="27:27">
      <c r="AA456" s="99"/>
    </row>
    <row r="457" ht="15.75" customHeight="1" spans="27:27">
      <c r="AA457" s="99"/>
    </row>
    <row r="458" ht="15.75" customHeight="1" spans="27:27">
      <c r="AA458" s="99"/>
    </row>
    <row r="459" ht="15.75" customHeight="1" spans="27:27">
      <c r="AA459" s="99"/>
    </row>
    <row r="460" ht="15.75" customHeight="1" spans="27:27">
      <c r="AA460" s="99"/>
    </row>
    <row r="461" ht="15.75" customHeight="1" spans="27:27">
      <c r="AA461" s="99"/>
    </row>
    <row r="462" ht="15.75" customHeight="1" spans="27:27">
      <c r="AA462" s="99"/>
    </row>
    <row r="463" ht="15.75" customHeight="1" spans="27:27">
      <c r="AA463" s="99"/>
    </row>
    <row r="464" ht="15.75" customHeight="1" spans="27:27">
      <c r="AA464" s="99"/>
    </row>
    <row r="465" ht="15.75" customHeight="1" spans="27:27">
      <c r="AA465" s="99"/>
    </row>
    <row r="466" ht="15.75" customHeight="1" spans="27:27">
      <c r="AA466" s="99"/>
    </row>
    <row r="467" ht="15.75" customHeight="1" spans="27:27">
      <c r="AA467" s="99"/>
    </row>
    <row r="468" ht="15.75" customHeight="1" spans="27:27">
      <c r="AA468" s="99"/>
    </row>
    <row r="469" ht="15.75" customHeight="1" spans="27:27">
      <c r="AA469" s="99"/>
    </row>
    <row r="470" ht="15.75" customHeight="1" spans="27:27">
      <c r="AA470" s="99"/>
    </row>
    <row r="471" ht="15.75" customHeight="1" spans="27:27">
      <c r="AA471" s="99"/>
    </row>
    <row r="472" ht="15.75" customHeight="1" spans="27:27">
      <c r="AA472" s="99"/>
    </row>
    <row r="473" ht="15.75" customHeight="1" spans="27:27">
      <c r="AA473" s="99"/>
    </row>
    <row r="474" ht="15.75" customHeight="1" spans="27:27">
      <c r="AA474" s="99"/>
    </row>
    <row r="475" ht="15.75" customHeight="1" spans="27:27">
      <c r="AA475" s="99"/>
    </row>
    <row r="476" ht="15.75" customHeight="1" spans="27:27">
      <c r="AA476" s="99"/>
    </row>
    <row r="477" ht="15.75" customHeight="1" spans="27:27">
      <c r="AA477" s="99"/>
    </row>
    <row r="478" ht="15.75" customHeight="1" spans="27:27">
      <c r="AA478" s="99"/>
    </row>
    <row r="479" ht="15.75" customHeight="1" spans="27:27">
      <c r="AA479" s="99"/>
    </row>
    <row r="480" ht="15.75" customHeight="1" spans="27:27">
      <c r="AA480" s="99"/>
    </row>
    <row r="481" ht="15.75" customHeight="1" spans="27:27">
      <c r="AA481" s="99"/>
    </row>
    <row r="482" ht="15.75" customHeight="1" spans="27:27">
      <c r="AA482" s="99"/>
    </row>
    <row r="483" ht="15.75" customHeight="1" spans="27:27">
      <c r="AA483" s="99"/>
    </row>
    <row r="484" ht="15.75" customHeight="1" spans="27:27">
      <c r="AA484" s="99"/>
    </row>
    <row r="485" ht="15.75" customHeight="1" spans="27:27">
      <c r="AA485" s="99"/>
    </row>
    <row r="486" ht="15.75" customHeight="1" spans="27:27">
      <c r="AA486" s="99"/>
    </row>
    <row r="487" ht="15.75" customHeight="1" spans="27:27">
      <c r="AA487" s="99"/>
    </row>
    <row r="488" ht="15.75" customHeight="1" spans="27:27">
      <c r="AA488" s="99"/>
    </row>
    <row r="489" ht="15.75" customHeight="1" spans="27:27">
      <c r="AA489" s="99"/>
    </row>
    <row r="490" ht="15.75" customHeight="1" spans="27:27">
      <c r="AA490" s="99"/>
    </row>
    <row r="491" ht="15.75" customHeight="1" spans="27:27">
      <c r="AA491" s="99"/>
    </row>
    <row r="492" ht="15.75" customHeight="1" spans="27:27">
      <c r="AA492" s="99"/>
    </row>
    <row r="493" ht="15.75" customHeight="1" spans="27:27">
      <c r="AA493" s="99"/>
    </row>
    <row r="494" ht="15.75" customHeight="1" spans="27:27">
      <c r="AA494" s="99"/>
    </row>
    <row r="495" ht="15.75" customHeight="1" spans="27:27">
      <c r="AA495" s="99"/>
    </row>
    <row r="496" ht="15.75" customHeight="1" spans="27:27">
      <c r="AA496" s="99"/>
    </row>
    <row r="497" ht="15.75" customHeight="1" spans="27:27">
      <c r="AA497" s="99"/>
    </row>
    <row r="498" ht="15.75" customHeight="1" spans="27:27">
      <c r="AA498" s="99"/>
    </row>
    <row r="499" ht="15.75" customHeight="1" spans="27:27">
      <c r="AA499" s="99"/>
    </row>
    <row r="500" ht="15.75" customHeight="1" spans="27:27">
      <c r="AA500" s="99"/>
    </row>
    <row r="501" ht="15.75" customHeight="1" spans="27:27">
      <c r="AA501" s="99"/>
    </row>
    <row r="502" ht="15.75" customHeight="1" spans="27:27">
      <c r="AA502" s="99"/>
    </row>
    <row r="503" ht="15.75" customHeight="1" spans="27:27">
      <c r="AA503" s="99"/>
    </row>
    <row r="504" ht="15.75" customHeight="1" spans="27:27">
      <c r="AA504" s="99"/>
    </row>
    <row r="505" ht="15.75" customHeight="1" spans="27:27">
      <c r="AA505" s="99"/>
    </row>
    <row r="506" ht="15.75" customHeight="1" spans="27:27">
      <c r="AA506" s="99"/>
    </row>
    <row r="507" ht="15.75" customHeight="1" spans="27:27">
      <c r="AA507" s="99"/>
    </row>
    <row r="508" ht="15.75" customHeight="1" spans="27:27">
      <c r="AA508" s="99"/>
    </row>
    <row r="509" ht="15.75" customHeight="1" spans="27:27">
      <c r="AA509" s="99"/>
    </row>
    <row r="510" ht="15.75" customHeight="1" spans="27:27">
      <c r="AA510" s="99"/>
    </row>
    <row r="511" ht="15.75" customHeight="1" spans="27:27">
      <c r="AA511" s="99"/>
    </row>
    <row r="512" ht="15.75" customHeight="1" spans="27:27">
      <c r="AA512" s="99"/>
    </row>
    <row r="513" ht="15.75" customHeight="1" spans="27:27">
      <c r="AA513" s="99"/>
    </row>
    <row r="514" ht="15.75" customHeight="1" spans="27:27">
      <c r="AA514" s="99"/>
    </row>
    <row r="515" ht="15.75" customHeight="1" spans="27:27">
      <c r="AA515" s="99"/>
    </row>
    <row r="516" ht="15.75" customHeight="1" spans="27:27">
      <c r="AA516" s="99"/>
    </row>
    <row r="517" ht="15.75" customHeight="1" spans="27:27">
      <c r="AA517" s="99"/>
    </row>
    <row r="518" ht="15.75" customHeight="1" spans="27:27">
      <c r="AA518" s="99"/>
    </row>
    <row r="519" ht="15.75" customHeight="1" spans="27:27">
      <c r="AA519" s="99"/>
    </row>
    <row r="520" ht="15.75" customHeight="1" spans="27:27">
      <c r="AA520" s="99"/>
    </row>
    <row r="521" ht="15.75" customHeight="1" spans="27:27">
      <c r="AA521" s="99"/>
    </row>
    <row r="522" ht="15.75" customHeight="1" spans="27:27">
      <c r="AA522" s="99"/>
    </row>
    <row r="523" ht="15.75" customHeight="1" spans="27:27">
      <c r="AA523" s="99"/>
    </row>
    <row r="524" ht="15.75" customHeight="1" spans="27:27">
      <c r="AA524" s="99"/>
    </row>
    <row r="525" ht="15.75" customHeight="1" spans="27:27">
      <c r="AA525" s="99"/>
    </row>
    <row r="526" ht="15.75" customHeight="1" spans="27:27">
      <c r="AA526" s="99"/>
    </row>
    <row r="527" ht="15.75" customHeight="1" spans="27:27">
      <c r="AA527" s="99"/>
    </row>
    <row r="528" ht="15.75" customHeight="1" spans="27:27">
      <c r="AA528" s="99"/>
    </row>
    <row r="529" ht="15.75" customHeight="1" spans="27:27">
      <c r="AA529" s="99"/>
    </row>
    <row r="530" ht="15.75" customHeight="1" spans="27:27">
      <c r="AA530" s="99"/>
    </row>
    <row r="531" ht="15.75" customHeight="1" spans="27:27">
      <c r="AA531" s="99"/>
    </row>
    <row r="532" ht="15.75" customHeight="1" spans="27:27">
      <c r="AA532" s="99"/>
    </row>
    <row r="533" ht="15.75" customHeight="1" spans="27:27">
      <c r="AA533" s="99"/>
    </row>
    <row r="534" ht="15.75" customHeight="1" spans="27:27">
      <c r="AA534" s="99"/>
    </row>
    <row r="535" ht="15.75" customHeight="1" spans="27:27">
      <c r="AA535" s="99"/>
    </row>
    <row r="536" ht="15.75" customHeight="1" spans="27:27">
      <c r="AA536" s="99"/>
    </row>
    <row r="537" ht="15.75" customHeight="1" spans="27:27">
      <c r="AA537" s="99"/>
    </row>
    <row r="538" ht="15.75" customHeight="1" spans="27:27">
      <c r="AA538" s="99"/>
    </row>
    <row r="539" ht="15.75" customHeight="1" spans="27:27">
      <c r="AA539" s="99"/>
    </row>
    <row r="540" ht="15.75" customHeight="1" spans="27:27">
      <c r="AA540" s="99"/>
    </row>
    <row r="541" ht="15.75" customHeight="1" spans="27:27">
      <c r="AA541" s="99"/>
    </row>
    <row r="542" ht="15.75" customHeight="1" spans="27:27">
      <c r="AA542" s="99"/>
    </row>
    <row r="543" ht="15.75" customHeight="1" spans="27:27">
      <c r="AA543" s="99"/>
    </row>
    <row r="544" ht="15.75" customHeight="1" spans="27:27">
      <c r="AA544" s="99"/>
    </row>
    <row r="545" ht="15.75" customHeight="1" spans="27:27">
      <c r="AA545" s="99"/>
    </row>
    <row r="546" ht="15.75" customHeight="1" spans="27:27">
      <c r="AA546" s="99"/>
    </row>
    <row r="547" ht="15.75" customHeight="1" spans="27:27">
      <c r="AA547" s="99"/>
    </row>
    <row r="548" ht="15.75" customHeight="1" spans="27:27">
      <c r="AA548" s="99"/>
    </row>
    <row r="549" ht="15.75" customHeight="1" spans="27:27">
      <c r="AA549" s="99"/>
    </row>
    <row r="550" ht="15.75" customHeight="1" spans="27:27">
      <c r="AA550" s="99"/>
    </row>
    <row r="551" ht="15.75" customHeight="1" spans="27:27">
      <c r="AA551" s="99"/>
    </row>
    <row r="552" ht="15.75" customHeight="1" spans="27:27">
      <c r="AA552" s="99"/>
    </row>
    <row r="553" ht="15.75" customHeight="1" spans="27:27">
      <c r="AA553" s="99"/>
    </row>
    <row r="554" ht="15.75" customHeight="1" spans="27:27">
      <c r="AA554" s="99"/>
    </row>
    <row r="555" ht="15.75" customHeight="1" spans="27:27">
      <c r="AA555" s="99"/>
    </row>
    <row r="556" ht="15.75" customHeight="1" spans="27:27">
      <c r="AA556" s="99"/>
    </row>
    <row r="557" ht="15.75" customHeight="1" spans="27:27">
      <c r="AA557" s="99"/>
    </row>
    <row r="558" ht="15.75" customHeight="1" spans="27:27">
      <c r="AA558" s="99"/>
    </row>
    <row r="559" ht="15.75" customHeight="1" spans="27:27">
      <c r="AA559" s="99"/>
    </row>
    <row r="560" ht="15.75" customHeight="1" spans="27:27">
      <c r="AA560" s="99"/>
    </row>
    <row r="561" ht="15.75" customHeight="1" spans="27:27">
      <c r="AA561" s="99"/>
    </row>
    <row r="562" ht="15.75" customHeight="1" spans="27:27">
      <c r="AA562" s="99"/>
    </row>
    <row r="563" ht="15.75" customHeight="1" spans="27:27">
      <c r="AA563" s="99"/>
    </row>
    <row r="564" ht="15.75" customHeight="1" spans="27:27">
      <c r="AA564" s="99"/>
    </row>
    <row r="565" ht="15.75" customHeight="1" spans="27:27">
      <c r="AA565" s="99"/>
    </row>
    <row r="566" ht="15.75" customHeight="1" spans="27:27">
      <c r="AA566" s="99"/>
    </row>
    <row r="567" ht="15.75" customHeight="1" spans="27:27">
      <c r="AA567" s="99"/>
    </row>
    <row r="568" ht="15.75" customHeight="1" spans="27:27">
      <c r="AA568" s="99"/>
    </row>
    <row r="569" ht="15.75" customHeight="1" spans="27:27">
      <c r="AA569" s="99"/>
    </row>
    <row r="570" ht="15.75" customHeight="1" spans="27:27">
      <c r="AA570" s="99"/>
    </row>
    <row r="571" ht="15.75" customHeight="1" spans="27:27">
      <c r="AA571" s="99"/>
    </row>
    <row r="572" ht="15.75" customHeight="1" spans="27:27">
      <c r="AA572" s="99"/>
    </row>
    <row r="573" ht="15.75" customHeight="1" spans="27:27">
      <c r="AA573" s="99"/>
    </row>
    <row r="574" ht="15.75" customHeight="1" spans="27:27">
      <c r="AA574" s="99"/>
    </row>
    <row r="575" ht="15.75" customHeight="1" spans="27:27">
      <c r="AA575" s="99"/>
    </row>
    <row r="576" ht="15.75" customHeight="1" spans="27:27">
      <c r="AA576" s="99"/>
    </row>
    <row r="577" ht="15.75" customHeight="1" spans="27:27">
      <c r="AA577" s="99"/>
    </row>
    <row r="578" ht="15.75" customHeight="1" spans="27:27">
      <c r="AA578" s="99"/>
    </row>
    <row r="579" ht="15.75" customHeight="1" spans="27:27">
      <c r="AA579" s="99"/>
    </row>
    <row r="580" ht="15.75" customHeight="1" spans="27:27">
      <c r="AA580" s="99"/>
    </row>
    <row r="581" ht="15.75" customHeight="1" spans="27:27">
      <c r="AA581" s="99"/>
    </row>
    <row r="582" ht="15.75" customHeight="1" spans="27:27">
      <c r="AA582" s="99"/>
    </row>
    <row r="583" ht="15.75" customHeight="1" spans="27:27">
      <c r="AA583" s="99"/>
    </row>
    <row r="584" ht="15.75" customHeight="1" spans="27:27">
      <c r="AA584" s="99"/>
    </row>
    <row r="585" ht="15.75" customHeight="1" spans="27:27">
      <c r="AA585" s="99"/>
    </row>
    <row r="586" ht="15.75" customHeight="1" spans="27:27">
      <c r="AA586" s="99"/>
    </row>
    <row r="587" ht="15.75" customHeight="1" spans="27:27">
      <c r="AA587" s="99"/>
    </row>
    <row r="588" ht="15.75" customHeight="1" spans="27:27">
      <c r="AA588" s="99"/>
    </row>
    <row r="589" ht="15.75" customHeight="1" spans="27:27">
      <c r="AA589" s="99"/>
    </row>
    <row r="590" ht="15.75" customHeight="1" spans="27:27">
      <c r="AA590" s="99"/>
    </row>
    <row r="591" ht="15.75" customHeight="1" spans="27:27">
      <c r="AA591" s="99"/>
    </row>
    <row r="592" ht="15.75" customHeight="1" spans="27:27">
      <c r="AA592" s="99"/>
    </row>
    <row r="593" ht="15.75" customHeight="1" spans="27:27">
      <c r="AA593" s="99"/>
    </row>
    <row r="594" ht="15.75" customHeight="1" spans="27:27">
      <c r="AA594" s="99"/>
    </row>
    <row r="595" ht="15.75" customHeight="1" spans="27:27">
      <c r="AA595" s="99"/>
    </row>
    <row r="596" ht="15.75" customHeight="1" spans="27:27">
      <c r="AA596" s="99"/>
    </row>
    <row r="597" ht="15.75" customHeight="1" spans="27:27">
      <c r="AA597" s="99"/>
    </row>
    <row r="598" ht="15.75" customHeight="1" spans="27:27">
      <c r="AA598" s="99"/>
    </row>
    <row r="599" ht="15.75" customHeight="1" spans="27:27">
      <c r="AA599" s="99"/>
    </row>
    <row r="600" ht="15.75" customHeight="1" spans="27:27">
      <c r="AA600" s="99"/>
    </row>
    <row r="601" ht="15.75" customHeight="1" spans="27:27">
      <c r="AA601" s="99"/>
    </row>
    <row r="602" ht="15.75" customHeight="1" spans="27:27">
      <c r="AA602" s="99"/>
    </row>
    <row r="603" ht="15.75" customHeight="1" spans="27:27">
      <c r="AA603" s="99"/>
    </row>
    <row r="604" ht="15.75" customHeight="1" spans="27:27">
      <c r="AA604" s="99"/>
    </row>
    <row r="605" ht="15.75" customHeight="1" spans="27:27">
      <c r="AA605" s="99"/>
    </row>
    <row r="606" ht="15.75" customHeight="1" spans="27:27">
      <c r="AA606" s="99"/>
    </row>
    <row r="607" ht="15.75" customHeight="1" spans="27:27">
      <c r="AA607" s="99"/>
    </row>
    <row r="608" ht="15.75" customHeight="1" spans="27:27">
      <c r="AA608" s="99"/>
    </row>
    <row r="609" ht="15.75" customHeight="1" spans="27:27">
      <c r="AA609" s="99"/>
    </row>
    <row r="610" ht="15.75" customHeight="1" spans="27:27">
      <c r="AA610" s="99"/>
    </row>
    <row r="611" ht="15.75" customHeight="1" spans="27:27">
      <c r="AA611" s="99"/>
    </row>
    <row r="612" ht="15.75" customHeight="1" spans="27:27">
      <c r="AA612" s="99"/>
    </row>
    <row r="613" ht="15.75" customHeight="1" spans="27:27">
      <c r="AA613" s="99"/>
    </row>
    <row r="614" ht="15.75" customHeight="1" spans="27:27">
      <c r="AA614" s="99"/>
    </row>
    <row r="615" ht="15.75" customHeight="1" spans="27:27">
      <c r="AA615" s="99"/>
    </row>
    <row r="616" ht="15.75" customHeight="1" spans="27:27">
      <c r="AA616" s="99"/>
    </row>
    <row r="617" ht="15.75" customHeight="1" spans="27:27">
      <c r="AA617" s="99"/>
    </row>
    <row r="618" ht="15.75" customHeight="1" spans="27:27">
      <c r="AA618" s="99"/>
    </row>
    <row r="619" ht="15.75" customHeight="1" spans="27:27">
      <c r="AA619" s="99"/>
    </row>
    <row r="620" ht="15.75" customHeight="1" spans="27:27">
      <c r="AA620" s="99"/>
    </row>
    <row r="621" ht="15.75" customHeight="1" spans="27:27">
      <c r="AA621" s="99"/>
    </row>
    <row r="622" ht="15.75" customHeight="1" spans="27:27">
      <c r="AA622" s="99"/>
    </row>
    <row r="623" ht="15.75" customHeight="1" spans="27:27">
      <c r="AA623" s="99"/>
    </row>
    <row r="624" ht="15.75" customHeight="1" spans="27:27">
      <c r="AA624" s="99"/>
    </row>
    <row r="625" ht="15.75" customHeight="1" spans="27:27">
      <c r="AA625" s="99"/>
    </row>
    <row r="626" ht="15.75" customHeight="1" spans="27:27">
      <c r="AA626" s="99"/>
    </row>
    <row r="627" ht="15.75" customHeight="1" spans="27:27">
      <c r="AA627" s="99"/>
    </row>
    <row r="628" ht="15.75" customHeight="1" spans="27:27">
      <c r="AA628" s="99"/>
    </row>
    <row r="629" ht="15.75" customHeight="1" spans="27:27">
      <c r="AA629" s="99"/>
    </row>
    <row r="630" ht="15.75" customHeight="1" spans="27:27">
      <c r="AA630" s="99"/>
    </row>
    <row r="631" ht="15.75" customHeight="1" spans="27:27">
      <c r="AA631" s="99"/>
    </row>
    <row r="632" ht="15.75" customHeight="1" spans="27:27">
      <c r="AA632" s="99"/>
    </row>
    <row r="633" ht="15.75" customHeight="1" spans="27:27">
      <c r="AA633" s="99"/>
    </row>
    <row r="634" ht="15.75" customHeight="1" spans="27:27">
      <c r="AA634" s="99"/>
    </row>
    <row r="635" ht="15.75" customHeight="1" spans="27:27">
      <c r="AA635" s="99"/>
    </row>
    <row r="636" ht="15.75" customHeight="1" spans="27:27">
      <c r="AA636" s="99"/>
    </row>
    <row r="637" ht="15.75" customHeight="1" spans="27:27">
      <c r="AA637" s="99"/>
    </row>
    <row r="638" ht="15.75" customHeight="1" spans="27:27">
      <c r="AA638" s="99"/>
    </row>
    <row r="639" ht="15.75" customHeight="1" spans="27:27">
      <c r="AA639" s="99"/>
    </row>
    <row r="640" ht="15.75" customHeight="1" spans="27:27">
      <c r="AA640" s="99"/>
    </row>
    <row r="641" ht="15.75" customHeight="1" spans="27:27">
      <c r="AA641" s="99"/>
    </row>
    <row r="642" ht="15.75" customHeight="1" spans="27:27">
      <c r="AA642" s="99"/>
    </row>
    <row r="643" ht="15.75" customHeight="1" spans="27:27">
      <c r="AA643" s="99"/>
    </row>
    <row r="644" ht="15.75" customHeight="1" spans="27:27">
      <c r="AA644" s="99"/>
    </row>
    <row r="645" ht="15.75" customHeight="1" spans="27:27">
      <c r="AA645" s="99"/>
    </row>
    <row r="646" ht="15.75" customHeight="1" spans="27:27">
      <c r="AA646" s="99"/>
    </row>
    <row r="647" ht="15.75" customHeight="1" spans="27:27">
      <c r="AA647" s="99"/>
    </row>
    <row r="648" ht="15.75" customHeight="1" spans="27:27">
      <c r="AA648" s="99"/>
    </row>
    <row r="649" ht="15.75" customHeight="1" spans="27:27">
      <c r="AA649" s="99"/>
    </row>
    <row r="650" ht="15.75" customHeight="1" spans="27:27">
      <c r="AA650" s="99"/>
    </row>
    <row r="651" ht="15.75" customHeight="1" spans="27:27">
      <c r="AA651" s="99"/>
    </row>
    <row r="652" ht="15.75" customHeight="1" spans="27:27">
      <c r="AA652" s="99"/>
    </row>
    <row r="653" ht="15.75" customHeight="1" spans="27:27">
      <c r="AA653" s="99"/>
    </row>
    <row r="654" ht="15.75" customHeight="1" spans="27:27">
      <c r="AA654" s="99"/>
    </row>
    <row r="655" ht="15.75" customHeight="1" spans="27:27">
      <c r="AA655" s="99"/>
    </row>
    <row r="656" ht="15.75" customHeight="1" spans="27:27">
      <c r="AA656" s="99"/>
    </row>
    <row r="657" ht="15.75" customHeight="1" spans="27:27">
      <c r="AA657" s="99"/>
    </row>
    <row r="658" ht="15.75" customHeight="1" spans="27:27">
      <c r="AA658" s="99"/>
    </row>
    <row r="659" ht="15.75" customHeight="1" spans="27:27">
      <c r="AA659" s="99"/>
    </row>
    <row r="660" ht="15.75" customHeight="1" spans="27:27">
      <c r="AA660" s="99"/>
    </row>
    <row r="661" ht="15.75" customHeight="1" spans="27:27">
      <c r="AA661" s="99"/>
    </row>
    <row r="662" ht="15.75" customHeight="1" spans="27:27">
      <c r="AA662" s="99"/>
    </row>
    <row r="663" ht="15.75" customHeight="1" spans="27:27">
      <c r="AA663" s="99"/>
    </row>
    <row r="664" ht="15.75" customHeight="1" spans="27:27">
      <c r="AA664" s="99"/>
    </row>
    <row r="665" ht="15.75" customHeight="1" spans="27:27">
      <c r="AA665" s="99"/>
    </row>
    <row r="666" ht="15.75" customHeight="1" spans="27:27">
      <c r="AA666" s="99"/>
    </row>
    <row r="667" ht="15.75" customHeight="1" spans="27:27">
      <c r="AA667" s="99"/>
    </row>
    <row r="668" ht="15.75" customHeight="1" spans="27:27">
      <c r="AA668" s="99"/>
    </row>
    <row r="669" ht="15.75" customHeight="1" spans="27:27">
      <c r="AA669" s="99"/>
    </row>
    <row r="670" ht="15.75" customHeight="1" spans="27:27">
      <c r="AA670" s="99"/>
    </row>
    <row r="671" ht="15.75" customHeight="1" spans="27:27">
      <c r="AA671" s="99"/>
    </row>
    <row r="672" ht="15.75" customHeight="1" spans="27:27">
      <c r="AA672" s="99"/>
    </row>
    <row r="673" ht="15.75" customHeight="1" spans="27:27">
      <c r="AA673" s="99"/>
    </row>
    <row r="674" ht="15.75" customHeight="1" spans="27:27">
      <c r="AA674" s="99"/>
    </row>
    <row r="675" ht="15.75" customHeight="1" spans="27:27">
      <c r="AA675" s="99"/>
    </row>
    <row r="676" ht="15.75" customHeight="1" spans="27:27">
      <c r="AA676" s="99"/>
    </row>
    <row r="677" ht="15.75" customHeight="1" spans="27:27">
      <c r="AA677" s="99"/>
    </row>
    <row r="678" ht="15.75" customHeight="1" spans="27:27">
      <c r="AA678" s="99"/>
    </row>
    <row r="679" ht="15.75" customHeight="1" spans="27:27">
      <c r="AA679" s="99"/>
    </row>
    <row r="680" ht="15.75" customHeight="1" spans="27:27">
      <c r="AA680" s="99"/>
    </row>
    <row r="681" ht="15.75" customHeight="1" spans="27:27">
      <c r="AA681" s="99"/>
    </row>
    <row r="682" ht="15.75" customHeight="1" spans="27:27">
      <c r="AA682" s="99"/>
    </row>
    <row r="683" ht="15.75" customHeight="1" spans="27:27">
      <c r="AA683" s="99"/>
    </row>
    <row r="684" ht="15.75" customHeight="1" spans="27:27">
      <c r="AA684" s="99"/>
    </row>
    <row r="685" ht="15.75" customHeight="1" spans="27:27">
      <c r="AA685" s="99"/>
    </row>
    <row r="686" ht="15.75" customHeight="1" spans="27:27">
      <c r="AA686" s="99"/>
    </row>
    <row r="687" ht="15.75" customHeight="1" spans="27:27">
      <c r="AA687" s="99"/>
    </row>
    <row r="688" ht="15.75" customHeight="1" spans="27:27">
      <c r="AA688" s="99"/>
    </row>
    <row r="689" ht="15.75" customHeight="1" spans="27:27">
      <c r="AA689" s="99"/>
    </row>
    <row r="690" ht="15.75" customHeight="1" spans="27:27">
      <c r="AA690" s="99"/>
    </row>
    <row r="691" ht="15.75" customHeight="1" spans="27:27">
      <c r="AA691" s="99"/>
    </row>
    <row r="692" ht="15.75" customHeight="1" spans="27:27">
      <c r="AA692" s="99"/>
    </row>
    <row r="693" ht="15.75" customHeight="1" spans="27:27">
      <c r="AA693" s="99"/>
    </row>
    <row r="694" ht="15.75" customHeight="1" spans="27:27">
      <c r="AA694" s="99"/>
    </row>
    <row r="695" ht="15.75" customHeight="1" spans="27:27">
      <c r="AA695" s="99"/>
    </row>
    <row r="696" ht="15.75" customHeight="1" spans="27:27">
      <c r="AA696" s="99"/>
    </row>
    <row r="697" ht="15.75" customHeight="1" spans="27:27">
      <c r="AA697" s="99"/>
    </row>
    <row r="698" ht="15.75" customHeight="1" spans="27:27">
      <c r="AA698" s="99"/>
    </row>
    <row r="699" ht="15.75" customHeight="1" spans="27:27">
      <c r="AA699" s="99"/>
    </row>
    <row r="700" ht="15.75" customHeight="1" spans="27:27">
      <c r="AA700" s="99"/>
    </row>
    <row r="701" ht="15.75" customHeight="1" spans="27:27">
      <c r="AA701" s="99"/>
    </row>
    <row r="702" ht="15.75" customHeight="1" spans="27:27">
      <c r="AA702" s="99"/>
    </row>
    <row r="703" ht="15.75" customHeight="1" spans="27:27">
      <c r="AA703" s="99"/>
    </row>
    <row r="704" ht="15.75" customHeight="1" spans="27:27">
      <c r="AA704" s="99"/>
    </row>
    <row r="705" ht="15.75" customHeight="1" spans="27:27">
      <c r="AA705" s="99"/>
    </row>
    <row r="706" ht="15.75" customHeight="1" spans="27:27">
      <c r="AA706" s="99"/>
    </row>
    <row r="707" ht="15.75" customHeight="1" spans="27:27">
      <c r="AA707" s="99"/>
    </row>
    <row r="708" ht="15.75" customHeight="1" spans="27:27">
      <c r="AA708" s="99"/>
    </row>
    <row r="709" ht="15.75" customHeight="1" spans="27:27">
      <c r="AA709" s="99"/>
    </row>
    <row r="710" ht="15.75" customHeight="1" spans="27:27">
      <c r="AA710" s="99"/>
    </row>
    <row r="711" ht="15.75" customHeight="1" spans="27:27">
      <c r="AA711" s="99"/>
    </row>
    <row r="712" ht="15.75" customHeight="1" spans="27:27">
      <c r="AA712" s="99"/>
    </row>
    <row r="713" ht="15.75" customHeight="1" spans="27:27">
      <c r="AA713" s="99"/>
    </row>
    <row r="714" ht="15.75" customHeight="1" spans="27:27">
      <c r="AA714" s="99"/>
    </row>
    <row r="715" ht="15.75" customHeight="1" spans="27:27">
      <c r="AA715" s="99"/>
    </row>
    <row r="716" ht="15.75" customHeight="1" spans="27:27">
      <c r="AA716" s="99"/>
    </row>
    <row r="717" ht="15.75" customHeight="1" spans="27:27">
      <c r="AA717" s="99"/>
    </row>
    <row r="718" ht="15.75" customHeight="1" spans="27:27">
      <c r="AA718" s="99"/>
    </row>
    <row r="719" ht="15.75" customHeight="1" spans="27:27">
      <c r="AA719" s="99"/>
    </row>
    <row r="720" ht="15.75" customHeight="1" spans="27:27">
      <c r="AA720" s="99"/>
    </row>
    <row r="721" ht="15.75" customHeight="1" spans="27:27">
      <c r="AA721" s="99"/>
    </row>
    <row r="722" ht="15.75" customHeight="1" spans="27:27">
      <c r="AA722" s="99"/>
    </row>
    <row r="723" ht="15.75" customHeight="1" spans="27:27">
      <c r="AA723" s="99"/>
    </row>
    <row r="724" ht="15.75" customHeight="1" spans="27:27">
      <c r="AA724" s="99"/>
    </row>
    <row r="725" ht="15.75" customHeight="1" spans="27:27">
      <c r="AA725" s="99"/>
    </row>
    <row r="726" ht="15.75" customHeight="1" spans="27:27">
      <c r="AA726" s="99"/>
    </row>
    <row r="727" ht="15.75" customHeight="1" spans="27:27">
      <c r="AA727" s="99"/>
    </row>
    <row r="728" ht="15.75" customHeight="1" spans="27:27">
      <c r="AA728" s="99"/>
    </row>
    <row r="729" ht="15.75" customHeight="1" spans="27:27">
      <c r="AA729" s="99"/>
    </row>
    <row r="730" ht="15.75" customHeight="1" spans="27:27">
      <c r="AA730" s="99"/>
    </row>
    <row r="731" ht="15.75" customHeight="1" spans="27:27">
      <c r="AA731" s="99"/>
    </row>
    <row r="732" ht="15.75" customHeight="1" spans="27:27">
      <c r="AA732" s="99"/>
    </row>
    <row r="733" ht="15.75" customHeight="1" spans="27:27">
      <c r="AA733" s="99"/>
    </row>
    <row r="734" ht="15.75" customHeight="1" spans="27:27">
      <c r="AA734" s="99"/>
    </row>
    <row r="735" ht="15.75" customHeight="1" spans="27:27">
      <c r="AA735" s="99"/>
    </row>
    <row r="736" ht="15.75" customHeight="1" spans="27:27">
      <c r="AA736" s="99"/>
    </row>
    <row r="737" ht="15.75" customHeight="1" spans="27:27">
      <c r="AA737" s="99"/>
    </row>
    <row r="738" ht="15.75" customHeight="1" spans="27:27">
      <c r="AA738" s="99"/>
    </row>
    <row r="739" ht="15.75" customHeight="1" spans="27:27">
      <c r="AA739" s="99"/>
    </row>
    <row r="740" ht="15.75" customHeight="1" spans="27:27">
      <c r="AA740" s="99"/>
    </row>
    <row r="741" ht="15.75" customHeight="1" spans="27:27">
      <c r="AA741" s="99"/>
    </row>
    <row r="742" ht="15.75" customHeight="1" spans="27:27">
      <c r="AA742" s="99"/>
    </row>
    <row r="743" ht="15.75" customHeight="1" spans="27:27">
      <c r="AA743" s="99"/>
    </row>
    <row r="744" ht="15.75" customHeight="1" spans="27:27">
      <c r="AA744" s="99"/>
    </row>
    <row r="745" ht="15.75" customHeight="1" spans="27:27">
      <c r="AA745" s="99"/>
    </row>
    <row r="746" ht="15.75" customHeight="1" spans="27:27">
      <c r="AA746" s="99"/>
    </row>
    <row r="747" ht="15.75" customHeight="1" spans="27:27">
      <c r="AA747" s="99"/>
    </row>
    <row r="748" ht="15.75" customHeight="1" spans="27:27">
      <c r="AA748" s="99"/>
    </row>
    <row r="749" ht="15.75" customHeight="1" spans="27:27">
      <c r="AA749" s="99"/>
    </row>
    <row r="750" ht="15.75" customHeight="1" spans="27:27">
      <c r="AA750" s="99"/>
    </row>
    <row r="751" ht="15.75" customHeight="1" spans="27:27">
      <c r="AA751" s="99"/>
    </row>
    <row r="752" ht="15.75" customHeight="1" spans="27:27">
      <c r="AA752" s="99"/>
    </row>
    <row r="753" ht="15.75" customHeight="1" spans="27:27">
      <c r="AA753" s="99"/>
    </row>
    <row r="754" ht="15.75" customHeight="1" spans="27:27">
      <c r="AA754" s="99"/>
    </row>
    <row r="755" ht="15.75" customHeight="1" spans="27:27">
      <c r="AA755" s="99"/>
    </row>
    <row r="756" ht="15.75" customHeight="1" spans="27:27">
      <c r="AA756" s="99"/>
    </row>
    <row r="757" ht="15.75" customHeight="1" spans="27:27">
      <c r="AA757" s="99"/>
    </row>
    <row r="758" ht="15.75" customHeight="1" spans="27:27">
      <c r="AA758" s="99"/>
    </row>
    <row r="759" ht="15.75" customHeight="1" spans="27:27">
      <c r="AA759" s="99"/>
    </row>
    <row r="760" ht="15.75" customHeight="1" spans="27:27">
      <c r="AA760" s="99"/>
    </row>
    <row r="761" ht="15.75" customHeight="1" spans="27:27">
      <c r="AA761" s="99"/>
    </row>
    <row r="762" ht="15.75" customHeight="1" spans="27:27">
      <c r="AA762" s="99"/>
    </row>
    <row r="763" ht="15.75" customHeight="1" spans="27:27">
      <c r="AA763" s="99"/>
    </row>
    <row r="764" ht="15.75" customHeight="1" spans="27:27">
      <c r="AA764" s="99"/>
    </row>
    <row r="765" ht="15.75" customHeight="1" spans="27:27">
      <c r="AA765" s="99"/>
    </row>
    <row r="766" ht="15.75" customHeight="1" spans="27:27">
      <c r="AA766" s="99"/>
    </row>
    <row r="767" ht="15.75" customHeight="1" spans="27:27">
      <c r="AA767" s="99"/>
    </row>
    <row r="768" ht="15.75" customHeight="1" spans="27:27">
      <c r="AA768" s="99"/>
    </row>
    <row r="769" ht="15.75" customHeight="1" spans="27:27">
      <c r="AA769" s="99"/>
    </row>
    <row r="770" ht="15.75" customHeight="1" spans="27:27">
      <c r="AA770" s="99"/>
    </row>
    <row r="771" ht="15.75" customHeight="1" spans="27:27">
      <c r="AA771" s="99"/>
    </row>
    <row r="772" ht="15.75" customHeight="1" spans="27:27">
      <c r="AA772" s="99"/>
    </row>
    <row r="773" ht="15.75" customHeight="1" spans="27:27">
      <c r="AA773" s="99"/>
    </row>
    <row r="774" ht="15.75" customHeight="1" spans="27:27">
      <c r="AA774" s="99"/>
    </row>
    <row r="775" ht="15.75" customHeight="1" spans="27:27">
      <c r="AA775" s="99"/>
    </row>
    <row r="776" ht="15.75" customHeight="1" spans="27:27">
      <c r="AA776" s="99"/>
    </row>
    <row r="777" ht="15.75" customHeight="1" spans="27:27">
      <c r="AA777" s="99"/>
    </row>
    <row r="778" ht="15.75" customHeight="1" spans="27:27">
      <c r="AA778" s="99"/>
    </row>
    <row r="779" ht="15.75" customHeight="1" spans="27:27">
      <c r="AA779" s="99"/>
    </row>
    <row r="780" ht="15.75" customHeight="1" spans="27:27">
      <c r="AA780" s="99"/>
    </row>
    <row r="781" ht="15.75" customHeight="1" spans="27:27">
      <c r="AA781" s="99"/>
    </row>
    <row r="782" ht="15.75" customHeight="1" spans="27:27">
      <c r="AA782" s="99"/>
    </row>
    <row r="783" ht="15.75" customHeight="1" spans="27:27">
      <c r="AA783" s="99"/>
    </row>
    <row r="784" ht="15.75" customHeight="1" spans="27:27">
      <c r="AA784" s="99"/>
    </row>
    <row r="785" ht="15.75" customHeight="1" spans="27:27">
      <c r="AA785" s="99"/>
    </row>
    <row r="786" ht="15.75" customHeight="1" spans="27:27">
      <c r="AA786" s="99"/>
    </row>
    <row r="787" ht="15.75" customHeight="1" spans="27:27">
      <c r="AA787" s="99"/>
    </row>
    <row r="788" ht="15.75" customHeight="1" spans="27:27">
      <c r="AA788" s="99"/>
    </row>
    <row r="789" ht="15.75" customHeight="1" spans="27:27">
      <c r="AA789" s="99"/>
    </row>
    <row r="790" ht="15.75" customHeight="1" spans="27:27">
      <c r="AA790" s="99"/>
    </row>
    <row r="791" ht="15.75" customHeight="1" spans="27:27">
      <c r="AA791" s="99"/>
    </row>
    <row r="792" ht="15.75" customHeight="1" spans="27:27">
      <c r="AA792" s="99"/>
    </row>
    <row r="793" ht="15.75" customHeight="1" spans="27:27">
      <c r="AA793" s="99"/>
    </row>
    <row r="794" ht="15.75" customHeight="1" spans="27:27">
      <c r="AA794" s="99"/>
    </row>
    <row r="795" ht="15.75" customHeight="1" spans="27:27">
      <c r="AA795" s="99"/>
    </row>
    <row r="796" ht="15.75" customHeight="1" spans="27:27">
      <c r="AA796" s="99"/>
    </row>
    <row r="797" ht="15.75" customHeight="1" spans="27:27">
      <c r="AA797" s="99"/>
    </row>
    <row r="798" ht="15.75" customHeight="1" spans="27:27">
      <c r="AA798" s="99"/>
    </row>
    <row r="799" ht="15.75" customHeight="1" spans="27:27">
      <c r="AA799" s="99"/>
    </row>
    <row r="800" ht="15.75" customHeight="1" spans="27:27">
      <c r="AA800" s="99"/>
    </row>
    <row r="801" ht="15.75" customHeight="1" spans="27:27">
      <c r="AA801" s="99"/>
    </row>
    <row r="802" ht="15.75" customHeight="1" spans="27:27">
      <c r="AA802" s="99"/>
    </row>
    <row r="803" ht="15.75" customHeight="1" spans="27:27">
      <c r="AA803" s="99"/>
    </row>
    <row r="804" ht="15.75" customHeight="1" spans="27:27">
      <c r="AA804" s="99"/>
    </row>
    <row r="805" ht="15.75" customHeight="1" spans="27:27">
      <c r="AA805" s="99"/>
    </row>
    <row r="806" ht="15.75" customHeight="1" spans="27:27">
      <c r="AA806" s="99"/>
    </row>
    <row r="807" ht="15.75" customHeight="1" spans="27:27">
      <c r="AA807" s="99"/>
    </row>
    <row r="808" ht="15.75" customHeight="1" spans="27:27">
      <c r="AA808" s="99"/>
    </row>
    <row r="809" ht="15.75" customHeight="1" spans="27:27">
      <c r="AA809" s="99"/>
    </row>
    <row r="810" ht="15.75" customHeight="1" spans="27:27">
      <c r="AA810" s="99"/>
    </row>
    <row r="811" ht="15.75" customHeight="1" spans="27:27">
      <c r="AA811" s="99"/>
    </row>
    <row r="812" ht="15.75" customHeight="1" spans="27:27">
      <c r="AA812" s="99"/>
    </row>
    <row r="813" ht="15.75" customHeight="1" spans="27:27">
      <c r="AA813" s="99"/>
    </row>
    <row r="814" ht="15.75" customHeight="1" spans="27:27">
      <c r="AA814" s="99"/>
    </row>
    <row r="815" ht="15.75" customHeight="1" spans="27:27">
      <c r="AA815" s="99"/>
    </row>
    <row r="816" ht="15.75" customHeight="1" spans="27:27">
      <c r="AA816" s="99"/>
    </row>
    <row r="817" ht="15.75" customHeight="1" spans="27:27">
      <c r="AA817" s="99"/>
    </row>
    <row r="818" ht="15.75" customHeight="1" spans="27:27">
      <c r="AA818" s="99"/>
    </row>
    <row r="819" ht="15.75" customHeight="1" spans="27:27">
      <c r="AA819" s="99"/>
    </row>
    <row r="820" ht="15.75" customHeight="1" spans="27:27">
      <c r="AA820" s="99"/>
    </row>
    <row r="821" ht="15.75" customHeight="1" spans="27:27">
      <c r="AA821" s="99"/>
    </row>
    <row r="822" ht="15.75" customHeight="1" spans="27:27">
      <c r="AA822" s="99"/>
    </row>
    <row r="823" ht="15.75" customHeight="1" spans="27:27">
      <c r="AA823" s="99"/>
    </row>
    <row r="824" ht="15.75" customHeight="1" spans="27:27">
      <c r="AA824" s="99"/>
    </row>
    <row r="825" ht="15.75" customHeight="1" spans="27:27">
      <c r="AA825" s="99"/>
    </row>
    <row r="826" ht="15.75" customHeight="1" spans="27:27">
      <c r="AA826" s="99"/>
    </row>
    <row r="827" ht="15.75" customHeight="1" spans="27:27">
      <c r="AA827" s="99"/>
    </row>
    <row r="828" ht="15.75" customHeight="1" spans="27:27">
      <c r="AA828" s="99"/>
    </row>
    <row r="829" ht="15.75" customHeight="1" spans="27:27">
      <c r="AA829" s="99"/>
    </row>
    <row r="830" ht="15.75" customHeight="1" spans="27:27">
      <c r="AA830" s="99"/>
    </row>
    <row r="831" ht="15.75" customHeight="1" spans="27:27">
      <c r="AA831" s="99"/>
    </row>
    <row r="832" ht="15.75" customHeight="1" spans="27:27">
      <c r="AA832" s="99"/>
    </row>
    <row r="833" ht="15.75" customHeight="1" spans="27:27">
      <c r="AA833" s="99"/>
    </row>
    <row r="834" ht="15.75" customHeight="1" spans="27:27">
      <c r="AA834" s="99"/>
    </row>
    <row r="835" ht="15.75" customHeight="1" spans="27:27">
      <c r="AA835" s="99"/>
    </row>
    <row r="836" ht="15.75" customHeight="1" spans="27:27">
      <c r="AA836" s="99"/>
    </row>
    <row r="837" ht="15.75" customHeight="1" spans="27:27">
      <c r="AA837" s="99"/>
    </row>
    <row r="838" ht="15.75" customHeight="1" spans="27:27">
      <c r="AA838" s="99"/>
    </row>
    <row r="839" ht="15.75" customHeight="1" spans="27:27">
      <c r="AA839" s="99"/>
    </row>
    <row r="840" ht="15.75" customHeight="1" spans="27:27">
      <c r="AA840" s="99"/>
    </row>
    <row r="841" ht="15.75" customHeight="1" spans="27:27">
      <c r="AA841" s="99"/>
    </row>
    <row r="842" ht="15.75" customHeight="1" spans="27:27">
      <c r="AA842" s="99"/>
    </row>
    <row r="843" ht="15.75" customHeight="1" spans="27:27">
      <c r="AA843" s="99"/>
    </row>
    <row r="844" ht="15.75" customHeight="1" spans="27:27">
      <c r="AA844" s="99"/>
    </row>
    <row r="845" ht="15.75" customHeight="1" spans="27:27">
      <c r="AA845" s="99"/>
    </row>
    <row r="846" ht="15.75" customHeight="1" spans="27:27">
      <c r="AA846" s="99"/>
    </row>
    <row r="847" ht="15.75" customHeight="1" spans="27:27">
      <c r="AA847" s="99"/>
    </row>
    <row r="848" ht="15.75" customHeight="1" spans="27:27">
      <c r="AA848" s="99"/>
    </row>
    <row r="849" ht="15.75" customHeight="1" spans="27:27">
      <c r="AA849" s="99"/>
    </row>
    <row r="850" ht="15.75" customHeight="1" spans="27:27">
      <c r="AA850" s="99"/>
    </row>
    <row r="851" ht="15.75" customHeight="1" spans="27:27">
      <c r="AA851" s="99"/>
    </row>
    <row r="852" ht="15.75" customHeight="1" spans="27:27">
      <c r="AA852" s="99"/>
    </row>
    <row r="853" ht="15.75" customHeight="1" spans="27:27">
      <c r="AA853" s="99"/>
    </row>
    <row r="854" ht="15.75" customHeight="1" spans="27:27">
      <c r="AA854" s="99"/>
    </row>
    <row r="855" ht="15.75" customHeight="1" spans="27:27">
      <c r="AA855" s="99"/>
    </row>
    <row r="856" ht="15.75" customHeight="1" spans="27:27">
      <c r="AA856" s="99"/>
    </row>
    <row r="857" ht="15.75" customHeight="1" spans="27:27">
      <c r="AA857" s="99"/>
    </row>
    <row r="858" ht="15.75" customHeight="1" spans="27:27">
      <c r="AA858" s="99"/>
    </row>
    <row r="859" ht="15.75" customHeight="1" spans="27:27">
      <c r="AA859" s="99"/>
    </row>
    <row r="860" ht="15.75" customHeight="1" spans="27:27">
      <c r="AA860" s="99"/>
    </row>
    <row r="861" ht="15.75" customHeight="1" spans="27:27">
      <c r="AA861" s="99"/>
    </row>
    <row r="862" ht="15.75" customHeight="1" spans="27:27">
      <c r="AA862" s="99"/>
    </row>
    <row r="863" ht="15.75" customHeight="1" spans="27:27">
      <c r="AA863" s="99"/>
    </row>
    <row r="864" ht="15.75" customHeight="1" spans="27:27">
      <c r="AA864" s="99"/>
    </row>
    <row r="865" ht="15.75" customHeight="1" spans="27:27">
      <c r="AA865" s="99"/>
    </row>
    <row r="866" ht="15.75" customHeight="1" spans="27:27">
      <c r="AA866" s="99"/>
    </row>
    <row r="867" ht="15.75" customHeight="1" spans="27:27">
      <c r="AA867" s="99"/>
    </row>
    <row r="868" ht="15.75" customHeight="1" spans="27:27">
      <c r="AA868" s="99"/>
    </row>
    <row r="869" ht="15.75" customHeight="1" spans="27:27">
      <c r="AA869" s="99"/>
    </row>
    <row r="870" ht="15.75" customHeight="1" spans="27:27">
      <c r="AA870" s="99"/>
    </row>
    <row r="871" ht="15.75" customHeight="1" spans="27:27">
      <c r="AA871" s="99"/>
    </row>
    <row r="872" ht="15.75" customHeight="1" spans="27:27">
      <c r="AA872" s="99"/>
    </row>
    <row r="873" ht="15.75" customHeight="1" spans="27:27">
      <c r="AA873" s="99"/>
    </row>
    <row r="874" ht="15.75" customHeight="1" spans="27:27">
      <c r="AA874" s="99"/>
    </row>
    <row r="875" ht="15.75" customHeight="1" spans="27:27">
      <c r="AA875" s="99"/>
    </row>
    <row r="876" ht="15.75" customHeight="1" spans="27:27">
      <c r="AA876" s="99"/>
    </row>
    <row r="877" ht="15.75" customHeight="1" spans="27:27">
      <c r="AA877" s="99"/>
    </row>
    <row r="878" ht="15.75" customHeight="1" spans="27:27">
      <c r="AA878" s="99"/>
    </row>
    <row r="879" ht="15.75" customHeight="1" spans="27:27">
      <c r="AA879" s="99"/>
    </row>
    <row r="880" ht="15.75" customHeight="1" spans="27:27">
      <c r="AA880" s="99"/>
    </row>
    <row r="881" ht="15.75" customHeight="1" spans="27:27">
      <c r="AA881" s="99"/>
    </row>
    <row r="882" ht="15.75" customHeight="1" spans="27:27">
      <c r="AA882" s="99"/>
    </row>
    <row r="883" ht="15.75" customHeight="1" spans="27:27">
      <c r="AA883" s="99"/>
    </row>
    <row r="884" ht="15.75" customHeight="1" spans="27:27">
      <c r="AA884" s="99"/>
    </row>
    <row r="885" ht="15.75" customHeight="1" spans="27:27">
      <c r="AA885" s="99"/>
    </row>
    <row r="886" ht="15.75" customHeight="1" spans="27:27">
      <c r="AA886" s="99"/>
    </row>
    <row r="887" ht="15.75" customHeight="1" spans="27:27">
      <c r="AA887" s="99"/>
    </row>
    <row r="888" ht="15.75" customHeight="1" spans="27:27">
      <c r="AA888" s="99"/>
    </row>
    <row r="889" ht="15.75" customHeight="1" spans="27:27">
      <c r="AA889" s="99"/>
    </row>
    <row r="890" ht="15.75" customHeight="1" spans="27:27">
      <c r="AA890" s="99"/>
    </row>
    <row r="891" ht="15.75" customHeight="1" spans="27:27">
      <c r="AA891" s="99"/>
    </row>
    <row r="892" ht="15.75" customHeight="1" spans="27:27">
      <c r="AA892" s="99"/>
    </row>
    <row r="893" ht="15.75" customHeight="1" spans="27:27">
      <c r="AA893" s="99"/>
    </row>
    <row r="894" ht="15.75" customHeight="1" spans="27:27">
      <c r="AA894" s="99"/>
    </row>
    <row r="895" ht="15.75" customHeight="1" spans="27:27">
      <c r="AA895" s="99"/>
    </row>
    <row r="896" ht="15.75" customHeight="1" spans="27:27">
      <c r="AA896" s="99"/>
    </row>
    <row r="897" ht="15.75" customHeight="1" spans="27:27">
      <c r="AA897" s="99"/>
    </row>
    <row r="898" ht="15.75" customHeight="1" spans="27:27">
      <c r="AA898" s="99"/>
    </row>
    <row r="899" ht="15.75" customHeight="1" spans="27:27">
      <c r="AA899" s="99"/>
    </row>
    <row r="900" ht="15.75" customHeight="1" spans="27:27">
      <c r="AA900" s="99"/>
    </row>
    <row r="901" ht="15.75" customHeight="1" spans="27:27">
      <c r="AA901" s="99"/>
    </row>
    <row r="902" ht="15.75" customHeight="1" spans="27:27">
      <c r="AA902" s="99"/>
    </row>
    <row r="903" ht="15.75" customHeight="1" spans="27:27">
      <c r="AA903" s="99"/>
    </row>
    <row r="904" ht="15.75" customHeight="1" spans="27:27">
      <c r="AA904" s="99"/>
    </row>
    <row r="905" ht="15.75" customHeight="1" spans="27:27">
      <c r="AA905" s="99"/>
    </row>
    <row r="906" ht="15.75" customHeight="1" spans="27:27">
      <c r="AA906" s="99"/>
    </row>
    <row r="907" ht="15.75" customHeight="1" spans="27:27">
      <c r="AA907" s="99"/>
    </row>
    <row r="908" ht="15.75" customHeight="1" spans="27:27">
      <c r="AA908" s="99"/>
    </row>
    <row r="909" ht="15.75" customHeight="1" spans="27:27">
      <c r="AA909" s="99"/>
    </row>
    <row r="910" ht="15.75" customHeight="1" spans="27:27">
      <c r="AA910" s="99"/>
    </row>
    <row r="911" ht="15.75" customHeight="1" spans="27:27">
      <c r="AA911" s="99"/>
    </row>
    <row r="912" ht="15.75" customHeight="1" spans="27:27">
      <c r="AA912" s="99"/>
    </row>
    <row r="913" ht="15.75" customHeight="1" spans="27:27">
      <c r="AA913" s="99"/>
    </row>
    <row r="914" ht="15.75" customHeight="1" spans="27:27">
      <c r="AA914" s="99"/>
    </row>
    <row r="915" ht="15.75" customHeight="1" spans="27:27">
      <c r="AA915" s="99"/>
    </row>
    <row r="916" ht="15.75" customHeight="1" spans="27:27">
      <c r="AA916" s="99"/>
    </row>
    <row r="917" ht="15.75" customHeight="1" spans="27:27">
      <c r="AA917" s="99"/>
    </row>
    <row r="918" ht="15.75" customHeight="1" spans="27:27">
      <c r="AA918" s="99"/>
    </row>
    <row r="919" ht="15.75" customHeight="1" spans="27:27">
      <c r="AA919" s="99"/>
    </row>
    <row r="920" ht="15.75" customHeight="1" spans="27:27">
      <c r="AA920" s="99"/>
    </row>
    <row r="921" ht="15.75" customHeight="1" spans="27:27">
      <c r="AA921" s="99"/>
    </row>
    <row r="922" ht="15.75" customHeight="1" spans="27:27">
      <c r="AA922" s="99"/>
    </row>
    <row r="923" ht="15.75" customHeight="1" spans="27:27">
      <c r="AA923" s="99"/>
    </row>
    <row r="924" ht="15.75" customHeight="1" spans="27:27">
      <c r="AA924" s="99"/>
    </row>
    <row r="925" ht="15.75" customHeight="1" spans="27:27">
      <c r="AA925" s="99"/>
    </row>
    <row r="926" ht="15.75" customHeight="1" spans="27:27">
      <c r="AA926" s="99"/>
    </row>
    <row r="927" ht="15.75" customHeight="1" spans="27:27">
      <c r="AA927" s="99"/>
    </row>
    <row r="928" ht="15.75" customHeight="1" spans="27:27">
      <c r="AA928" s="99"/>
    </row>
    <row r="929" ht="15.75" customHeight="1" spans="27:27">
      <c r="AA929" s="99"/>
    </row>
    <row r="930" ht="15.75" customHeight="1" spans="27:27">
      <c r="AA930" s="99"/>
    </row>
    <row r="931" ht="15.75" customHeight="1" spans="27:27">
      <c r="AA931" s="99"/>
    </row>
    <row r="932" ht="15.75" customHeight="1" spans="27:27">
      <c r="AA932" s="99"/>
    </row>
    <row r="933" ht="15.75" customHeight="1" spans="27:27">
      <c r="AA933" s="99"/>
    </row>
    <row r="934" ht="15.75" customHeight="1" spans="27:27">
      <c r="AA934" s="99"/>
    </row>
    <row r="935" ht="15.75" customHeight="1" spans="27:27">
      <c r="AA935" s="99"/>
    </row>
    <row r="936" ht="15.75" customHeight="1" spans="27:27">
      <c r="AA936" s="99"/>
    </row>
    <row r="937" ht="15.75" customHeight="1" spans="27:27">
      <c r="AA937" s="99"/>
    </row>
    <row r="938" ht="15.75" customHeight="1" spans="27:27">
      <c r="AA938" s="99"/>
    </row>
    <row r="939" ht="15.75" customHeight="1" spans="27:27">
      <c r="AA939" s="99"/>
    </row>
    <row r="940" ht="15.75" customHeight="1" spans="27:27">
      <c r="AA940" s="99"/>
    </row>
    <row r="941" ht="15.75" customHeight="1" spans="27:27">
      <c r="AA941" s="99"/>
    </row>
    <row r="942" ht="15.75" customHeight="1" spans="27:27">
      <c r="AA942" s="99"/>
    </row>
    <row r="943" ht="15.75" customHeight="1" spans="27:27">
      <c r="AA943" s="99"/>
    </row>
    <row r="944" ht="15.75" customHeight="1" spans="27:27">
      <c r="AA944" s="99"/>
    </row>
    <row r="945" ht="15.75" customHeight="1" spans="27:27">
      <c r="AA945" s="99"/>
    </row>
    <row r="946" ht="15.75" customHeight="1" spans="27:27">
      <c r="AA946" s="99"/>
    </row>
    <row r="947" ht="15.75" customHeight="1" spans="27:27">
      <c r="AA947" s="99"/>
    </row>
    <row r="948" ht="15.75" customHeight="1" spans="27:27">
      <c r="AA948" s="99"/>
    </row>
    <row r="949" ht="15.75" customHeight="1" spans="27:27">
      <c r="AA949" s="99"/>
    </row>
    <row r="950" ht="15.75" customHeight="1" spans="27:27">
      <c r="AA950" s="99"/>
    </row>
    <row r="951" ht="15.75" customHeight="1" spans="27:27">
      <c r="AA951" s="99"/>
    </row>
    <row r="952" ht="15.75" customHeight="1" spans="27:27">
      <c r="AA952" s="99"/>
    </row>
    <row r="953" ht="15.75" customHeight="1" spans="27:27">
      <c r="AA953" s="99"/>
    </row>
    <row r="954" ht="15.75" customHeight="1" spans="27:27">
      <c r="AA954" s="99"/>
    </row>
    <row r="955" ht="15.75" customHeight="1" spans="27:27">
      <c r="AA955" s="99"/>
    </row>
    <row r="956" ht="15.75" customHeight="1" spans="27:27">
      <c r="AA956" s="99"/>
    </row>
    <row r="957" ht="15.75" customHeight="1" spans="27:27">
      <c r="AA957" s="99"/>
    </row>
    <row r="958" ht="15.75" customHeight="1" spans="27:27">
      <c r="AA958" s="99"/>
    </row>
    <row r="959" ht="15.75" customHeight="1" spans="27:27">
      <c r="AA959" s="99"/>
    </row>
    <row r="960" ht="15.75" customHeight="1" spans="27:27">
      <c r="AA960" s="99"/>
    </row>
    <row r="961" ht="15.75" customHeight="1" spans="27:27">
      <c r="AA961" s="99"/>
    </row>
    <row r="962" ht="15.75" customHeight="1" spans="27:27">
      <c r="AA962" s="99"/>
    </row>
    <row r="963" ht="15.75" customHeight="1" spans="27:27">
      <c r="AA963" s="99"/>
    </row>
    <row r="964" ht="15.75" customHeight="1" spans="27:27">
      <c r="AA964" s="99"/>
    </row>
    <row r="965" ht="15.75" customHeight="1" spans="27:27">
      <c r="AA965" s="99"/>
    </row>
    <row r="966" ht="15.75" customHeight="1" spans="27:27">
      <c r="AA966" s="99"/>
    </row>
    <row r="967" ht="15.75" customHeight="1" spans="27:27">
      <c r="AA967" s="99"/>
    </row>
    <row r="968" ht="15.75" customHeight="1" spans="27:27">
      <c r="AA968" s="99"/>
    </row>
    <row r="969" ht="15.75" customHeight="1" spans="27:27">
      <c r="AA969" s="99"/>
    </row>
    <row r="970" ht="15.75" customHeight="1" spans="27:27">
      <c r="AA970" s="99"/>
    </row>
    <row r="971" ht="15.75" customHeight="1" spans="27:27">
      <c r="AA971" s="99"/>
    </row>
    <row r="972" ht="15.75" customHeight="1" spans="27:27">
      <c r="AA972" s="99"/>
    </row>
    <row r="973" ht="15.75" customHeight="1" spans="27:27">
      <c r="AA973" s="99"/>
    </row>
    <row r="974" ht="15.75" customHeight="1" spans="27:27">
      <c r="AA974" s="99"/>
    </row>
    <row r="975" ht="15.75" customHeight="1" spans="27:27">
      <c r="AA975" s="99"/>
    </row>
    <row r="976" ht="15.75" customHeight="1" spans="27:27">
      <c r="AA976" s="99"/>
    </row>
    <row r="977" ht="15.75" customHeight="1" spans="27:27">
      <c r="AA977" s="99"/>
    </row>
    <row r="978" ht="15.75" customHeight="1" spans="27:27">
      <c r="AA978" s="99"/>
    </row>
    <row r="979" ht="15.75" customHeight="1" spans="27:27">
      <c r="AA979" s="99"/>
    </row>
    <row r="980" ht="15.75" customHeight="1" spans="27:27">
      <c r="AA980" s="99"/>
    </row>
    <row r="981" ht="15.75" customHeight="1" spans="27:27">
      <c r="AA981" s="99"/>
    </row>
    <row r="982" ht="15.75" customHeight="1" spans="27:27">
      <c r="AA982" s="99"/>
    </row>
    <row r="983" ht="15.75" customHeight="1" spans="27:27">
      <c r="AA983" s="99"/>
    </row>
    <row r="984" ht="15.75" customHeight="1" spans="27:27">
      <c r="AA984" s="99"/>
    </row>
    <row r="985" ht="15.75" customHeight="1" spans="27:27">
      <c r="AA985" s="99"/>
    </row>
    <row r="986" ht="15.75" customHeight="1" spans="27:27">
      <c r="AA986" s="99"/>
    </row>
    <row r="987" ht="15.75" customHeight="1" spans="27:27">
      <c r="AA987" s="99"/>
    </row>
    <row r="988" ht="15.75" customHeight="1" spans="27:27">
      <c r="AA988" s="99"/>
    </row>
    <row r="989" ht="15.75" customHeight="1" spans="27:27">
      <c r="AA989" s="99"/>
    </row>
    <row r="990" ht="15.75" customHeight="1" spans="27:27">
      <c r="AA990" s="99"/>
    </row>
    <row r="991" ht="15.75" customHeight="1" spans="27:27">
      <c r="AA991" s="99"/>
    </row>
    <row r="992" ht="15.75" customHeight="1" spans="27:27">
      <c r="AA992" s="99"/>
    </row>
    <row r="993" ht="15.75" customHeight="1" spans="27:27">
      <c r="AA993" s="99"/>
    </row>
    <row r="994" ht="15.75" customHeight="1" spans="27:27">
      <c r="AA994" s="99"/>
    </row>
    <row r="995" ht="15.75" customHeight="1" spans="27:27">
      <c r="AA995" s="99"/>
    </row>
    <row r="996" ht="15.75" customHeight="1" spans="27:27">
      <c r="AA996" s="99"/>
    </row>
    <row r="997" ht="15.75" customHeight="1" spans="27:27">
      <c r="AA997" s="99"/>
    </row>
    <row r="998" ht="15.75" customHeight="1" spans="27:27">
      <c r="AA998" s="99"/>
    </row>
    <row r="999" ht="15.75" customHeight="1" spans="27:27">
      <c r="AA999" s="99"/>
    </row>
  </sheetData>
  <customSheetViews>
    <customSheetView guid="{BCA4C585-C249-4BB0-8EE7-E4361962E073}" filter="1" showAutoFilter="1">
      <autoFilter ref="D4:AQ298"/>
    </customSheetView>
  </customSheetViews>
  <conditionalFormatting sqref="D5:D298">
    <cfRule type="containsText" dxfId="40" priority="1" operator="between" text="No">
      <formula>NOT(ISERROR(SEARCH("No",D5)))</formula>
    </cfRule>
  </conditionalFormatting>
  <dataValidations count="7">
    <dataValidation type="list" allowBlank="1" showErrorMessage="1" sqref="D5:D298">
      <formula1>'dropdown list'!$B$3:$B$4</formula1>
    </dataValidation>
    <dataValidation type="list" allowBlank="1" showErrorMessage="1" sqref="F5:F298">
      <formula1>'dropdown list'!$E$3:$E$15</formula1>
    </dataValidation>
    <dataValidation type="list" allowBlank="1" showErrorMessage="1" sqref="H5:H298">
      <formula1>'dropdown list'!$E$19:$E$22</formula1>
    </dataValidation>
    <dataValidation type="list" allowBlank="1" showErrorMessage="1" sqref="M5:M298">
      <formula1>'dropdown list'!$H$3:$H$4</formula1>
    </dataValidation>
    <dataValidation type="list" allowBlank="1" showInputMessage="1" showErrorMessage="1" prompt="Add the new address in sheet data under column City Address" sqref="O5:O298">
      <formula1>'dropdown list'!$I$3:$I$107</formula1>
    </dataValidation>
    <dataValidation type="list" allowBlank="1" showErrorMessage="1" sqref="X5:X298 Z5:Z298">
      <formula1>'dropdown list'!$J$3:$J$4</formula1>
    </dataValidation>
    <dataValidation type="list" allowBlank="1" showErrorMessage="1" sqref="AL5:AM298">
      <formula1>"Yes,Not Yet"</formula1>
    </dataValidation>
  </dataValidations>
  <pageMargins left="0.7" right="0.7" top="0.75" bottom="0.75" header="0" footer="0"/>
  <pageSetup paperSize="1" orientation="portrait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F4861"/>
  </sheetPr>
  <dimension ref="A1:AQ1000"/>
  <sheetViews>
    <sheetView showGridLines="0" workbookViewId="0">
      <pane xSplit="9" ySplit="4" topLeftCell="J5" activePane="bottomRight" state="frozen"/>
      <selection/>
      <selection pane="topRight"/>
      <selection pane="bottomLeft"/>
      <selection pane="bottomRight" activeCell="J5" sqref="J5"/>
    </sheetView>
  </sheetViews>
  <sheetFormatPr defaultColWidth="12.6333333333333" defaultRowHeight="15" customHeight="1"/>
  <cols>
    <col min="1" max="2" width="15.25" customWidth="1"/>
    <col min="3" max="3" width="2.38333333333333" customWidth="1"/>
    <col min="4" max="4" width="10.5" customWidth="1"/>
    <col min="5" max="5" width="6.63333333333333" customWidth="1"/>
    <col min="6" max="6" width="11.1333333333333" customWidth="1"/>
    <col min="7" max="7" width="12" hidden="1" customWidth="1"/>
    <col min="8" max="8" width="17.1333333333333" customWidth="1"/>
    <col min="9" max="9" width="22.75" customWidth="1"/>
    <col min="10" max="10" width="10.75" customWidth="1"/>
    <col min="11" max="11" width="16.5" customWidth="1"/>
    <col min="12" max="12" width="11.6333333333333" customWidth="1"/>
    <col min="13" max="13" width="17" hidden="1" customWidth="1"/>
    <col min="14" max="15" width="27.25" customWidth="1"/>
    <col min="16" max="16" width="33.3833333333333" customWidth="1"/>
    <col min="17" max="17" width="28.1333333333333" customWidth="1"/>
    <col min="18" max="18" width="30" customWidth="1"/>
    <col min="19" max="19" width="23" customWidth="1"/>
    <col min="20" max="20" width="21.3833333333333" customWidth="1"/>
    <col min="21" max="21" width="22.6333333333333" customWidth="1"/>
    <col min="22" max="22" width="18.3833333333333" customWidth="1"/>
    <col min="23" max="23" width="20.25" customWidth="1"/>
    <col min="24" max="24" width="9.38333333333333" customWidth="1"/>
    <col min="25" max="25" width="17.6333333333333" customWidth="1"/>
    <col min="26" max="26" width="9" customWidth="1"/>
    <col min="27" max="27" width="17.1333333333333" customWidth="1"/>
    <col min="28" max="28" width="24.8833333333333" customWidth="1"/>
    <col min="29" max="29" width="25.8833333333333" customWidth="1"/>
    <col min="30" max="30" width="39.25" customWidth="1"/>
    <col min="31" max="31" width="28.8833333333333" customWidth="1"/>
    <col min="32" max="32" width="31.1333333333333" customWidth="1"/>
    <col min="33" max="33" width="50" customWidth="1"/>
    <col min="34" max="34" width="34.25" customWidth="1"/>
    <col min="35" max="35" width="36.6333333333333" customWidth="1"/>
    <col min="36" max="36" width="23.25" customWidth="1"/>
    <col min="37" max="37" width="28.3833333333333" customWidth="1"/>
    <col min="38" max="38" width="13.25" customWidth="1"/>
    <col min="39" max="39" width="13.6333333333333" customWidth="1"/>
    <col min="40" max="40" width="23.8833333333333" customWidth="1"/>
    <col min="41" max="41" width="25.8833333333333" customWidth="1"/>
    <col min="42" max="42" width="12" customWidth="1"/>
    <col min="43" max="43" width="17" customWidth="1"/>
  </cols>
  <sheetData>
    <row r="1" ht="39" customHeight="1" spans="1:43">
      <c r="A1" s="167" t="s">
        <v>1638</v>
      </c>
      <c r="B1" s="29"/>
      <c r="C1" s="29"/>
      <c r="D1" s="31"/>
      <c r="E1" s="31"/>
      <c r="F1" s="32"/>
      <c r="G1" s="32"/>
      <c r="H1" s="32"/>
      <c r="I1" s="33"/>
      <c r="J1" s="32"/>
      <c r="K1" s="32"/>
      <c r="L1" s="32"/>
      <c r="M1" s="32"/>
      <c r="N1" s="32"/>
      <c r="O1" s="32"/>
      <c r="P1" s="31"/>
      <c r="Q1" s="33"/>
      <c r="R1" s="27"/>
      <c r="S1" s="27"/>
      <c r="T1" s="27"/>
      <c r="U1" s="33"/>
      <c r="V1" s="30"/>
      <c r="W1" s="33"/>
      <c r="X1" s="30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</row>
    <row r="2" ht="15.15" spans="1:43">
      <c r="A2" s="29"/>
      <c r="B2" s="29"/>
      <c r="C2" s="29"/>
      <c r="D2" s="32"/>
      <c r="E2" s="32"/>
      <c r="F2" s="32"/>
      <c r="G2" s="32"/>
      <c r="H2" s="32"/>
      <c r="I2" s="32"/>
      <c r="J2" s="32"/>
      <c r="K2" s="32"/>
      <c r="L2" s="33"/>
      <c r="M2" s="32"/>
      <c r="N2" s="32"/>
      <c r="O2" s="32"/>
      <c r="P2" s="32"/>
      <c r="Q2" s="32"/>
      <c r="R2" s="32"/>
      <c r="S2" s="31"/>
      <c r="T2" s="33"/>
      <c r="U2" s="27"/>
      <c r="V2" s="27"/>
      <c r="W2" s="27"/>
      <c r="X2" s="33"/>
      <c r="Y2" s="30"/>
      <c r="Z2" s="33"/>
      <c r="AA2" s="30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ht="15.15" spans="1:43">
      <c r="A3" s="168" t="s">
        <v>10</v>
      </c>
      <c r="B3" s="169">
        <f>SUBTOTAL(3,AMM!$K$5:$K$299)</f>
        <v>76</v>
      </c>
      <c r="C3" s="51"/>
      <c r="D3" s="170"/>
      <c r="E3" s="32"/>
      <c r="F3" s="32"/>
      <c r="G3" s="32"/>
      <c r="H3" s="32"/>
      <c r="I3" s="32"/>
      <c r="J3" s="32"/>
      <c r="K3" s="32"/>
      <c r="L3" s="33"/>
      <c r="M3" s="32"/>
      <c r="N3" s="32"/>
      <c r="O3" s="32"/>
      <c r="P3" s="32"/>
      <c r="Q3" s="32"/>
      <c r="R3" s="32"/>
      <c r="S3" s="31"/>
      <c r="T3" s="33"/>
      <c r="U3" s="27"/>
      <c r="V3" s="27"/>
      <c r="W3" s="27"/>
      <c r="X3" s="33"/>
      <c r="Y3" s="30"/>
      <c r="Z3" s="33"/>
      <c r="AA3" s="30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</row>
    <row r="4" ht="43.2" spans="1:43">
      <c r="A4" s="58"/>
      <c r="B4" s="58"/>
      <c r="C4" s="58"/>
      <c r="D4" s="171" t="s">
        <v>11</v>
      </c>
      <c r="E4" s="71" t="s">
        <v>12</v>
      </c>
      <c r="F4" s="71" t="s">
        <v>13</v>
      </c>
      <c r="G4" s="71" t="s">
        <v>14</v>
      </c>
      <c r="H4" s="71" t="s">
        <v>15</v>
      </c>
      <c r="I4" s="61" t="s">
        <v>16</v>
      </c>
      <c r="J4" s="200" t="s">
        <v>17</v>
      </c>
      <c r="K4" s="200" t="s">
        <v>18</v>
      </c>
      <c r="L4" s="200" t="s">
        <v>19</v>
      </c>
      <c r="M4" s="200" t="s">
        <v>20</v>
      </c>
      <c r="N4" s="200" t="s">
        <v>21</v>
      </c>
      <c r="O4" s="200" t="s">
        <v>22</v>
      </c>
      <c r="P4" s="200" t="s">
        <v>23</v>
      </c>
      <c r="Q4" s="200" t="s">
        <v>24</v>
      </c>
      <c r="R4" s="200" t="s">
        <v>25</v>
      </c>
      <c r="S4" s="201" t="s">
        <v>26</v>
      </c>
      <c r="T4" s="71" t="s">
        <v>27</v>
      </c>
      <c r="U4" s="71" t="s">
        <v>28</v>
      </c>
      <c r="V4" s="71" t="s">
        <v>29</v>
      </c>
      <c r="W4" s="71" t="s">
        <v>30</v>
      </c>
      <c r="X4" s="71" t="s">
        <v>31</v>
      </c>
      <c r="Y4" s="202" t="s">
        <v>32</v>
      </c>
      <c r="Z4" s="71" t="s">
        <v>33</v>
      </c>
      <c r="AA4" s="202" t="s">
        <v>34</v>
      </c>
      <c r="AB4" s="172" t="s">
        <v>35</v>
      </c>
      <c r="AC4" s="172" t="s">
        <v>36</v>
      </c>
      <c r="AD4" s="172" t="s">
        <v>37</v>
      </c>
      <c r="AE4" s="176" t="s">
        <v>38</v>
      </c>
      <c r="AF4" s="176" t="s">
        <v>39</v>
      </c>
      <c r="AG4" s="71" t="s">
        <v>40</v>
      </c>
      <c r="AH4" s="71" t="s">
        <v>41</v>
      </c>
      <c r="AI4" s="71" t="s">
        <v>42</v>
      </c>
      <c r="AJ4" s="71" t="s">
        <v>43</v>
      </c>
      <c r="AK4" s="71" t="s">
        <v>44</v>
      </c>
      <c r="AL4" s="203" t="s">
        <v>1639</v>
      </c>
      <c r="AM4" s="71" t="s">
        <v>46</v>
      </c>
      <c r="AN4" s="71" t="s">
        <v>47</v>
      </c>
      <c r="AO4" s="71" t="s">
        <v>48</v>
      </c>
      <c r="AP4" s="71" t="s">
        <v>49</v>
      </c>
      <c r="AQ4" s="71" t="s">
        <v>50</v>
      </c>
    </row>
    <row r="5" ht="14.4" spans="1:43">
      <c r="A5" s="29"/>
      <c r="B5" s="29"/>
      <c r="C5" s="29"/>
      <c r="D5" s="32" t="s">
        <v>51</v>
      </c>
      <c r="E5" s="32"/>
      <c r="F5" s="32" t="s">
        <v>1640</v>
      </c>
      <c r="G5" s="32"/>
      <c r="H5" s="32" t="s">
        <v>126</v>
      </c>
      <c r="I5" s="197" t="str">
        <f t="shared" ref="I5:I81" si="0">IF(AND(K5="",J5=""),"",CONCATENATE(J5,", ",K5))</f>
        <v>Abuan, Jomar</v>
      </c>
      <c r="J5" s="32" t="s">
        <v>54</v>
      </c>
      <c r="K5" s="32" t="s">
        <v>1641</v>
      </c>
      <c r="L5" s="33" t="s">
        <v>161</v>
      </c>
      <c r="M5" s="32" t="s">
        <v>1642</v>
      </c>
      <c r="N5" s="32" t="s">
        <v>58</v>
      </c>
      <c r="O5" s="32" t="s">
        <v>59</v>
      </c>
      <c r="P5" s="32" t="s">
        <v>123</v>
      </c>
      <c r="Q5" s="32" t="s">
        <v>78</v>
      </c>
      <c r="R5" s="32" t="s">
        <v>1643</v>
      </c>
      <c r="S5" s="31">
        <v>33842</v>
      </c>
      <c r="T5" s="88">
        <f ca="1" t="shared" ref="T5:T299" si="1">IF(S5="","",DATEDIF(S5,TODAY(),"Y"))</f>
        <v>34</v>
      </c>
      <c r="U5" s="27" t="s">
        <v>123</v>
      </c>
      <c r="V5" s="27" t="s">
        <v>1644</v>
      </c>
      <c r="W5" s="27" t="s">
        <v>1645</v>
      </c>
      <c r="X5" s="33" t="s">
        <v>51</v>
      </c>
      <c r="Y5" s="30"/>
      <c r="Z5" s="33" t="s">
        <v>51</v>
      </c>
      <c r="AA5" s="30"/>
      <c r="AB5" s="27"/>
      <c r="AC5" s="27"/>
      <c r="AD5" s="27"/>
      <c r="AE5" s="27" t="s">
        <v>1646</v>
      </c>
      <c r="AF5" s="27"/>
      <c r="AG5" s="27"/>
      <c r="AH5" s="27"/>
      <c r="AI5" s="27"/>
      <c r="AJ5" s="27" t="s">
        <v>1647</v>
      </c>
      <c r="AK5" s="27"/>
      <c r="AL5" s="27" t="s">
        <v>51</v>
      </c>
      <c r="AM5" s="27" t="s">
        <v>51</v>
      </c>
      <c r="AN5" s="27" t="s">
        <v>1647</v>
      </c>
      <c r="AO5" s="27" t="s">
        <v>625</v>
      </c>
      <c r="AP5" s="27" t="s">
        <v>77</v>
      </c>
      <c r="AQ5" s="27" t="s">
        <v>61</v>
      </c>
    </row>
    <row r="6" ht="14.4" spans="1:43">
      <c r="A6" s="29"/>
      <c r="B6" s="29"/>
      <c r="C6" s="29"/>
      <c r="D6" s="32" t="s">
        <v>51</v>
      </c>
      <c r="E6" s="32"/>
      <c r="F6" s="32" t="s">
        <v>1648</v>
      </c>
      <c r="G6" s="32"/>
      <c r="H6" s="32" t="s">
        <v>81</v>
      </c>
      <c r="I6" s="27" t="str">
        <f t="shared" si="0"/>
        <v>Abuan, Ricardo</v>
      </c>
      <c r="J6" s="32" t="s">
        <v>54</v>
      </c>
      <c r="K6" s="32" t="s">
        <v>1649</v>
      </c>
      <c r="L6" s="33" t="s">
        <v>907</v>
      </c>
      <c r="M6" s="32" t="s">
        <v>1642</v>
      </c>
      <c r="N6" s="32" t="s">
        <v>58</v>
      </c>
      <c r="O6" s="32" t="s">
        <v>59</v>
      </c>
      <c r="P6" s="32"/>
      <c r="Q6" s="32" t="s">
        <v>1650</v>
      </c>
      <c r="R6" s="32"/>
      <c r="S6" s="31">
        <v>21665</v>
      </c>
      <c r="T6" s="88">
        <f ca="1" t="shared" si="1"/>
        <v>67</v>
      </c>
      <c r="U6" s="27"/>
      <c r="V6" s="27"/>
      <c r="W6" s="27"/>
      <c r="X6" s="33"/>
      <c r="Y6" s="30"/>
      <c r="Z6" s="33"/>
      <c r="AA6" s="30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</row>
    <row r="7" ht="14.4" spans="1:43">
      <c r="A7" s="29"/>
      <c r="B7" s="29"/>
      <c r="C7" s="29"/>
      <c r="D7" s="32" t="s">
        <v>51</v>
      </c>
      <c r="E7" s="32"/>
      <c r="F7" s="32" t="s">
        <v>1651</v>
      </c>
      <c r="G7" s="32"/>
      <c r="H7" s="32" t="s">
        <v>81</v>
      </c>
      <c r="I7" s="27" t="str">
        <f t="shared" si="0"/>
        <v>Alarcio, Marcial</v>
      </c>
      <c r="J7" s="32" t="s">
        <v>93</v>
      </c>
      <c r="K7" s="32" t="s">
        <v>1652</v>
      </c>
      <c r="L7" s="33" t="s">
        <v>422</v>
      </c>
      <c r="M7" s="32" t="s">
        <v>1642</v>
      </c>
      <c r="N7" s="32" t="s">
        <v>95</v>
      </c>
      <c r="O7" s="32" t="s">
        <v>96</v>
      </c>
      <c r="P7" s="32"/>
      <c r="Q7" s="32" t="s">
        <v>111</v>
      </c>
      <c r="R7" s="32"/>
      <c r="S7" s="31">
        <v>27089</v>
      </c>
      <c r="T7" s="88">
        <f ca="1" t="shared" si="1"/>
        <v>52</v>
      </c>
      <c r="U7" s="27" t="s">
        <v>1653</v>
      </c>
      <c r="V7" s="27"/>
      <c r="W7" s="27" t="s">
        <v>1654</v>
      </c>
      <c r="X7" s="33" t="s">
        <v>51</v>
      </c>
      <c r="Y7" s="30"/>
      <c r="Z7" s="33" t="s">
        <v>51</v>
      </c>
      <c r="AA7" s="30"/>
      <c r="AB7" s="27" t="s">
        <v>121</v>
      </c>
      <c r="AC7" s="27" t="s">
        <v>1655</v>
      </c>
      <c r="AD7" s="27" t="s">
        <v>1656</v>
      </c>
      <c r="AE7" s="27"/>
      <c r="AF7" s="27"/>
      <c r="AG7" s="27"/>
      <c r="AH7" s="27"/>
      <c r="AI7" s="27"/>
      <c r="AJ7" s="27" t="s">
        <v>1657</v>
      </c>
      <c r="AK7" s="27" t="s">
        <v>104</v>
      </c>
      <c r="AL7" s="27" t="s">
        <v>51</v>
      </c>
      <c r="AM7" s="27" t="s">
        <v>51</v>
      </c>
      <c r="AN7" s="27" t="s">
        <v>1657</v>
      </c>
      <c r="AO7" s="27" t="s">
        <v>625</v>
      </c>
      <c r="AP7" s="27" t="s">
        <v>77</v>
      </c>
      <c r="AQ7" s="27" t="s">
        <v>97</v>
      </c>
    </row>
    <row r="8" ht="14.4" spans="1:43">
      <c r="A8" s="29"/>
      <c r="B8" s="29"/>
      <c r="C8" s="29"/>
      <c r="D8" s="32" t="s">
        <v>79</v>
      </c>
      <c r="E8" s="32"/>
      <c r="F8" s="32" t="s">
        <v>1651</v>
      </c>
      <c r="G8" s="32"/>
      <c r="H8" s="32" t="s">
        <v>81</v>
      </c>
      <c r="I8" s="27" t="str">
        <f t="shared" si="0"/>
        <v>Alcoriza, Reynaldo</v>
      </c>
      <c r="J8" s="32" t="s">
        <v>127</v>
      </c>
      <c r="K8" s="32" t="s">
        <v>1658</v>
      </c>
      <c r="L8" s="33"/>
      <c r="M8" s="32" t="s">
        <v>1642</v>
      </c>
      <c r="N8" s="32" t="s">
        <v>131</v>
      </c>
      <c r="O8" s="32" t="s">
        <v>478</v>
      </c>
      <c r="P8" s="32"/>
      <c r="Q8" s="32" t="s">
        <v>1659</v>
      </c>
      <c r="R8" s="32"/>
      <c r="S8" s="31">
        <v>26467</v>
      </c>
      <c r="T8" s="88">
        <f ca="1" t="shared" si="1"/>
        <v>54</v>
      </c>
      <c r="U8" s="27"/>
      <c r="V8" s="27"/>
      <c r="W8" s="27"/>
      <c r="X8" s="33"/>
      <c r="Y8" s="30"/>
      <c r="Z8" s="33"/>
      <c r="AA8" s="30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</row>
    <row r="9" ht="14.4" spans="1:43">
      <c r="A9" s="29"/>
      <c r="B9" s="29"/>
      <c r="C9" s="29"/>
      <c r="D9" s="32" t="s">
        <v>79</v>
      </c>
      <c r="E9" s="32"/>
      <c r="F9" s="32"/>
      <c r="G9" s="32"/>
      <c r="H9" s="32" t="s">
        <v>81</v>
      </c>
      <c r="I9" s="27" t="str">
        <f t="shared" si="0"/>
        <v>Alfornon, Bobby</v>
      </c>
      <c r="J9" s="32" t="s">
        <v>1660</v>
      </c>
      <c r="K9" s="32" t="s">
        <v>1661</v>
      </c>
      <c r="L9" s="33" t="s">
        <v>907</v>
      </c>
      <c r="M9" s="32" t="s">
        <v>1642</v>
      </c>
      <c r="N9" s="32" t="s">
        <v>1662</v>
      </c>
      <c r="O9" s="32"/>
      <c r="P9" s="32"/>
      <c r="Q9" s="32" t="s">
        <v>1663</v>
      </c>
      <c r="R9" s="32"/>
      <c r="S9" s="31">
        <v>25305</v>
      </c>
      <c r="T9" s="88">
        <f ca="1" t="shared" si="1"/>
        <v>57</v>
      </c>
      <c r="U9" s="27"/>
      <c r="V9" s="27"/>
      <c r="W9" s="27"/>
      <c r="X9" s="33"/>
      <c r="Y9" s="30"/>
      <c r="Z9" s="33"/>
      <c r="AA9" s="30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</row>
    <row r="10" ht="14.4" spans="1:43">
      <c r="A10" s="29"/>
      <c r="B10" s="29"/>
      <c r="C10" s="29"/>
      <c r="D10" s="32" t="s">
        <v>51</v>
      </c>
      <c r="E10" s="32"/>
      <c r="F10" s="32" t="s">
        <v>1664</v>
      </c>
      <c r="G10" s="32"/>
      <c r="H10" s="32" t="s">
        <v>81</v>
      </c>
      <c r="I10" s="190" t="str">
        <f t="shared" si="0"/>
        <v>Amistad, Joseph Sinesin</v>
      </c>
      <c r="J10" s="32" t="s">
        <v>159</v>
      </c>
      <c r="K10" s="32" t="s">
        <v>1665</v>
      </c>
      <c r="L10" s="33" t="s">
        <v>1666</v>
      </c>
      <c r="M10" s="32" t="s">
        <v>1642</v>
      </c>
      <c r="N10" s="32" t="s">
        <v>162</v>
      </c>
      <c r="O10" s="32" t="s">
        <v>163</v>
      </c>
      <c r="P10" s="32"/>
      <c r="Q10" s="32" t="s">
        <v>176</v>
      </c>
      <c r="R10" s="32" t="s">
        <v>1667</v>
      </c>
      <c r="S10" s="31">
        <v>30079</v>
      </c>
      <c r="T10" s="88">
        <f ca="1" t="shared" si="1"/>
        <v>44</v>
      </c>
      <c r="U10" s="27" t="s">
        <v>123</v>
      </c>
      <c r="V10" s="27" t="s">
        <v>1668</v>
      </c>
      <c r="W10" s="27" t="s">
        <v>1669</v>
      </c>
      <c r="X10" s="33" t="s">
        <v>51</v>
      </c>
      <c r="Y10" s="234" t="s">
        <v>1670</v>
      </c>
      <c r="Z10" s="33" t="s">
        <v>51</v>
      </c>
      <c r="AA10" s="234" t="s">
        <v>1671</v>
      </c>
      <c r="AB10" s="27" t="s">
        <v>121</v>
      </c>
      <c r="AC10" s="27" t="s">
        <v>1672</v>
      </c>
      <c r="AD10" s="27" t="s">
        <v>1673</v>
      </c>
      <c r="AE10" s="27" t="s">
        <v>1674</v>
      </c>
      <c r="AF10" s="27"/>
      <c r="AG10" s="27" t="s">
        <v>190</v>
      </c>
      <c r="AH10" s="27"/>
      <c r="AI10" s="27"/>
      <c r="AJ10" s="27" t="s">
        <v>1675</v>
      </c>
      <c r="AK10" s="27"/>
      <c r="AL10" s="27" t="s">
        <v>51</v>
      </c>
      <c r="AM10" s="27" t="s">
        <v>51</v>
      </c>
      <c r="AN10" s="27" t="s">
        <v>1675</v>
      </c>
      <c r="AO10" s="27" t="s">
        <v>625</v>
      </c>
      <c r="AP10" s="27" t="s">
        <v>77</v>
      </c>
      <c r="AQ10" s="27" t="s">
        <v>164</v>
      </c>
    </row>
    <row r="11" ht="14.4" spans="1:43">
      <c r="A11" s="29"/>
      <c r="B11" s="29"/>
      <c r="C11" s="29"/>
      <c r="D11" s="32" t="s">
        <v>79</v>
      </c>
      <c r="E11" s="32"/>
      <c r="F11" s="32"/>
      <c r="G11" s="32"/>
      <c r="H11" s="32"/>
      <c r="I11" s="27" t="str">
        <f t="shared" si="0"/>
        <v>Amplogio, Charlie</v>
      </c>
      <c r="J11" s="32" t="s">
        <v>179</v>
      </c>
      <c r="K11" s="32" t="s">
        <v>1676</v>
      </c>
      <c r="L11" s="33"/>
      <c r="M11" s="32"/>
      <c r="N11" s="32"/>
      <c r="O11" s="32"/>
      <c r="P11" s="32"/>
      <c r="Q11" s="32"/>
      <c r="R11" s="204"/>
      <c r="S11" s="31"/>
      <c r="T11" s="88" t="str">
        <f ca="1" t="shared" si="1"/>
        <v/>
      </c>
      <c r="U11" s="27"/>
      <c r="V11" s="27"/>
      <c r="W11" s="27"/>
      <c r="X11" s="33"/>
      <c r="Y11" s="30"/>
      <c r="Z11" s="33"/>
      <c r="AA11" s="30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</row>
    <row r="12" ht="14.4" spans="1:43">
      <c r="A12" s="29"/>
      <c r="B12" s="29"/>
      <c r="C12" s="29"/>
      <c r="D12" s="32" t="s">
        <v>79</v>
      </c>
      <c r="E12" s="32"/>
      <c r="F12" s="32" t="s">
        <v>1677</v>
      </c>
      <c r="G12" s="32"/>
      <c r="H12" s="32" t="s">
        <v>126</v>
      </c>
      <c r="I12" s="27" t="str">
        <f t="shared" si="0"/>
        <v>Ancheta, Cris</v>
      </c>
      <c r="J12" s="32" t="s">
        <v>197</v>
      </c>
      <c r="K12" s="32" t="s">
        <v>1678</v>
      </c>
      <c r="L12" s="33"/>
      <c r="M12" s="32" t="s">
        <v>1642</v>
      </c>
      <c r="N12" s="32" t="s">
        <v>1679</v>
      </c>
      <c r="O12" s="32" t="s">
        <v>281</v>
      </c>
      <c r="P12" s="32"/>
      <c r="Q12" s="32" t="s">
        <v>1680</v>
      </c>
      <c r="R12" s="27" t="s">
        <v>1681</v>
      </c>
      <c r="S12" s="31">
        <v>23085</v>
      </c>
      <c r="T12" s="88">
        <f ca="1" t="shared" si="1"/>
        <v>63</v>
      </c>
      <c r="U12" s="27"/>
      <c r="V12" s="27"/>
      <c r="W12" s="27"/>
      <c r="X12" s="33"/>
      <c r="Y12" s="30"/>
      <c r="Z12" s="33"/>
      <c r="AA12" s="30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</row>
    <row r="13" ht="14.4" spans="1:43">
      <c r="A13" s="29"/>
      <c r="B13" s="29"/>
      <c r="C13" s="29"/>
      <c r="D13" s="32" t="s">
        <v>51</v>
      </c>
      <c r="E13" s="32"/>
      <c r="F13" s="32" t="s">
        <v>1682</v>
      </c>
      <c r="G13" s="32"/>
      <c r="H13" s="32" t="s">
        <v>92</v>
      </c>
      <c r="I13" s="190" t="str">
        <f t="shared" si="0"/>
        <v>Apilada, Armando</v>
      </c>
      <c r="J13" s="32" t="s">
        <v>220</v>
      </c>
      <c r="K13" s="32" t="s">
        <v>1683</v>
      </c>
      <c r="L13" s="33" t="s">
        <v>493</v>
      </c>
      <c r="M13" s="32" t="s">
        <v>1642</v>
      </c>
      <c r="N13" s="32" t="s">
        <v>1684</v>
      </c>
      <c r="O13" s="32" t="s">
        <v>224</v>
      </c>
      <c r="P13" s="32" t="s">
        <v>1685</v>
      </c>
      <c r="Q13" s="32" t="s">
        <v>235</v>
      </c>
      <c r="R13" s="32"/>
      <c r="S13" s="31">
        <v>19731</v>
      </c>
      <c r="T13" s="88">
        <f ca="1" t="shared" si="1"/>
        <v>72</v>
      </c>
      <c r="U13" s="27" t="s">
        <v>1653</v>
      </c>
      <c r="V13" s="27" t="s">
        <v>1686</v>
      </c>
      <c r="W13" s="27" t="s">
        <v>1687</v>
      </c>
      <c r="X13" s="33" t="s">
        <v>51</v>
      </c>
      <c r="Y13" s="234" t="s">
        <v>228</v>
      </c>
      <c r="Z13" s="33" t="s">
        <v>51</v>
      </c>
      <c r="AA13" s="234" t="s">
        <v>1688</v>
      </c>
      <c r="AB13" s="27" t="s">
        <v>1689</v>
      </c>
      <c r="AC13" s="27" t="s">
        <v>1690</v>
      </c>
      <c r="AD13" s="27" t="s">
        <v>1691</v>
      </c>
      <c r="AE13" s="27" t="s">
        <v>1692</v>
      </c>
      <c r="AF13" s="27"/>
      <c r="AG13" s="27"/>
      <c r="AH13" s="27" t="s">
        <v>1693</v>
      </c>
      <c r="AI13" s="27" t="s">
        <v>1078</v>
      </c>
      <c r="AJ13" s="27" t="s">
        <v>1694</v>
      </c>
      <c r="AK13" s="27" t="s">
        <v>1695</v>
      </c>
      <c r="AL13" s="27" t="s">
        <v>51</v>
      </c>
      <c r="AM13" s="27" t="s">
        <v>51</v>
      </c>
      <c r="AN13" s="27" t="s">
        <v>1694</v>
      </c>
      <c r="AO13" s="27" t="s">
        <v>625</v>
      </c>
      <c r="AP13" s="27" t="s">
        <v>77</v>
      </c>
      <c r="AQ13" s="27" t="s">
        <v>226</v>
      </c>
    </row>
    <row r="14" ht="14.4" spans="1:43">
      <c r="A14" s="29"/>
      <c r="B14" s="29"/>
      <c r="C14" s="29"/>
      <c r="D14" s="32" t="s">
        <v>51</v>
      </c>
      <c r="E14" s="32"/>
      <c r="F14" s="32" t="s">
        <v>1664</v>
      </c>
      <c r="G14" s="32"/>
      <c r="H14" s="32" t="s">
        <v>81</v>
      </c>
      <c r="I14" s="27" t="str">
        <f t="shared" si="0"/>
        <v>Aragon, Marc Andrew Reli</v>
      </c>
      <c r="J14" s="32" t="s">
        <v>237</v>
      </c>
      <c r="K14" s="32" t="s">
        <v>1696</v>
      </c>
      <c r="L14" s="33" t="s">
        <v>554</v>
      </c>
      <c r="M14" s="32" t="s">
        <v>1642</v>
      </c>
      <c r="N14" s="32" t="s">
        <v>240</v>
      </c>
      <c r="O14" s="32" t="s">
        <v>241</v>
      </c>
      <c r="P14" s="32" t="s">
        <v>1697</v>
      </c>
      <c r="Q14" s="32" t="s">
        <v>253</v>
      </c>
      <c r="R14" s="32"/>
      <c r="S14" s="31">
        <v>34599</v>
      </c>
      <c r="T14" s="88">
        <f ca="1" t="shared" si="1"/>
        <v>32</v>
      </c>
      <c r="U14" s="27" t="s">
        <v>1698</v>
      </c>
      <c r="V14" s="27" t="s">
        <v>1699</v>
      </c>
      <c r="W14" s="27" t="s">
        <v>1700</v>
      </c>
      <c r="X14" s="33" t="s">
        <v>51</v>
      </c>
      <c r="Y14" s="30"/>
      <c r="Z14" s="33" t="s">
        <v>51</v>
      </c>
      <c r="AA14" s="30"/>
      <c r="AB14" s="27"/>
      <c r="AC14" s="27" t="s">
        <v>68</v>
      </c>
      <c r="AD14" s="27" t="s">
        <v>1701</v>
      </c>
      <c r="AE14" s="27" t="s">
        <v>1702</v>
      </c>
      <c r="AF14" s="27" t="s">
        <v>1703</v>
      </c>
      <c r="AG14" s="27" t="s">
        <v>1704</v>
      </c>
      <c r="AH14" s="27" t="s">
        <v>1705</v>
      </c>
      <c r="AI14" s="27" t="s">
        <v>1706</v>
      </c>
      <c r="AJ14" s="27" t="s">
        <v>1707</v>
      </c>
      <c r="AK14" s="27" t="s">
        <v>1708</v>
      </c>
      <c r="AL14" s="27" t="s">
        <v>51</v>
      </c>
      <c r="AM14" s="27" t="s">
        <v>51</v>
      </c>
      <c r="AN14" s="27" t="s">
        <v>1707</v>
      </c>
      <c r="AO14" s="27" t="s">
        <v>625</v>
      </c>
      <c r="AP14" s="27" t="s">
        <v>77</v>
      </c>
      <c r="AQ14" s="27" t="s">
        <v>1709</v>
      </c>
    </row>
    <row r="15" ht="14.4" spans="1:43">
      <c r="A15" s="29"/>
      <c r="B15" s="29"/>
      <c r="C15" s="29"/>
      <c r="D15" s="32" t="s">
        <v>51</v>
      </c>
      <c r="E15" s="32"/>
      <c r="F15" s="32" t="s">
        <v>1664</v>
      </c>
      <c r="G15" s="32"/>
      <c r="H15" s="32" t="s">
        <v>81</v>
      </c>
      <c r="I15" s="27" t="str">
        <f t="shared" si="0"/>
        <v>Ating, Dwight Paul</v>
      </c>
      <c r="J15" s="32" t="s">
        <v>1710</v>
      </c>
      <c r="K15" s="32" t="s">
        <v>1711</v>
      </c>
      <c r="L15" s="33" t="s">
        <v>161</v>
      </c>
      <c r="M15" s="32" t="s">
        <v>1642</v>
      </c>
      <c r="N15" s="32" t="s">
        <v>1712</v>
      </c>
      <c r="O15" s="32" t="s">
        <v>687</v>
      </c>
      <c r="P15" s="32"/>
      <c r="Q15" s="32" t="s">
        <v>1713</v>
      </c>
      <c r="R15" s="27" t="s">
        <v>1714</v>
      </c>
      <c r="S15" s="31">
        <v>36189</v>
      </c>
      <c r="T15" s="88">
        <f ca="1" t="shared" si="1"/>
        <v>27</v>
      </c>
      <c r="U15" s="27" t="s">
        <v>123</v>
      </c>
      <c r="V15" s="27" t="s">
        <v>1715</v>
      </c>
      <c r="W15" s="27" t="s">
        <v>1716</v>
      </c>
      <c r="X15" s="33" t="s">
        <v>79</v>
      </c>
      <c r="Y15" s="30"/>
      <c r="Z15" s="33" t="s">
        <v>79</v>
      </c>
      <c r="AA15" s="30"/>
      <c r="AB15" s="27" t="s">
        <v>121</v>
      </c>
      <c r="AC15" s="27" t="s">
        <v>188</v>
      </c>
      <c r="AD15" s="27" t="s">
        <v>1717</v>
      </c>
      <c r="AE15" s="27"/>
      <c r="AF15" s="27"/>
      <c r="AG15" s="27"/>
      <c r="AH15" s="27" t="s">
        <v>1718</v>
      </c>
      <c r="AI15" s="27" t="s">
        <v>154</v>
      </c>
      <c r="AJ15" s="27"/>
      <c r="AK15" s="27"/>
      <c r="AL15" s="27"/>
      <c r="AM15" s="27"/>
      <c r="AN15" s="27"/>
      <c r="AO15" s="27"/>
      <c r="AP15" s="27"/>
      <c r="AQ15" s="27"/>
    </row>
    <row r="16" ht="14.4" spans="1:43">
      <c r="A16" s="29"/>
      <c r="B16" s="29"/>
      <c r="C16" s="29"/>
      <c r="D16" s="32" t="s">
        <v>51</v>
      </c>
      <c r="E16" s="32"/>
      <c r="F16" s="32" t="s">
        <v>1719</v>
      </c>
      <c r="G16" s="32"/>
      <c r="H16" s="32" t="s">
        <v>81</v>
      </c>
      <c r="I16" s="27" t="str">
        <f t="shared" si="0"/>
        <v>Ayungo, Martin Jr</v>
      </c>
      <c r="J16" s="32" t="s">
        <v>277</v>
      </c>
      <c r="K16" s="32" t="s">
        <v>1720</v>
      </c>
      <c r="L16" s="33" t="s">
        <v>1721</v>
      </c>
      <c r="M16" s="32" t="s">
        <v>1642</v>
      </c>
      <c r="N16" s="32" t="s">
        <v>1722</v>
      </c>
      <c r="O16" s="32" t="s">
        <v>1723</v>
      </c>
      <c r="P16" s="32" t="s">
        <v>123</v>
      </c>
      <c r="Q16" s="32" t="s">
        <v>1724</v>
      </c>
      <c r="R16" s="32" t="s">
        <v>1725</v>
      </c>
      <c r="S16" s="31">
        <v>29831</v>
      </c>
      <c r="T16" s="88">
        <f ca="1" t="shared" si="1"/>
        <v>45</v>
      </c>
      <c r="U16" s="27" t="s">
        <v>1726</v>
      </c>
      <c r="V16" s="27" t="s">
        <v>1727</v>
      </c>
      <c r="W16" s="27" t="s">
        <v>1728</v>
      </c>
      <c r="X16" s="33" t="s">
        <v>51</v>
      </c>
      <c r="Y16" s="30"/>
      <c r="Z16" s="33" t="s">
        <v>51</v>
      </c>
      <c r="AA16" s="30"/>
      <c r="AB16" s="27" t="s">
        <v>121</v>
      </c>
      <c r="AC16" s="27" t="s">
        <v>1655</v>
      </c>
      <c r="AD16" s="27" t="s">
        <v>1729</v>
      </c>
      <c r="AE16" s="27"/>
      <c r="AF16" s="27"/>
      <c r="AG16" s="27"/>
      <c r="AH16" s="27" t="s">
        <v>1730</v>
      </c>
      <c r="AI16" s="27"/>
      <c r="AJ16" s="27" t="s">
        <v>1731</v>
      </c>
      <c r="AK16" s="27" t="s">
        <v>1732</v>
      </c>
      <c r="AL16" s="27" t="s">
        <v>51</v>
      </c>
      <c r="AM16" s="27" t="s">
        <v>51</v>
      </c>
      <c r="AN16" s="27" t="s">
        <v>1731</v>
      </c>
      <c r="AO16" s="27" t="s">
        <v>625</v>
      </c>
      <c r="AP16" s="27" t="s">
        <v>77</v>
      </c>
      <c r="AQ16" s="27"/>
    </row>
    <row r="17" ht="14.4" spans="1:43">
      <c r="A17" s="29"/>
      <c r="B17" s="29"/>
      <c r="C17" s="29"/>
      <c r="D17" s="32" t="s">
        <v>51</v>
      </c>
      <c r="E17" s="32"/>
      <c r="F17" s="32" t="s">
        <v>1664</v>
      </c>
      <c r="G17" s="32"/>
      <c r="H17" s="32" t="s">
        <v>81</v>
      </c>
      <c r="I17" s="27" t="str">
        <f t="shared" si="0"/>
        <v>Bacsa, Vhal</v>
      </c>
      <c r="J17" s="32" t="s">
        <v>295</v>
      </c>
      <c r="K17" s="32" t="s">
        <v>1733</v>
      </c>
      <c r="L17" s="33"/>
      <c r="M17" s="32" t="s">
        <v>1642</v>
      </c>
      <c r="N17" s="32" t="s">
        <v>297</v>
      </c>
      <c r="O17" s="32" t="s">
        <v>298</v>
      </c>
      <c r="P17" s="32" t="s">
        <v>1734</v>
      </c>
      <c r="Q17" s="32" t="s">
        <v>299</v>
      </c>
      <c r="R17" s="32" t="s">
        <v>300</v>
      </c>
      <c r="S17" s="31">
        <v>37666</v>
      </c>
      <c r="T17" s="88">
        <f ca="1" t="shared" si="1"/>
        <v>23</v>
      </c>
      <c r="U17" s="27" t="s">
        <v>123</v>
      </c>
      <c r="V17" s="27" t="s">
        <v>1735</v>
      </c>
      <c r="W17" s="27" t="s">
        <v>1736</v>
      </c>
      <c r="X17" s="33" t="s">
        <v>51</v>
      </c>
      <c r="Y17" s="30">
        <v>45536</v>
      </c>
      <c r="Z17" s="33" t="s">
        <v>51</v>
      </c>
      <c r="AA17" s="30">
        <v>45505</v>
      </c>
      <c r="AB17" s="27"/>
      <c r="AC17" s="27" t="s">
        <v>1655</v>
      </c>
      <c r="AD17" s="27" t="s">
        <v>1737</v>
      </c>
      <c r="AE17" s="27"/>
      <c r="AF17" s="27"/>
      <c r="AG17" s="27" t="s">
        <v>1738</v>
      </c>
      <c r="AH17" s="27" t="s">
        <v>1739</v>
      </c>
      <c r="AI17" s="27" t="s">
        <v>1078</v>
      </c>
      <c r="AJ17" s="27" t="s">
        <v>1740</v>
      </c>
      <c r="AK17" s="27" t="s">
        <v>1741</v>
      </c>
      <c r="AL17" s="27" t="s">
        <v>51</v>
      </c>
      <c r="AM17" s="27" t="s">
        <v>51</v>
      </c>
      <c r="AN17" s="27"/>
      <c r="AO17" s="27"/>
      <c r="AP17" s="27"/>
      <c r="AQ17" s="27"/>
    </row>
    <row r="18" ht="14.4" spans="1:43">
      <c r="A18" s="29"/>
      <c r="B18" s="29"/>
      <c r="C18" s="29"/>
      <c r="D18" s="32" t="s">
        <v>51</v>
      </c>
      <c r="E18" s="32"/>
      <c r="F18" s="32" t="s">
        <v>1682</v>
      </c>
      <c r="G18" s="32"/>
      <c r="H18" s="32" t="s">
        <v>81</v>
      </c>
      <c r="I18" s="205" t="str">
        <f t="shared" si="0"/>
        <v>Balinggan, Paul</v>
      </c>
      <c r="J18" s="32" t="s">
        <v>330</v>
      </c>
      <c r="K18" s="32" t="s">
        <v>1742</v>
      </c>
      <c r="L18" s="33" t="s">
        <v>113</v>
      </c>
      <c r="M18" s="32" t="s">
        <v>1642</v>
      </c>
      <c r="N18" s="32" t="s">
        <v>353</v>
      </c>
      <c r="O18" s="32" t="s">
        <v>354</v>
      </c>
      <c r="P18" s="32" t="s">
        <v>426</v>
      </c>
      <c r="Q18" s="32" t="s">
        <v>1743</v>
      </c>
      <c r="R18" s="32"/>
      <c r="S18" s="31">
        <v>19791</v>
      </c>
      <c r="T18" s="88">
        <f ca="1" t="shared" si="1"/>
        <v>72</v>
      </c>
      <c r="U18" s="27" t="s">
        <v>1744</v>
      </c>
      <c r="V18" s="27" t="s">
        <v>1745</v>
      </c>
      <c r="W18" s="27" t="s">
        <v>1746</v>
      </c>
      <c r="X18" s="33" t="s">
        <v>51</v>
      </c>
      <c r="Y18" s="30"/>
      <c r="Z18" s="33" t="s">
        <v>51</v>
      </c>
      <c r="AA18" s="30"/>
      <c r="AB18" s="27" t="s">
        <v>121</v>
      </c>
      <c r="AC18" s="27" t="s">
        <v>1747</v>
      </c>
      <c r="AD18" s="27"/>
      <c r="AE18" s="27"/>
      <c r="AF18" s="27"/>
      <c r="AG18" s="27"/>
      <c r="AH18" s="27"/>
      <c r="AI18" s="27"/>
      <c r="AJ18" s="27" t="s">
        <v>1748</v>
      </c>
      <c r="AK18" s="27"/>
      <c r="AL18" s="27" t="s">
        <v>51</v>
      </c>
      <c r="AM18" s="27" t="s">
        <v>51</v>
      </c>
      <c r="AN18" s="27" t="s">
        <v>1749</v>
      </c>
      <c r="AO18" s="27" t="s">
        <v>1750</v>
      </c>
      <c r="AP18" s="27" t="s">
        <v>437</v>
      </c>
      <c r="AQ18" s="27"/>
    </row>
    <row r="19" ht="14.4" spans="1:43">
      <c r="A19" s="29"/>
      <c r="B19" s="29"/>
      <c r="C19" s="29"/>
      <c r="D19" s="87" t="s">
        <v>79</v>
      </c>
      <c r="E19" s="32"/>
      <c r="F19" s="32"/>
      <c r="G19" s="32"/>
      <c r="H19" s="32"/>
      <c r="I19" s="199" t="str">
        <f t="shared" si="0"/>
        <v>Balinggan, Jurickson</v>
      </c>
      <c r="J19" s="87" t="s">
        <v>330</v>
      </c>
      <c r="K19" s="87" t="s">
        <v>1751</v>
      </c>
      <c r="L19" s="33"/>
      <c r="M19" s="32"/>
      <c r="N19" s="32"/>
      <c r="O19" s="32"/>
      <c r="P19" s="32"/>
      <c r="Q19" s="32"/>
      <c r="R19" s="32"/>
      <c r="S19" s="31"/>
      <c r="T19" s="88" t="str">
        <f ca="1" t="shared" si="1"/>
        <v/>
      </c>
      <c r="U19" s="27"/>
      <c r="V19" s="27"/>
      <c r="W19" s="27"/>
      <c r="X19" s="33"/>
      <c r="Y19" s="30"/>
      <c r="Z19" s="33"/>
      <c r="AA19" s="30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</row>
    <row r="20" ht="14.4" spans="1:43">
      <c r="A20" s="29"/>
      <c r="B20" s="29"/>
      <c r="C20" s="29"/>
      <c r="D20" s="32" t="s">
        <v>79</v>
      </c>
      <c r="E20" s="32"/>
      <c r="F20" s="32"/>
      <c r="G20" s="32"/>
      <c r="H20" s="32" t="s">
        <v>81</v>
      </c>
      <c r="I20" s="27" t="str">
        <f t="shared" si="0"/>
        <v>Bambao, Angel Jr</v>
      </c>
      <c r="J20" s="32" t="s">
        <v>381</v>
      </c>
      <c r="K20" s="32" t="s">
        <v>1752</v>
      </c>
      <c r="L20" s="33"/>
      <c r="M20" s="32" t="s">
        <v>1642</v>
      </c>
      <c r="N20" s="32" t="s">
        <v>1753</v>
      </c>
      <c r="O20" s="32" t="s">
        <v>384</v>
      </c>
      <c r="P20" s="32"/>
      <c r="Q20" s="32" t="s">
        <v>1754</v>
      </c>
      <c r="R20" s="32"/>
      <c r="S20" s="31">
        <v>28859</v>
      </c>
      <c r="T20" s="88">
        <f ca="1" t="shared" si="1"/>
        <v>47</v>
      </c>
      <c r="U20" s="27"/>
      <c r="V20" s="27"/>
      <c r="W20" s="27"/>
      <c r="X20" s="33"/>
      <c r="Y20" s="30"/>
      <c r="Z20" s="33"/>
      <c r="AA20" s="30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</row>
    <row r="21" ht="15.75" customHeight="1" spans="1:43">
      <c r="A21" s="29"/>
      <c r="B21" s="29"/>
      <c r="C21" s="29"/>
      <c r="D21" s="32" t="s">
        <v>79</v>
      </c>
      <c r="E21" s="32"/>
      <c r="F21" s="32" t="s">
        <v>1677</v>
      </c>
      <c r="G21" s="32"/>
      <c r="H21" s="32" t="s">
        <v>81</v>
      </c>
      <c r="I21" s="27" t="str">
        <f t="shared" si="0"/>
        <v>Banaag, Gerald</v>
      </c>
      <c r="J21" s="32" t="s">
        <v>397</v>
      </c>
      <c r="K21" s="32" t="s">
        <v>1755</v>
      </c>
      <c r="L21" s="33"/>
      <c r="M21" s="32" t="s">
        <v>1642</v>
      </c>
      <c r="N21" s="32" t="s">
        <v>1756</v>
      </c>
      <c r="O21" s="32" t="s">
        <v>399</v>
      </c>
      <c r="P21" s="32"/>
      <c r="Q21" s="32" t="s">
        <v>1757</v>
      </c>
      <c r="R21" s="27" t="s">
        <v>1758</v>
      </c>
      <c r="S21" s="31">
        <v>28459</v>
      </c>
      <c r="T21" s="88">
        <f ca="1" t="shared" si="1"/>
        <v>48</v>
      </c>
      <c r="U21" s="27"/>
      <c r="V21" s="27"/>
      <c r="W21" s="27"/>
      <c r="X21" s="33"/>
      <c r="Y21" s="30"/>
      <c r="Z21" s="33"/>
      <c r="AA21" s="30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</row>
    <row r="22" ht="15.75" customHeight="1" spans="1:43">
      <c r="A22" s="29"/>
      <c r="B22" s="29"/>
      <c r="C22" s="29"/>
      <c r="D22" s="87" t="s">
        <v>79</v>
      </c>
      <c r="E22" s="32"/>
      <c r="F22" s="32"/>
      <c r="G22" s="32"/>
      <c r="H22" s="32"/>
      <c r="I22" s="192" t="str">
        <f t="shared" si="0"/>
        <v>Bañez, Eugene</v>
      </c>
      <c r="J22" s="87" t="s">
        <v>349</v>
      </c>
      <c r="K22" s="87" t="s">
        <v>1759</v>
      </c>
      <c r="L22" s="94" t="s">
        <v>161</v>
      </c>
      <c r="M22" s="32"/>
      <c r="N22" s="87">
        <v>7</v>
      </c>
      <c r="O22" s="87" t="s">
        <v>1760</v>
      </c>
      <c r="P22" s="32"/>
      <c r="Q22" s="32"/>
      <c r="R22" s="32"/>
      <c r="S22" s="31"/>
      <c r="T22" s="88" t="str">
        <f ca="1" t="shared" si="1"/>
        <v/>
      </c>
      <c r="U22" s="27"/>
      <c r="V22" s="27"/>
      <c r="W22" s="27"/>
      <c r="X22" s="94" t="s">
        <v>51</v>
      </c>
      <c r="Y22" s="30"/>
      <c r="Z22" s="94" t="s">
        <v>51</v>
      </c>
      <c r="AA22" s="30"/>
      <c r="AB22" s="27"/>
      <c r="AC22" s="27"/>
      <c r="AD22" s="27"/>
      <c r="AE22" s="27"/>
      <c r="AF22" s="27"/>
      <c r="AG22" s="27"/>
      <c r="AH22" s="27"/>
      <c r="AI22" s="27"/>
      <c r="AJ22" s="178" t="s">
        <v>1761</v>
      </c>
      <c r="AK22" s="27"/>
      <c r="AL22" s="178" t="s">
        <v>51</v>
      </c>
      <c r="AM22" s="178" t="s">
        <v>51</v>
      </c>
      <c r="AN22" s="27"/>
      <c r="AO22" s="27" t="s">
        <v>625</v>
      </c>
      <c r="AP22" s="27"/>
      <c r="AQ22" s="27"/>
    </row>
    <row r="23" ht="15.75" customHeight="1" spans="1:43">
      <c r="A23" s="29"/>
      <c r="B23" s="29"/>
      <c r="C23" s="29"/>
      <c r="D23" s="32" t="s">
        <v>79</v>
      </c>
      <c r="E23" s="32"/>
      <c r="F23" s="32" t="s">
        <v>1651</v>
      </c>
      <c r="G23" s="32"/>
      <c r="H23" s="32" t="s">
        <v>81</v>
      </c>
      <c r="I23" s="205" t="str">
        <f t="shared" si="0"/>
        <v>Bayrante, Ramon</v>
      </c>
      <c r="J23" s="206" t="s">
        <v>1762</v>
      </c>
      <c r="K23" s="32" t="s">
        <v>1763</v>
      </c>
      <c r="L23" s="33" t="s">
        <v>222</v>
      </c>
      <c r="M23" s="32" t="s">
        <v>1642</v>
      </c>
      <c r="N23" s="32" t="s">
        <v>1764</v>
      </c>
      <c r="O23" s="32"/>
      <c r="P23" s="32"/>
      <c r="Q23" s="32" t="s">
        <v>1765</v>
      </c>
      <c r="R23" s="27" t="s">
        <v>1766</v>
      </c>
      <c r="S23" s="31">
        <v>24855</v>
      </c>
      <c r="T23" s="88">
        <f ca="1" t="shared" si="1"/>
        <v>58</v>
      </c>
      <c r="U23" s="27"/>
      <c r="V23" s="27"/>
      <c r="W23" s="27"/>
      <c r="X23" s="33"/>
      <c r="Y23" s="30"/>
      <c r="Z23" s="33"/>
      <c r="AA23" s="30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</row>
    <row r="24" ht="15.75" customHeight="1" spans="1:43">
      <c r="A24" s="29"/>
      <c r="B24" s="29"/>
      <c r="C24" s="29"/>
      <c r="D24" s="32" t="s">
        <v>51</v>
      </c>
      <c r="E24" s="32"/>
      <c r="F24" s="32" t="s">
        <v>1719</v>
      </c>
      <c r="G24" s="32"/>
      <c r="H24" s="32" t="s">
        <v>92</v>
      </c>
      <c r="I24" s="197" t="str">
        <f t="shared" si="0"/>
        <v>Bentrez, Isaac</v>
      </c>
      <c r="J24" s="32" t="s">
        <v>474</v>
      </c>
      <c r="K24" s="32" t="s">
        <v>1767</v>
      </c>
      <c r="L24" s="33"/>
      <c r="M24" s="32" t="s">
        <v>1642</v>
      </c>
      <c r="N24" s="32" t="s">
        <v>494</v>
      </c>
      <c r="O24" s="32" t="s">
        <v>495</v>
      </c>
      <c r="P24" s="32"/>
      <c r="Q24" s="32" t="s">
        <v>491</v>
      </c>
      <c r="R24" s="32" t="s">
        <v>1768</v>
      </c>
      <c r="S24" s="31">
        <v>29823</v>
      </c>
      <c r="T24" s="88">
        <f ca="1" t="shared" si="1"/>
        <v>45</v>
      </c>
      <c r="U24" s="27" t="s">
        <v>478</v>
      </c>
      <c r="V24" s="27" t="s">
        <v>1616</v>
      </c>
      <c r="W24" s="27" t="s">
        <v>1769</v>
      </c>
      <c r="X24" s="33" t="s">
        <v>51</v>
      </c>
      <c r="Y24" s="30"/>
      <c r="Z24" s="33" t="s">
        <v>51</v>
      </c>
      <c r="AA24" s="30"/>
      <c r="AB24" s="27"/>
      <c r="AC24" s="27" t="s">
        <v>188</v>
      </c>
      <c r="AD24" s="27" t="s">
        <v>504</v>
      </c>
      <c r="AE24" s="27" t="s">
        <v>1770</v>
      </c>
      <c r="AF24" s="27"/>
      <c r="AG24" s="27" t="s">
        <v>1771</v>
      </c>
      <c r="AH24" s="27" t="s">
        <v>1730</v>
      </c>
      <c r="AI24" s="27" t="s">
        <v>154</v>
      </c>
      <c r="AJ24" s="27" t="s">
        <v>1772</v>
      </c>
      <c r="AK24" s="27" t="s">
        <v>504</v>
      </c>
      <c r="AL24" s="27" t="s">
        <v>51</v>
      </c>
      <c r="AM24" s="27" t="s">
        <v>51</v>
      </c>
      <c r="AN24" s="27" t="s">
        <v>1772</v>
      </c>
      <c r="AO24" s="27" t="s">
        <v>625</v>
      </c>
      <c r="AP24" s="27" t="s">
        <v>77</v>
      </c>
      <c r="AQ24" s="27" t="s">
        <v>496</v>
      </c>
    </row>
    <row r="25" ht="15.75" customHeight="1" spans="1:43">
      <c r="A25" s="29"/>
      <c r="B25" s="29"/>
      <c r="C25" s="29"/>
      <c r="D25" s="32" t="s">
        <v>51</v>
      </c>
      <c r="E25" s="32"/>
      <c r="F25" s="32" t="s">
        <v>1682</v>
      </c>
      <c r="G25" s="32"/>
      <c r="H25" s="32" t="s">
        <v>81</v>
      </c>
      <c r="I25" s="27" t="str">
        <f t="shared" si="0"/>
        <v>Boteng, Jaime</v>
      </c>
      <c r="J25" s="32" t="s">
        <v>521</v>
      </c>
      <c r="K25" s="32" t="s">
        <v>1773</v>
      </c>
      <c r="L25" s="33" t="s">
        <v>628</v>
      </c>
      <c r="M25" s="32" t="s">
        <v>1642</v>
      </c>
      <c r="N25" s="32"/>
      <c r="O25" s="32" t="s">
        <v>617</v>
      </c>
      <c r="P25" s="32" t="s">
        <v>1734</v>
      </c>
      <c r="Q25" s="32" t="s">
        <v>534</v>
      </c>
      <c r="R25" s="32"/>
      <c r="S25" s="31">
        <v>16789</v>
      </c>
      <c r="T25" s="88">
        <f ca="1" t="shared" si="1"/>
        <v>80</v>
      </c>
      <c r="U25" s="27" t="s">
        <v>1774</v>
      </c>
      <c r="V25" s="27" t="s">
        <v>1775</v>
      </c>
      <c r="W25" s="27" t="s">
        <v>1776</v>
      </c>
      <c r="X25" s="33" t="s">
        <v>51</v>
      </c>
      <c r="Y25" s="30">
        <v>35235</v>
      </c>
      <c r="Z25" s="33" t="s">
        <v>51</v>
      </c>
      <c r="AA25" s="30">
        <v>35235</v>
      </c>
      <c r="AB25" s="27" t="s">
        <v>149</v>
      </c>
      <c r="AC25" s="27" t="s">
        <v>514</v>
      </c>
      <c r="AD25" s="27"/>
      <c r="AE25" s="27"/>
      <c r="AF25" s="27"/>
      <c r="AG25" s="27"/>
      <c r="AH25" s="27"/>
      <c r="AI25" s="27" t="s">
        <v>1777</v>
      </c>
      <c r="AJ25" s="27" t="s">
        <v>528</v>
      </c>
      <c r="AK25" s="27"/>
      <c r="AL25" s="27"/>
      <c r="AM25" s="27"/>
      <c r="AN25" s="27" t="s">
        <v>1778</v>
      </c>
      <c r="AO25" s="27"/>
      <c r="AP25" s="27" t="s">
        <v>219</v>
      </c>
      <c r="AQ25" s="27" t="s">
        <v>1779</v>
      </c>
    </row>
    <row r="26" ht="15.75" customHeight="1" spans="1:43">
      <c r="A26" s="29"/>
      <c r="B26" s="29"/>
      <c r="C26" s="29"/>
      <c r="D26" s="32" t="s">
        <v>51</v>
      </c>
      <c r="E26" s="32"/>
      <c r="F26" s="32" t="s">
        <v>1648</v>
      </c>
      <c r="G26" s="32"/>
      <c r="H26" s="32" t="s">
        <v>81</v>
      </c>
      <c r="I26" s="27" t="str">
        <f t="shared" si="0"/>
        <v>Cajigal, Rogelio</v>
      </c>
      <c r="J26" s="32" t="s">
        <v>1780</v>
      </c>
      <c r="K26" s="32" t="s">
        <v>1781</v>
      </c>
      <c r="L26" s="33" t="s">
        <v>458</v>
      </c>
      <c r="M26" s="32" t="s">
        <v>1642</v>
      </c>
      <c r="N26" s="32" t="s">
        <v>1782</v>
      </c>
      <c r="O26" s="32" t="s">
        <v>1070</v>
      </c>
      <c r="P26" s="32" t="s">
        <v>1783</v>
      </c>
      <c r="Q26" s="32" t="s">
        <v>1784</v>
      </c>
      <c r="R26" s="32" t="s">
        <v>1785</v>
      </c>
      <c r="S26" s="31">
        <v>22568</v>
      </c>
      <c r="T26" s="88">
        <f ca="1" t="shared" si="1"/>
        <v>65</v>
      </c>
      <c r="U26" s="27" t="s">
        <v>123</v>
      </c>
      <c r="V26" s="27" t="s">
        <v>1786</v>
      </c>
      <c r="W26" s="27" t="s">
        <v>1787</v>
      </c>
      <c r="X26" s="33" t="s">
        <v>51</v>
      </c>
      <c r="Y26" s="234" t="s">
        <v>1788</v>
      </c>
      <c r="Z26" s="33" t="s">
        <v>51</v>
      </c>
      <c r="AA26" s="30"/>
      <c r="AB26" s="27" t="s">
        <v>121</v>
      </c>
      <c r="AC26" s="27" t="s">
        <v>1789</v>
      </c>
      <c r="AD26" s="27" t="s">
        <v>1440</v>
      </c>
      <c r="AE26" s="27"/>
      <c r="AF26" s="27"/>
      <c r="AG26" s="27" t="s">
        <v>1790</v>
      </c>
      <c r="AH26" s="27" t="s">
        <v>1693</v>
      </c>
      <c r="AI26" s="27" t="s">
        <v>1791</v>
      </c>
      <c r="AJ26" s="27" t="s">
        <v>1792</v>
      </c>
      <c r="AK26" s="27" t="s">
        <v>1793</v>
      </c>
      <c r="AL26" s="27" t="s">
        <v>51</v>
      </c>
      <c r="AM26" s="27" t="s">
        <v>157</v>
      </c>
      <c r="AN26" s="27" t="s">
        <v>1124</v>
      </c>
      <c r="AO26" s="27" t="s">
        <v>1794</v>
      </c>
      <c r="AP26" s="27" t="s">
        <v>1795</v>
      </c>
      <c r="AQ26" s="27"/>
    </row>
    <row r="27" ht="15.75" customHeight="1" spans="1:43">
      <c r="A27" s="29"/>
      <c r="B27" s="29"/>
      <c r="C27" s="29"/>
      <c r="D27" s="87" t="s">
        <v>51</v>
      </c>
      <c r="E27" s="32"/>
      <c r="F27" s="32"/>
      <c r="G27" s="32"/>
      <c r="H27" s="87" t="s">
        <v>81</v>
      </c>
      <c r="I27" s="27" t="str">
        <f t="shared" si="0"/>
        <v>Calimlim, Jared</v>
      </c>
      <c r="J27" s="87" t="s">
        <v>609</v>
      </c>
      <c r="K27" s="87" t="s">
        <v>1796</v>
      </c>
      <c r="L27" s="94" t="s">
        <v>1797</v>
      </c>
      <c r="M27" s="87" t="s">
        <v>1642</v>
      </c>
      <c r="N27" s="87" t="s">
        <v>612</v>
      </c>
      <c r="O27" s="87" t="s">
        <v>613</v>
      </c>
      <c r="P27" s="87" t="s">
        <v>614</v>
      </c>
      <c r="Q27" s="87" t="s">
        <v>1798</v>
      </c>
      <c r="R27" s="87" t="s">
        <v>1799</v>
      </c>
      <c r="S27" s="207">
        <v>32218</v>
      </c>
      <c r="T27" s="88">
        <f ca="1" t="shared" si="1"/>
        <v>38</v>
      </c>
      <c r="U27" s="178" t="s">
        <v>603</v>
      </c>
      <c r="V27" s="178" t="s">
        <v>1800</v>
      </c>
      <c r="W27" s="178" t="s">
        <v>1801</v>
      </c>
      <c r="X27" s="94" t="s">
        <v>51</v>
      </c>
      <c r="Y27" s="208">
        <v>43408</v>
      </c>
      <c r="Z27" s="94" t="s">
        <v>51</v>
      </c>
      <c r="AA27" s="208">
        <v>43485</v>
      </c>
      <c r="AB27" s="178" t="s">
        <v>121</v>
      </c>
      <c r="AC27" s="178" t="s">
        <v>188</v>
      </c>
      <c r="AD27" s="178" t="s">
        <v>1802</v>
      </c>
      <c r="AE27" s="178" t="s">
        <v>1803</v>
      </c>
      <c r="AF27" s="27"/>
      <c r="AG27" s="178" t="s">
        <v>1049</v>
      </c>
      <c r="AH27" s="178" t="s">
        <v>269</v>
      </c>
      <c r="AI27" s="178" t="s">
        <v>1804</v>
      </c>
      <c r="AJ27" s="178" t="s">
        <v>1805</v>
      </c>
      <c r="AK27" s="178" t="s">
        <v>1806</v>
      </c>
      <c r="AL27" s="178" t="s">
        <v>51</v>
      </c>
      <c r="AM27" s="178" t="s">
        <v>51</v>
      </c>
      <c r="AN27" s="178" t="s">
        <v>1805</v>
      </c>
      <c r="AO27" s="27" t="s">
        <v>625</v>
      </c>
      <c r="AP27" s="178" t="s">
        <v>77</v>
      </c>
      <c r="AQ27" s="178" t="s">
        <v>615</v>
      </c>
    </row>
    <row r="28" ht="15.75" customHeight="1" spans="1:43">
      <c r="A28" s="29"/>
      <c r="B28" s="29"/>
      <c r="C28" s="29"/>
      <c r="D28" s="32" t="s">
        <v>79</v>
      </c>
      <c r="E28" s="32"/>
      <c r="F28" s="32" t="s">
        <v>1677</v>
      </c>
      <c r="G28" s="32"/>
      <c r="H28" s="32" t="s">
        <v>81</v>
      </c>
      <c r="I28" s="27" t="str">
        <f t="shared" si="0"/>
        <v>Camodag, Audie</v>
      </c>
      <c r="J28" s="32" t="s">
        <v>636</v>
      </c>
      <c r="K28" s="32" t="s">
        <v>1807</v>
      </c>
      <c r="L28" s="33"/>
      <c r="M28" s="32" t="s">
        <v>1642</v>
      </c>
      <c r="N28" s="32"/>
      <c r="O28" s="32" t="s">
        <v>495</v>
      </c>
      <c r="P28" s="32"/>
      <c r="Q28" s="32" t="s">
        <v>1808</v>
      </c>
      <c r="R28" s="32"/>
      <c r="S28" s="31">
        <v>26067</v>
      </c>
      <c r="T28" s="88">
        <f ca="1" t="shared" si="1"/>
        <v>55</v>
      </c>
      <c r="U28" s="27"/>
      <c r="V28" s="27"/>
      <c r="W28" s="27"/>
      <c r="X28" s="33"/>
      <c r="Y28" s="30"/>
      <c r="Z28" s="33"/>
      <c r="AA28" s="30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</row>
    <row r="29" ht="15.75" customHeight="1" spans="1:43">
      <c r="A29" s="29"/>
      <c r="B29" s="29"/>
      <c r="C29" s="29"/>
      <c r="D29" s="32" t="s">
        <v>79</v>
      </c>
      <c r="E29" s="32"/>
      <c r="F29" s="32" t="s">
        <v>1651</v>
      </c>
      <c r="G29" s="32"/>
      <c r="H29" s="32" t="s">
        <v>126</v>
      </c>
      <c r="I29" s="27" t="str">
        <f t="shared" si="0"/>
        <v>Caragay, Dennis</v>
      </c>
      <c r="J29" s="32" t="s">
        <v>656</v>
      </c>
      <c r="K29" s="32" t="s">
        <v>1809</v>
      </c>
      <c r="L29" s="33" t="s">
        <v>907</v>
      </c>
      <c r="M29" s="32" t="s">
        <v>1642</v>
      </c>
      <c r="N29" s="32">
        <v>126</v>
      </c>
      <c r="O29" s="32" t="s">
        <v>1626</v>
      </c>
      <c r="P29" s="32"/>
      <c r="Q29" s="32" t="s">
        <v>1810</v>
      </c>
      <c r="R29" s="27" t="s">
        <v>1811</v>
      </c>
      <c r="S29" s="31">
        <v>29934</v>
      </c>
      <c r="T29" s="88">
        <f ca="1" t="shared" si="1"/>
        <v>44</v>
      </c>
      <c r="U29" s="27"/>
      <c r="V29" s="27"/>
      <c r="W29" s="27"/>
      <c r="X29" s="33"/>
      <c r="Y29" s="30"/>
      <c r="Z29" s="33"/>
      <c r="AA29" s="30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</row>
    <row r="30" ht="15.75" customHeight="1" spans="1:43">
      <c r="A30" s="29"/>
      <c r="B30" s="29"/>
      <c r="C30" s="29"/>
      <c r="D30" s="32" t="s">
        <v>51</v>
      </c>
      <c r="E30" s="32"/>
      <c r="F30" s="32" t="s">
        <v>1648</v>
      </c>
      <c r="G30" s="32"/>
      <c r="H30" s="32" t="s">
        <v>81</v>
      </c>
      <c r="I30" s="27" t="str">
        <f t="shared" si="0"/>
        <v>Castro, Simplicio Jr</v>
      </c>
      <c r="J30" s="32" t="s">
        <v>670</v>
      </c>
      <c r="K30" s="32" t="s">
        <v>1812</v>
      </c>
      <c r="L30" s="33" t="s">
        <v>422</v>
      </c>
      <c r="M30" s="32" t="s">
        <v>1642</v>
      </c>
      <c r="N30" s="32" t="s">
        <v>162</v>
      </c>
      <c r="O30" s="32" t="s">
        <v>163</v>
      </c>
      <c r="P30" s="32"/>
      <c r="Q30" s="32" t="s">
        <v>1813</v>
      </c>
      <c r="R30" s="32"/>
      <c r="S30" s="31">
        <v>21877</v>
      </c>
      <c r="T30" s="88">
        <f ca="1" t="shared" si="1"/>
        <v>66</v>
      </c>
      <c r="U30" s="27" t="s">
        <v>123</v>
      </c>
      <c r="V30" s="27" t="s">
        <v>1814</v>
      </c>
      <c r="W30" s="27" t="s">
        <v>1815</v>
      </c>
      <c r="X30" s="33" t="s">
        <v>51</v>
      </c>
      <c r="Y30" s="234" t="s">
        <v>918</v>
      </c>
      <c r="Z30" s="33" t="s">
        <v>51</v>
      </c>
      <c r="AA30" s="30" t="s">
        <v>918</v>
      </c>
      <c r="AB30" s="27" t="s">
        <v>121</v>
      </c>
      <c r="AC30" s="27" t="s">
        <v>1655</v>
      </c>
      <c r="AD30" s="27" t="s">
        <v>1816</v>
      </c>
      <c r="AE30" s="27"/>
      <c r="AF30" s="27"/>
      <c r="AG30" s="27" t="s">
        <v>1817</v>
      </c>
      <c r="AH30" s="27" t="s">
        <v>1693</v>
      </c>
      <c r="AI30" s="27" t="s">
        <v>1818</v>
      </c>
      <c r="AJ30" s="27" t="s">
        <v>1819</v>
      </c>
      <c r="AK30" s="27"/>
      <c r="AL30" s="27" t="s">
        <v>51</v>
      </c>
      <c r="AM30" s="27" t="s">
        <v>51</v>
      </c>
      <c r="AN30" s="27" t="s">
        <v>1819</v>
      </c>
      <c r="AO30" s="27" t="s">
        <v>625</v>
      </c>
      <c r="AP30" s="27" t="s">
        <v>77</v>
      </c>
      <c r="AQ30" s="27"/>
    </row>
    <row r="31" ht="15.75" customHeight="1" spans="1:43">
      <c r="A31" s="29"/>
      <c r="B31" s="29"/>
      <c r="C31" s="29"/>
      <c r="D31" s="32" t="s">
        <v>51</v>
      </c>
      <c r="E31" s="32"/>
      <c r="F31" s="32" t="s">
        <v>1640</v>
      </c>
      <c r="G31" s="32"/>
      <c r="H31" s="32" t="s">
        <v>92</v>
      </c>
      <c r="I31" s="190" t="str">
        <f t="shared" si="0"/>
        <v>Cayandag, Jimmy</v>
      </c>
      <c r="J31" s="32" t="s">
        <v>689</v>
      </c>
      <c r="K31" s="32" t="s">
        <v>1820</v>
      </c>
      <c r="L31" s="33"/>
      <c r="M31" s="32" t="s">
        <v>1642</v>
      </c>
      <c r="N31" s="32">
        <v>224</v>
      </c>
      <c r="O31" s="32" t="s">
        <v>692</v>
      </c>
      <c r="P31" s="32"/>
      <c r="Q31" s="32"/>
      <c r="R31" s="32"/>
      <c r="S31" s="31">
        <v>29168</v>
      </c>
      <c r="T31" s="88">
        <f ca="1" t="shared" si="1"/>
        <v>46</v>
      </c>
      <c r="U31" s="27" t="s">
        <v>1503</v>
      </c>
      <c r="V31" s="27" t="s">
        <v>1821</v>
      </c>
      <c r="W31" s="27" t="s">
        <v>1822</v>
      </c>
      <c r="X31" s="33" t="s">
        <v>51</v>
      </c>
      <c r="Y31" s="234" t="s">
        <v>468</v>
      </c>
      <c r="Z31" s="33" t="s">
        <v>51</v>
      </c>
      <c r="AA31" s="30" t="s">
        <v>468</v>
      </c>
      <c r="AB31" s="27" t="s">
        <v>121</v>
      </c>
      <c r="AC31" s="27" t="s">
        <v>68</v>
      </c>
      <c r="AD31" s="27" t="s">
        <v>1823</v>
      </c>
      <c r="AE31" s="27"/>
      <c r="AF31" s="27"/>
      <c r="AG31" s="27"/>
      <c r="AH31" s="27"/>
      <c r="AI31" s="27"/>
      <c r="AJ31" s="27" t="s">
        <v>1824</v>
      </c>
      <c r="AK31" s="27" t="s">
        <v>1825</v>
      </c>
      <c r="AL31" s="27" t="s">
        <v>51</v>
      </c>
      <c r="AM31" s="27" t="s">
        <v>51</v>
      </c>
      <c r="AN31" s="27" t="s">
        <v>1824</v>
      </c>
      <c r="AO31" s="27" t="s">
        <v>625</v>
      </c>
      <c r="AP31" s="27" t="s">
        <v>77</v>
      </c>
      <c r="AQ31" s="27" t="s">
        <v>1826</v>
      </c>
    </row>
    <row r="32" ht="15.75" customHeight="1" spans="1:43">
      <c r="A32" s="29"/>
      <c r="B32" s="29"/>
      <c r="C32" s="29"/>
      <c r="D32" s="32" t="s">
        <v>51</v>
      </c>
      <c r="E32" s="32"/>
      <c r="F32" s="32" t="s">
        <v>1682</v>
      </c>
      <c r="G32" s="32"/>
      <c r="H32" s="32" t="s">
        <v>81</v>
      </c>
      <c r="I32" s="190" t="str">
        <f t="shared" si="0"/>
        <v>Coyasan, Julio</v>
      </c>
      <c r="J32" s="32" t="s">
        <v>724</v>
      </c>
      <c r="K32" s="32" t="s">
        <v>1827</v>
      </c>
      <c r="L32" s="33" t="s">
        <v>554</v>
      </c>
      <c r="M32" s="32" t="s">
        <v>1642</v>
      </c>
      <c r="N32" s="32" t="s">
        <v>739</v>
      </c>
      <c r="O32" s="32" t="s">
        <v>298</v>
      </c>
      <c r="P32" s="32" t="s">
        <v>298</v>
      </c>
      <c r="Q32" s="32" t="s">
        <v>752</v>
      </c>
      <c r="R32" s="32"/>
      <c r="S32" s="31">
        <v>23196</v>
      </c>
      <c r="T32" s="88">
        <f ca="1" t="shared" si="1"/>
        <v>63</v>
      </c>
      <c r="U32" s="27" t="s">
        <v>806</v>
      </c>
      <c r="V32" s="27" t="s">
        <v>1828</v>
      </c>
      <c r="W32" s="27" t="s">
        <v>1829</v>
      </c>
      <c r="X32" s="33" t="s">
        <v>51</v>
      </c>
      <c r="Y32" s="30">
        <v>34570</v>
      </c>
      <c r="Z32" s="33" t="s">
        <v>51</v>
      </c>
      <c r="AA32" s="30">
        <v>34570</v>
      </c>
      <c r="AB32" s="27"/>
      <c r="AC32" s="27" t="s">
        <v>1631</v>
      </c>
      <c r="AD32" s="27" t="s">
        <v>1830</v>
      </c>
      <c r="AE32" s="27"/>
      <c r="AF32" s="27"/>
      <c r="AG32" s="27" t="s">
        <v>1831</v>
      </c>
      <c r="AH32" s="27" t="s">
        <v>1832</v>
      </c>
      <c r="AI32" s="27" t="s">
        <v>1833</v>
      </c>
      <c r="AJ32" s="27" t="s">
        <v>1834</v>
      </c>
      <c r="AK32" s="27" t="s">
        <v>1793</v>
      </c>
      <c r="AL32" s="27" t="s">
        <v>51</v>
      </c>
      <c r="AM32" s="27" t="s">
        <v>51</v>
      </c>
      <c r="AN32" s="27" t="s">
        <v>1835</v>
      </c>
      <c r="AO32" s="27" t="s">
        <v>625</v>
      </c>
      <c r="AP32" s="27" t="s">
        <v>437</v>
      </c>
      <c r="AQ32" s="27"/>
    </row>
    <row r="33" ht="15.75" customHeight="1" spans="1:43">
      <c r="A33" s="29"/>
      <c r="B33" s="29"/>
      <c r="C33" s="29"/>
      <c r="D33" s="32" t="s">
        <v>51</v>
      </c>
      <c r="E33" s="32"/>
      <c r="F33" s="32" t="s">
        <v>1640</v>
      </c>
      <c r="G33" s="32"/>
      <c r="H33" s="32" t="s">
        <v>81</v>
      </c>
      <c r="I33" s="27" t="str">
        <f t="shared" si="0"/>
        <v>Coyasan, Priston</v>
      </c>
      <c r="J33" s="32" t="s">
        <v>724</v>
      </c>
      <c r="K33" s="32" t="s">
        <v>1836</v>
      </c>
      <c r="L33" s="33"/>
      <c r="M33" s="32" t="s">
        <v>1642</v>
      </c>
      <c r="N33" s="32">
        <v>7</v>
      </c>
      <c r="O33" s="32" t="s">
        <v>1837</v>
      </c>
      <c r="P33" s="32" t="s">
        <v>224</v>
      </c>
      <c r="Q33" s="32" t="s">
        <v>736</v>
      </c>
      <c r="R33" s="32"/>
      <c r="S33" s="31">
        <v>28111</v>
      </c>
      <c r="T33" s="88">
        <f ca="1" t="shared" si="1"/>
        <v>49</v>
      </c>
      <c r="U33" s="27" t="s">
        <v>806</v>
      </c>
      <c r="V33" s="27" t="s">
        <v>1828</v>
      </c>
      <c r="W33" s="27" t="s">
        <v>1829</v>
      </c>
      <c r="X33" s="33" t="s">
        <v>51</v>
      </c>
      <c r="Y33" s="30" t="s">
        <v>918</v>
      </c>
      <c r="Z33" s="33" t="s">
        <v>51</v>
      </c>
      <c r="AA33" s="30" t="s">
        <v>1838</v>
      </c>
      <c r="AB33" s="27"/>
      <c r="AC33" s="27"/>
      <c r="AD33" s="27"/>
      <c r="AE33" s="27"/>
      <c r="AF33" s="27"/>
      <c r="AG33" s="27" t="s">
        <v>268</v>
      </c>
      <c r="AH33" s="27" t="s">
        <v>269</v>
      </c>
      <c r="AI33" s="27" t="s">
        <v>1777</v>
      </c>
      <c r="AJ33" s="27" t="s">
        <v>1839</v>
      </c>
      <c r="AK33" s="27"/>
      <c r="AL33" s="27" t="s">
        <v>51</v>
      </c>
      <c r="AM33" s="27" t="s">
        <v>51</v>
      </c>
      <c r="AN33" s="27" t="s">
        <v>1839</v>
      </c>
      <c r="AO33" s="27"/>
      <c r="AP33" s="27" t="s">
        <v>77</v>
      </c>
      <c r="AQ33" s="27"/>
    </row>
    <row r="34" ht="15.75" customHeight="1" spans="1:43">
      <c r="A34" s="29"/>
      <c r="B34" s="29"/>
      <c r="C34" s="29"/>
      <c r="D34" s="32" t="s">
        <v>79</v>
      </c>
      <c r="E34" s="32"/>
      <c r="F34" s="32" t="s">
        <v>1719</v>
      </c>
      <c r="G34" s="32"/>
      <c r="H34" s="32" t="s">
        <v>81</v>
      </c>
      <c r="I34" s="27" t="str">
        <f t="shared" si="0"/>
        <v>Cruz, Aron</v>
      </c>
      <c r="J34" s="32" t="s">
        <v>753</v>
      </c>
      <c r="K34" s="32" t="s">
        <v>1840</v>
      </c>
      <c r="L34" s="33"/>
      <c r="M34" s="32" t="s">
        <v>1642</v>
      </c>
      <c r="N34" s="32" t="s">
        <v>1841</v>
      </c>
      <c r="O34" s="32" t="s">
        <v>495</v>
      </c>
      <c r="P34" s="32"/>
      <c r="Q34" s="32" t="s">
        <v>1842</v>
      </c>
      <c r="R34" s="32"/>
      <c r="S34" s="31">
        <v>30235</v>
      </c>
      <c r="T34" s="88">
        <f ca="1" t="shared" si="1"/>
        <v>44</v>
      </c>
      <c r="U34" s="27"/>
      <c r="V34" s="27"/>
      <c r="W34" s="27"/>
      <c r="X34" s="33"/>
      <c r="Y34" s="30"/>
      <c r="Z34" s="33"/>
      <c r="AA34" s="30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</row>
    <row r="35" ht="15.75" customHeight="1" spans="1:43">
      <c r="A35" s="29"/>
      <c r="B35" s="29"/>
      <c r="C35" s="29"/>
      <c r="D35" s="32" t="s">
        <v>51</v>
      </c>
      <c r="E35" s="32"/>
      <c r="F35" s="32" t="s">
        <v>1648</v>
      </c>
      <c r="G35" s="32"/>
      <c r="H35" s="32" t="s">
        <v>81</v>
      </c>
      <c r="I35" s="190" t="str">
        <f t="shared" si="0"/>
        <v>Cutay, Digno</v>
      </c>
      <c r="J35" s="32" t="s">
        <v>785</v>
      </c>
      <c r="K35" s="32" t="s">
        <v>1843</v>
      </c>
      <c r="L35" s="33" t="s">
        <v>1844</v>
      </c>
      <c r="M35" s="32" t="s">
        <v>1642</v>
      </c>
      <c r="N35" s="32" t="s">
        <v>804</v>
      </c>
      <c r="O35" s="32" t="s">
        <v>163</v>
      </c>
      <c r="P35" s="32" t="s">
        <v>1309</v>
      </c>
      <c r="Q35" s="32" t="s">
        <v>1845</v>
      </c>
      <c r="R35" s="32" t="s">
        <v>1846</v>
      </c>
      <c r="S35" s="31">
        <v>25149</v>
      </c>
      <c r="T35" s="88">
        <f ca="1" t="shared" si="1"/>
        <v>57</v>
      </c>
      <c r="U35" s="27" t="s">
        <v>1774</v>
      </c>
      <c r="V35" s="27" t="s">
        <v>1847</v>
      </c>
      <c r="W35" s="27" t="s">
        <v>1848</v>
      </c>
      <c r="X35" s="33" t="s">
        <v>51</v>
      </c>
      <c r="Y35" s="30">
        <v>34337</v>
      </c>
      <c r="Z35" s="33" t="s">
        <v>51</v>
      </c>
      <c r="AA35" s="30" t="s">
        <v>1849</v>
      </c>
      <c r="AB35" s="27" t="s">
        <v>121</v>
      </c>
      <c r="AC35" s="27" t="s">
        <v>1850</v>
      </c>
      <c r="AD35" s="27" t="s">
        <v>109</v>
      </c>
      <c r="AE35" s="27" t="s">
        <v>1851</v>
      </c>
      <c r="AF35" s="27" t="s">
        <v>1852</v>
      </c>
      <c r="AG35" s="27"/>
      <c r="AH35" s="27" t="s">
        <v>153</v>
      </c>
      <c r="AI35" s="27"/>
      <c r="AJ35" s="27" t="s">
        <v>1853</v>
      </c>
      <c r="AK35" s="27" t="s">
        <v>1793</v>
      </c>
      <c r="AL35" s="27" t="s">
        <v>51</v>
      </c>
      <c r="AM35" s="27" t="s">
        <v>51</v>
      </c>
      <c r="AN35" s="27" t="s">
        <v>1853</v>
      </c>
      <c r="AO35" s="27" t="s">
        <v>625</v>
      </c>
      <c r="AP35" s="27" t="s">
        <v>77</v>
      </c>
      <c r="AQ35" s="27" t="s">
        <v>1854</v>
      </c>
    </row>
    <row r="36" ht="15.75" customHeight="1" spans="1:43">
      <c r="A36" s="29"/>
      <c r="B36" s="29"/>
      <c r="C36" s="29"/>
      <c r="D36" s="32" t="s">
        <v>79</v>
      </c>
      <c r="E36" s="32"/>
      <c r="F36" s="32" t="s">
        <v>1664</v>
      </c>
      <c r="G36" s="32"/>
      <c r="H36" s="32" t="s">
        <v>126</v>
      </c>
      <c r="I36" s="27" t="str">
        <f t="shared" si="0"/>
        <v>Cutay, John Mark</v>
      </c>
      <c r="J36" s="32" t="s">
        <v>785</v>
      </c>
      <c r="K36" s="32" t="s">
        <v>1855</v>
      </c>
      <c r="L36" s="33" t="s">
        <v>907</v>
      </c>
      <c r="M36" s="32" t="s">
        <v>1642</v>
      </c>
      <c r="N36" s="32" t="s">
        <v>1764</v>
      </c>
      <c r="O36" s="32"/>
      <c r="P36" s="32" t="s">
        <v>1856</v>
      </c>
      <c r="Q36" s="32" t="s">
        <v>1857</v>
      </c>
      <c r="R36" s="27" t="s">
        <v>1858</v>
      </c>
      <c r="S36" s="31">
        <v>35600</v>
      </c>
      <c r="T36" s="88">
        <f ca="1" t="shared" si="1"/>
        <v>29</v>
      </c>
      <c r="U36" s="27" t="s">
        <v>806</v>
      </c>
      <c r="V36" s="27" t="s">
        <v>1859</v>
      </c>
      <c r="W36" s="27" t="s">
        <v>1853</v>
      </c>
      <c r="X36" s="33" t="s">
        <v>51</v>
      </c>
      <c r="Y36" s="30" t="s">
        <v>1860</v>
      </c>
      <c r="Z36" s="33" t="s">
        <v>51</v>
      </c>
      <c r="AA36" s="30" t="s">
        <v>1860</v>
      </c>
      <c r="AB36" s="27"/>
      <c r="AC36" s="27" t="s">
        <v>188</v>
      </c>
      <c r="AD36" s="27" t="s">
        <v>1861</v>
      </c>
      <c r="AE36" s="27" t="s">
        <v>1862</v>
      </c>
      <c r="AF36" s="27" t="s">
        <v>1863</v>
      </c>
      <c r="AG36" s="27" t="s">
        <v>669</v>
      </c>
      <c r="AH36" s="27" t="s">
        <v>1864</v>
      </c>
      <c r="AI36" s="27"/>
      <c r="AJ36" s="27" t="s">
        <v>1865</v>
      </c>
      <c r="AK36" s="27" t="s">
        <v>1866</v>
      </c>
      <c r="AL36" s="27" t="s">
        <v>51</v>
      </c>
      <c r="AM36" s="27" t="s">
        <v>51</v>
      </c>
      <c r="AN36" s="27"/>
      <c r="AO36" s="27"/>
      <c r="AP36" s="27"/>
      <c r="AQ36" s="27"/>
    </row>
    <row r="37" ht="15.75" customHeight="1" spans="1:43">
      <c r="A37" s="29"/>
      <c r="B37" s="29"/>
      <c r="C37" s="29"/>
      <c r="D37" s="32" t="s">
        <v>51</v>
      </c>
      <c r="E37" s="32"/>
      <c r="F37" s="32" t="s">
        <v>1677</v>
      </c>
      <c r="G37" s="32"/>
      <c r="H37" s="32" t="s">
        <v>81</v>
      </c>
      <c r="I37" s="27" t="str">
        <f t="shared" si="0"/>
        <v>Dagupen, Franklin</v>
      </c>
      <c r="J37" s="32" t="s">
        <v>828</v>
      </c>
      <c r="K37" s="32" t="s">
        <v>1867</v>
      </c>
      <c r="L37" s="33" t="s">
        <v>161</v>
      </c>
      <c r="M37" s="32" t="s">
        <v>1642</v>
      </c>
      <c r="N37" s="32" t="s">
        <v>830</v>
      </c>
      <c r="O37" s="32" t="s">
        <v>163</v>
      </c>
      <c r="P37" s="32" t="s">
        <v>1868</v>
      </c>
      <c r="Q37" s="32" t="s">
        <v>842</v>
      </c>
      <c r="R37" s="32" t="s">
        <v>1869</v>
      </c>
      <c r="S37" s="31">
        <v>26695</v>
      </c>
      <c r="T37" s="88">
        <f ca="1" t="shared" si="1"/>
        <v>53</v>
      </c>
      <c r="U37" s="27" t="s">
        <v>898</v>
      </c>
      <c r="V37" s="27" t="s">
        <v>1870</v>
      </c>
      <c r="W37" s="27" t="s">
        <v>1871</v>
      </c>
      <c r="X37" s="33" t="s">
        <v>51</v>
      </c>
      <c r="Y37" s="30" t="s">
        <v>1872</v>
      </c>
      <c r="Z37" s="33" t="s">
        <v>51</v>
      </c>
      <c r="AA37" s="30" t="s">
        <v>1873</v>
      </c>
      <c r="AB37" s="27"/>
      <c r="AC37" s="27"/>
      <c r="AD37" s="27" t="s">
        <v>840</v>
      </c>
      <c r="AE37" s="27"/>
      <c r="AF37" s="27"/>
      <c r="AG37" s="27"/>
      <c r="AH37" s="27"/>
      <c r="AI37" s="27"/>
      <c r="AJ37" s="27" t="s">
        <v>1874</v>
      </c>
      <c r="AK37" s="27" t="s">
        <v>104</v>
      </c>
      <c r="AL37" s="27" t="s">
        <v>51</v>
      </c>
      <c r="AM37" s="27" t="s">
        <v>51</v>
      </c>
      <c r="AN37" s="27" t="s">
        <v>1874</v>
      </c>
      <c r="AO37" s="27" t="s">
        <v>625</v>
      </c>
      <c r="AP37" s="27" t="s">
        <v>77</v>
      </c>
      <c r="AQ37" s="27" t="s">
        <v>832</v>
      </c>
    </row>
    <row r="38" ht="15.75" customHeight="1" spans="1:43">
      <c r="A38" s="29"/>
      <c r="B38" s="29"/>
      <c r="C38" s="29"/>
      <c r="D38" s="32" t="s">
        <v>51</v>
      </c>
      <c r="E38" s="32"/>
      <c r="F38" s="32" t="s">
        <v>1682</v>
      </c>
      <c r="G38" s="32"/>
      <c r="H38" s="32" t="s">
        <v>81</v>
      </c>
      <c r="I38" s="27" t="str">
        <f t="shared" si="0"/>
        <v>Dangla, Constancio Jr</v>
      </c>
      <c r="J38" s="32" t="s">
        <v>852</v>
      </c>
      <c r="K38" s="32" t="s">
        <v>1875</v>
      </c>
      <c r="L38" s="33" t="s">
        <v>161</v>
      </c>
      <c r="M38" s="32" t="s">
        <v>1642</v>
      </c>
      <c r="N38" s="32" t="s">
        <v>1876</v>
      </c>
      <c r="O38" s="32" t="s">
        <v>368</v>
      </c>
      <c r="P38" s="32" t="s">
        <v>1309</v>
      </c>
      <c r="Q38" s="32" t="s">
        <v>1877</v>
      </c>
      <c r="R38" s="32"/>
      <c r="S38" s="31">
        <v>23464</v>
      </c>
      <c r="T38" s="88">
        <f ca="1" t="shared" si="1"/>
        <v>62</v>
      </c>
      <c r="U38" s="27" t="s">
        <v>1878</v>
      </c>
      <c r="V38" s="27" t="s">
        <v>1879</v>
      </c>
      <c r="W38" s="27" t="s">
        <v>1880</v>
      </c>
      <c r="X38" s="33" t="s">
        <v>51</v>
      </c>
      <c r="Y38" s="30" t="s">
        <v>860</v>
      </c>
      <c r="Z38" s="33" t="s">
        <v>51</v>
      </c>
      <c r="AA38" s="30" t="s">
        <v>918</v>
      </c>
      <c r="AB38" s="27" t="s">
        <v>121</v>
      </c>
      <c r="AC38" s="27" t="s">
        <v>188</v>
      </c>
      <c r="AD38" s="27"/>
      <c r="AE38" s="27"/>
      <c r="AF38" s="27"/>
      <c r="AG38" s="27"/>
      <c r="AH38" s="27"/>
      <c r="AI38" s="27" t="s">
        <v>1881</v>
      </c>
      <c r="AJ38" s="27" t="s">
        <v>1882</v>
      </c>
      <c r="AK38" s="27" t="s">
        <v>1793</v>
      </c>
      <c r="AL38" s="27" t="s">
        <v>51</v>
      </c>
      <c r="AM38" s="27" t="s">
        <v>51</v>
      </c>
      <c r="AN38" s="27" t="s">
        <v>864</v>
      </c>
      <c r="AO38" s="27" t="s">
        <v>625</v>
      </c>
      <c r="AP38" s="27" t="s">
        <v>219</v>
      </c>
      <c r="AQ38" s="27" t="s">
        <v>866</v>
      </c>
    </row>
    <row r="39" ht="15.75" customHeight="1" spans="1:43">
      <c r="A39" s="29"/>
      <c r="B39" s="29"/>
      <c r="C39" s="29"/>
      <c r="D39" s="32" t="s">
        <v>51</v>
      </c>
      <c r="E39" s="32"/>
      <c r="F39" s="32" t="s">
        <v>1640</v>
      </c>
      <c r="G39" s="32"/>
      <c r="H39" s="32" t="s">
        <v>81</v>
      </c>
      <c r="I39" s="190" t="str">
        <f t="shared" si="0"/>
        <v>Daskeo, Klient Patrick</v>
      </c>
      <c r="J39" s="32" t="s">
        <v>867</v>
      </c>
      <c r="K39" s="32" t="s">
        <v>1883</v>
      </c>
      <c r="L39" s="33"/>
      <c r="M39" s="32" t="s">
        <v>1642</v>
      </c>
      <c r="N39" s="32" t="s">
        <v>870</v>
      </c>
      <c r="O39" s="32" t="s">
        <v>241</v>
      </c>
      <c r="P39" s="32" t="s">
        <v>573</v>
      </c>
      <c r="Q39" s="32" t="s">
        <v>880</v>
      </c>
      <c r="R39" s="32" t="s">
        <v>1884</v>
      </c>
      <c r="S39" s="31">
        <v>30635</v>
      </c>
      <c r="T39" s="88">
        <f ca="1" t="shared" si="1"/>
        <v>42</v>
      </c>
      <c r="U39" s="27" t="s">
        <v>1885</v>
      </c>
      <c r="V39" s="27" t="s">
        <v>1886</v>
      </c>
      <c r="W39" s="27" t="s">
        <v>1887</v>
      </c>
      <c r="X39" s="33" t="s">
        <v>51</v>
      </c>
      <c r="Y39" s="30">
        <v>41624</v>
      </c>
      <c r="Z39" s="33" t="s">
        <v>51</v>
      </c>
      <c r="AA39" s="30">
        <v>41594</v>
      </c>
      <c r="AB39" s="27"/>
      <c r="AC39" s="27" t="s">
        <v>68</v>
      </c>
      <c r="AD39" s="27" t="s">
        <v>1888</v>
      </c>
      <c r="AE39" s="27" t="s">
        <v>1889</v>
      </c>
      <c r="AF39" s="27" t="s">
        <v>3</v>
      </c>
      <c r="AG39" s="27" t="s">
        <v>1890</v>
      </c>
      <c r="AH39" s="27" t="s">
        <v>547</v>
      </c>
      <c r="AI39" s="27" t="s">
        <v>1891</v>
      </c>
      <c r="AJ39" s="27" t="s">
        <v>1892</v>
      </c>
      <c r="AK39" s="27" t="s">
        <v>1893</v>
      </c>
      <c r="AL39" s="27" t="s">
        <v>51</v>
      </c>
      <c r="AM39" s="27" t="s">
        <v>51</v>
      </c>
      <c r="AN39" s="27" t="s">
        <v>1892</v>
      </c>
      <c r="AO39" s="27" t="s">
        <v>625</v>
      </c>
      <c r="AP39" s="27" t="s">
        <v>77</v>
      </c>
      <c r="AQ39" s="27" t="s">
        <v>872</v>
      </c>
    </row>
    <row r="40" ht="15.75" customHeight="1" spans="1:43">
      <c r="A40" s="29"/>
      <c r="B40" s="29"/>
      <c r="C40" s="29"/>
      <c r="D40" s="32" t="s">
        <v>51</v>
      </c>
      <c r="E40" s="32"/>
      <c r="F40" s="32" t="s">
        <v>1651</v>
      </c>
      <c r="G40" s="32"/>
      <c r="H40" s="32" t="s">
        <v>92</v>
      </c>
      <c r="I40" s="190" t="str">
        <f t="shared" si="0"/>
        <v>De Castro, Marlon</v>
      </c>
      <c r="J40" s="32" t="s">
        <v>881</v>
      </c>
      <c r="K40" s="32" t="s">
        <v>1894</v>
      </c>
      <c r="L40" s="33" t="s">
        <v>222</v>
      </c>
      <c r="M40" s="32" t="s">
        <v>1642</v>
      </c>
      <c r="N40" s="32" t="s">
        <v>883</v>
      </c>
      <c r="O40" s="32" t="s">
        <v>884</v>
      </c>
      <c r="P40" s="32" t="s">
        <v>123</v>
      </c>
      <c r="Q40" s="32" t="s">
        <v>1895</v>
      </c>
      <c r="R40" s="32"/>
      <c r="S40" s="31">
        <v>29889</v>
      </c>
      <c r="T40" s="88">
        <f ca="1" t="shared" si="1"/>
        <v>44</v>
      </c>
      <c r="U40" s="27" t="s">
        <v>1896</v>
      </c>
      <c r="V40" s="27" t="s">
        <v>1897</v>
      </c>
      <c r="W40" s="27" t="s">
        <v>1898</v>
      </c>
      <c r="X40" s="33" t="s">
        <v>51</v>
      </c>
      <c r="Y40" s="30">
        <v>35328</v>
      </c>
      <c r="Z40" s="33" t="s">
        <v>51</v>
      </c>
      <c r="AA40" s="30">
        <v>35426</v>
      </c>
      <c r="AB40" s="27" t="s">
        <v>1899</v>
      </c>
      <c r="AC40" s="27" t="s">
        <v>68</v>
      </c>
      <c r="AD40" s="27" t="s">
        <v>1900</v>
      </c>
      <c r="AE40" s="27" t="s">
        <v>1901</v>
      </c>
      <c r="AF40" s="27" t="s">
        <v>172</v>
      </c>
      <c r="AG40" s="27" t="s">
        <v>249</v>
      </c>
      <c r="AH40" s="27" t="s">
        <v>1902</v>
      </c>
      <c r="AI40" s="27" t="s">
        <v>1903</v>
      </c>
      <c r="AJ40" s="27" t="s">
        <v>1904</v>
      </c>
      <c r="AK40" s="27" t="s">
        <v>1900</v>
      </c>
      <c r="AL40" s="27" t="s">
        <v>51</v>
      </c>
      <c r="AM40" s="27" t="s">
        <v>51</v>
      </c>
      <c r="AN40" s="27" t="s">
        <v>1904</v>
      </c>
      <c r="AO40" s="27" t="s">
        <v>625</v>
      </c>
      <c r="AP40" s="27" t="s">
        <v>77</v>
      </c>
      <c r="AQ40" s="27" t="s">
        <v>1905</v>
      </c>
    </row>
    <row r="41" ht="15.75" customHeight="1" spans="1:43">
      <c r="A41" s="29"/>
      <c r="B41" s="29"/>
      <c r="C41" s="29"/>
      <c r="D41" s="32" t="s">
        <v>79</v>
      </c>
      <c r="E41" s="32"/>
      <c r="F41" s="32" t="s">
        <v>1640</v>
      </c>
      <c r="G41" s="32"/>
      <c r="H41" s="32" t="s">
        <v>81</v>
      </c>
      <c r="I41" s="27" t="str">
        <f t="shared" si="0"/>
        <v>De Guzman, Randy</v>
      </c>
      <c r="J41" s="32" t="s">
        <v>886</v>
      </c>
      <c r="K41" s="32" t="s">
        <v>1906</v>
      </c>
      <c r="L41" s="33" t="s">
        <v>422</v>
      </c>
      <c r="M41" s="32" t="s">
        <v>1642</v>
      </c>
      <c r="N41" s="32" t="s">
        <v>1907</v>
      </c>
      <c r="O41" s="32" t="s">
        <v>298</v>
      </c>
      <c r="P41" s="32"/>
      <c r="Q41" s="32"/>
      <c r="R41" s="27" t="s">
        <v>1908</v>
      </c>
      <c r="S41" s="31">
        <v>26213</v>
      </c>
      <c r="T41" s="88">
        <f ca="1" t="shared" si="1"/>
        <v>55</v>
      </c>
      <c r="U41" s="27"/>
      <c r="V41" s="27"/>
      <c r="W41" s="27"/>
      <c r="X41" s="33"/>
      <c r="Y41" s="30"/>
      <c r="Z41" s="33"/>
      <c r="AA41" s="30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</row>
    <row r="42" ht="15.75" customHeight="1" spans="1:43">
      <c r="A42" s="29"/>
      <c r="B42" s="29"/>
      <c r="C42" s="29"/>
      <c r="D42" s="32" t="s">
        <v>51</v>
      </c>
      <c r="E42" s="32"/>
      <c r="F42" s="32" t="s">
        <v>1719</v>
      </c>
      <c r="G42" s="32"/>
      <c r="H42" s="32" t="s">
        <v>81</v>
      </c>
      <c r="I42" s="27" t="str">
        <f t="shared" si="0"/>
        <v>De Vera, Jaime Jr</v>
      </c>
      <c r="J42" s="32" t="s">
        <v>1909</v>
      </c>
      <c r="K42" s="32" t="s">
        <v>1910</v>
      </c>
      <c r="L42" s="33"/>
      <c r="M42" s="32" t="s">
        <v>1642</v>
      </c>
      <c r="N42" s="32">
        <v>9</v>
      </c>
      <c r="O42" s="32" t="s">
        <v>895</v>
      </c>
      <c r="P42" s="32" t="s">
        <v>1554</v>
      </c>
      <c r="Q42" s="32" t="s">
        <v>1911</v>
      </c>
      <c r="R42" s="32" t="s">
        <v>1912</v>
      </c>
      <c r="S42" s="31">
        <v>30990</v>
      </c>
      <c r="T42" s="88">
        <f ca="1" t="shared" si="1"/>
        <v>41</v>
      </c>
      <c r="U42" s="27" t="s">
        <v>1554</v>
      </c>
      <c r="V42" s="27" t="s">
        <v>1913</v>
      </c>
      <c r="W42" s="27" t="s">
        <v>1914</v>
      </c>
      <c r="X42" s="33" t="s">
        <v>51</v>
      </c>
      <c r="Y42" s="30"/>
      <c r="Z42" s="33"/>
      <c r="AA42" s="30"/>
      <c r="AB42" s="27"/>
      <c r="AC42" s="27" t="s">
        <v>1850</v>
      </c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</row>
    <row r="43" ht="15.75" customHeight="1" spans="1:43">
      <c r="A43" s="29"/>
      <c r="B43" s="29"/>
      <c r="C43" s="29"/>
      <c r="D43" s="32" t="s">
        <v>79</v>
      </c>
      <c r="E43" s="32"/>
      <c r="F43" s="32" t="s">
        <v>1664</v>
      </c>
      <c r="G43" s="32"/>
      <c r="H43" s="32" t="s">
        <v>81</v>
      </c>
      <c r="I43" s="27" t="str">
        <f t="shared" si="0"/>
        <v>Devera, Junar</v>
      </c>
      <c r="J43" s="32" t="s">
        <v>1915</v>
      </c>
      <c r="K43" s="32" t="s">
        <v>1916</v>
      </c>
      <c r="L43" s="33"/>
      <c r="M43" s="32" t="s">
        <v>1642</v>
      </c>
      <c r="N43" s="32"/>
      <c r="O43" s="32"/>
      <c r="P43" s="32"/>
      <c r="Q43" s="32"/>
      <c r="R43" s="32"/>
      <c r="S43" s="31"/>
      <c r="T43" s="88" t="str">
        <f ca="1" t="shared" si="1"/>
        <v/>
      </c>
      <c r="U43" s="27"/>
      <c r="V43" s="27"/>
      <c r="W43" s="27"/>
      <c r="X43" s="33"/>
      <c r="Y43" s="30"/>
      <c r="Z43" s="33"/>
      <c r="AA43" s="30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</row>
    <row r="44" ht="15.75" customHeight="1" spans="1:43">
      <c r="A44" s="29"/>
      <c r="B44" s="29"/>
      <c r="C44" s="29"/>
      <c r="D44" s="87" t="s">
        <v>51</v>
      </c>
      <c r="E44" s="32"/>
      <c r="F44" s="32"/>
      <c r="G44" s="32"/>
      <c r="H44" s="32"/>
      <c r="I44" s="27" t="str">
        <f t="shared" si="0"/>
        <v>Eraldo, Federico Jr</v>
      </c>
      <c r="J44" s="87" t="s">
        <v>1917</v>
      </c>
      <c r="K44" s="87" t="s">
        <v>1918</v>
      </c>
      <c r="L44" s="94" t="s">
        <v>818</v>
      </c>
      <c r="M44" s="32"/>
      <c r="N44" s="87" t="s">
        <v>1919</v>
      </c>
      <c r="O44" s="87" t="s">
        <v>1016</v>
      </c>
      <c r="P44" s="87" t="s">
        <v>1920</v>
      </c>
      <c r="Q44" s="87" t="s">
        <v>1921</v>
      </c>
      <c r="R44" s="32"/>
      <c r="S44" s="207">
        <v>23228</v>
      </c>
      <c r="T44" s="88">
        <f ca="1" t="shared" si="1"/>
        <v>63</v>
      </c>
      <c r="U44" s="87" t="s">
        <v>259</v>
      </c>
      <c r="V44" s="178" t="s">
        <v>1922</v>
      </c>
      <c r="W44" s="178" t="s">
        <v>1923</v>
      </c>
      <c r="X44" s="94" t="s">
        <v>51</v>
      </c>
      <c r="Y44" s="208">
        <v>30300</v>
      </c>
      <c r="Z44" s="94" t="s">
        <v>51</v>
      </c>
      <c r="AA44" s="208">
        <v>36353</v>
      </c>
      <c r="AB44" s="27"/>
      <c r="AC44" s="178" t="s">
        <v>1924</v>
      </c>
      <c r="AD44" s="178" t="s">
        <v>1925</v>
      </c>
      <c r="AE44" s="27"/>
      <c r="AF44" s="27"/>
      <c r="AG44" s="27" t="s">
        <v>268</v>
      </c>
      <c r="AH44" s="27" t="s">
        <v>269</v>
      </c>
      <c r="AI44" s="178" t="s">
        <v>1926</v>
      </c>
      <c r="AJ44" s="178" t="s">
        <v>1927</v>
      </c>
      <c r="AK44" s="178" t="s">
        <v>1806</v>
      </c>
      <c r="AL44" s="178" t="s">
        <v>51</v>
      </c>
      <c r="AM44" s="178" t="s">
        <v>51</v>
      </c>
      <c r="AN44" s="178" t="s">
        <v>1928</v>
      </c>
      <c r="AO44" s="27" t="s">
        <v>625</v>
      </c>
      <c r="AP44" s="178" t="s">
        <v>1929</v>
      </c>
      <c r="AQ44" s="178" t="s">
        <v>1930</v>
      </c>
    </row>
    <row r="45" ht="15.75" customHeight="1" spans="1:43">
      <c r="A45" s="29"/>
      <c r="B45" s="29"/>
      <c r="C45" s="29"/>
      <c r="D45" s="32" t="s">
        <v>51</v>
      </c>
      <c r="E45" s="32"/>
      <c r="F45" s="32"/>
      <c r="G45" s="32"/>
      <c r="H45" s="32" t="s">
        <v>81</v>
      </c>
      <c r="I45" s="27" t="str">
        <f t="shared" si="0"/>
        <v>Esteban, Clint</v>
      </c>
      <c r="J45" s="32" t="s">
        <v>951</v>
      </c>
      <c r="K45" s="32" t="s">
        <v>1931</v>
      </c>
      <c r="L45" s="33"/>
      <c r="M45" s="32" t="s">
        <v>1642</v>
      </c>
      <c r="N45" s="32" t="s">
        <v>1932</v>
      </c>
      <c r="O45" s="32" t="s">
        <v>1211</v>
      </c>
      <c r="P45" s="27" t="s">
        <v>1933</v>
      </c>
      <c r="Q45" s="32" t="s">
        <v>1934</v>
      </c>
      <c r="R45" s="32" t="s">
        <v>1935</v>
      </c>
      <c r="S45" s="31">
        <v>32902</v>
      </c>
      <c r="T45" s="88">
        <f ca="1" t="shared" si="1"/>
        <v>36</v>
      </c>
      <c r="U45" s="27" t="s">
        <v>1933</v>
      </c>
      <c r="V45" s="27" t="s">
        <v>1936</v>
      </c>
      <c r="W45" s="27" t="s">
        <v>1937</v>
      </c>
      <c r="X45" s="33" t="s">
        <v>51</v>
      </c>
      <c r="Y45" s="30">
        <v>37759</v>
      </c>
      <c r="Z45" s="33" t="s">
        <v>51</v>
      </c>
      <c r="AA45" s="30">
        <v>35221</v>
      </c>
      <c r="AB45" s="27"/>
      <c r="AC45" s="27" t="s">
        <v>1938</v>
      </c>
      <c r="AD45" s="27"/>
      <c r="AE45" s="27"/>
      <c r="AF45" s="27"/>
      <c r="AG45" s="27"/>
      <c r="AH45" s="27" t="s">
        <v>269</v>
      </c>
      <c r="AI45" s="27"/>
      <c r="AJ45" s="27" t="s">
        <v>1939</v>
      </c>
      <c r="AK45" s="27" t="s">
        <v>1940</v>
      </c>
      <c r="AL45" s="27" t="s">
        <v>51</v>
      </c>
      <c r="AM45" s="27" t="s">
        <v>51</v>
      </c>
      <c r="AN45" s="27" t="s">
        <v>1939</v>
      </c>
      <c r="AO45" s="27" t="s">
        <v>625</v>
      </c>
      <c r="AP45" s="27" t="s">
        <v>77</v>
      </c>
      <c r="AQ45" s="27" t="s">
        <v>1941</v>
      </c>
    </row>
    <row r="46" ht="15.75" customHeight="1" spans="1:43">
      <c r="A46" s="29"/>
      <c r="B46" s="29"/>
      <c r="C46" s="29"/>
      <c r="D46" s="32" t="s">
        <v>79</v>
      </c>
      <c r="E46" s="32"/>
      <c r="F46" s="32"/>
      <c r="G46" s="32"/>
      <c r="H46" s="32" t="s">
        <v>81</v>
      </c>
      <c r="I46" s="27" t="str">
        <f t="shared" si="0"/>
        <v>Estipular, Oscar Sr</v>
      </c>
      <c r="J46" s="32" t="s">
        <v>954</v>
      </c>
      <c r="K46" s="32" t="s">
        <v>1942</v>
      </c>
      <c r="L46" s="33"/>
      <c r="M46" s="32" t="s">
        <v>1642</v>
      </c>
      <c r="N46" s="32" t="s">
        <v>1943</v>
      </c>
      <c r="O46" s="32" t="s">
        <v>957</v>
      </c>
      <c r="P46" s="32" t="s">
        <v>1944</v>
      </c>
      <c r="Q46" s="32" t="s">
        <v>1945</v>
      </c>
      <c r="R46" s="32"/>
      <c r="S46" s="31">
        <v>20052</v>
      </c>
      <c r="T46" s="88">
        <f ca="1" t="shared" si="1"/>
        <v>71</v>
      </c>
      <c r="U46" s="32" t="s">
        <v>1944</v>
      </c>
      <c r="V46" s="27" t="s">
        <v>1946</v>
      </c>
      <c r="W46" s="27" t="s">
        <v>1947</v>
      </c>
      <c r="X46" s="33"/>
      <c r="Y46" s="30"/>
      <c r="Z46" s="33"/>
      <c r="AA46" s="30"/>
      <c r="AB46" s="27" t="s">
        <v>121</v>
      </c>
      <c r="AC46" s="27" t="s">
        <v>1850</v>
      </c>
      <c r="AD46" s="27" t="s">
        <v>1440</v>
      </c>
      <c r="AE46" s="27"/>
      <c r="AF46" s="27"/>
      <c r="AG46" s="27"/>
      <c r="AH46" s="27" t="s">
        <v>1948</v>
      </c>
      <c r="AI46" s="27" t="s">
        <v>154</v>
      </c>
      <c r="AJ46" s="27" t="s">
        <v>1949</v>
      </c>
      <c r="AK46" s="27" t="s">
        <v>1793</v>
      </c>
      <c r="AL46" s="27" t="s">
        <v>51</v>
      </c>
      <c r="AM46" s="27" t="s">
        <v>51</v>
      </c>
      <c r="AN46" s="27" t="s">
        <v>1949</v>
      </c>
      <c r="AO46" s="27" t="s">
        <v>625</v>
      </c>
      <c r="AP46" s="27" t="s">
        <v>77</v>
      </c>
      <c r="AQ46" s="27" t="s">
        <v>959</v>
      </c>
    </row>
    <row r="47" ht="15.75" customHeight="1" spans="1:43">
      <c r="A47" s="29"/>
      <c r="B47" s="29"/>
      <c r="C47" s="29"/>
      <c r="D47" s="32" t="s">
        <v>79</v>
      </c>
      <c r="E47" s="32"/>
      <c r="F47" s="32" t="s">
        <v>1651</v>
      </c>
      <c r="G47" s="32"/>
      <c r="H47" s="32" t="s">
        <v>81</v>
      </c>
      <c r="I47" s="27" t="str">
        <f t="shared" si="0"/>
        <v>Garcia, Manuel</v>
      </c>
      <c r="J47" s="32" t="s">
        <v>1950</v>
      </c>
      <c r="K47" s="32" t="s">
        <v>1951</v>
      </c>
      <c r="L47" s="33"/>
      <c r="M47" s="32" t="s">
        <v>1642</v>
      </c>
      <c r="N47" s="32" t="s">
        <v>1952</v>
      </c>
      <c r="O47" s="32" t="s">
        <v>617</v>
      </c>
      <c r="P47" s="32" t="s">
        <v>1554</v>
      </c>
      <c r="Q47" s="32" t="s">
        <v>1953</v>
      </c>
      <c r="R47" s="32"/>
      <c r="S47" s="31">
        <v>29680</v>
      </c>
      <c r="T47" s="88">
        <f ca="1" t="shared" si="1"/>
        <v>45</v>
      </c>
      <c r="U47" s="27" t="s">
        <v>1954</v>
      </c>
      <c r="V47" s="27"/>
      <c r="W47" s="27"/>
      <c r="X47" s="33"/>
      <c r="Y47" s="30"/>
      <c r="Z47" s="33"/>
      <c r="AA47" s="30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</row>
    <row r="48" ht="15.75" customHeight="1" spans="1:43">
      <c r="A48" s="29"/>
      <c r="B48" s="29"/>
      <c r="C48" s="29"/>
      <c r="D48" s="32" t="s">
        <v>51</v>
      </c>
      <c r="E48" s="32"/>
      <c r="F48" s="32" t="s">
        <v>1664</v>
      </c>
      <c r="G48" s="32"/>
      <c r="H48" s="32" t="s">
        <v>81</v>
      </c>
      <c r="I48" s="27" t="str">
        <f t="shared" si="0"/>
        <v>Ibañez, Ramel</v>
      </c>
      <c r="J48" s="32" t="s">
        <v>991</v>
      </c>
      <c r="K48" s="32" t="s">
        <v>1955</v>
      </c>
      <c r="L48" s="33" t="s">
        <v>538</v>
      </c>
      <c r="M48" s="32" t="s">
        <v>1642</v>
      </c>
      <c r="N48" s="32" t="s">
        <v>993</v>
      </c>
      <c r="O48" s="32" t="s">
        <v>994</v>
      </c>
      <c r="P48" s="32"/>
      <c r="Q48" s="32" t="s">
        <v>1956</v>
      </c>
      <c r="R48" s="32" t="s">
        <v>1957</v>
      </c>
      <c r="S48" s="31">
        <v>32114</v>
      </c>
      <c r="T48" s="88">
        <f ca="1" t="shared" si="1"/>
        <v>38</v>
      </c>
      <c r="U48" s="27" t="s">
        <v>1958</v>
      </c>
      <c r="V48" s="27" t="s">
        <v>1959</v>
      </c>
      <c r="W48" s="27" t="s">
        <v>1960</v>
      </c>
      <c r="X48" s="33" t="s">
        <v>51</v>
      </c>
      <c r="Y48" s="30" t="s">
        <v>543</v>
      </c>
      <c r="Z48" s="33" t="s">
        <v>51</v>
      </c>
      <c r="AA48" s="30" t="s">
        <v>1961</v>
      </c>
      <c r="AB48" s="27"/>
      <c r="AC48" s="27" t="s">
        <v>1850</v>
      </c>
      <c r="AD48" s="27"/>
      <c r="AE48" s="27" t="s">
        <v>1962</v>
      </c>
      <c r="AF48" s="27" t="s">
        <v>1963</v>
      </c>
      <c r="AG48" s="27" t="s">
        <v>1964</v>
      </c>
      <c r="AH48" s="27" t="s">
        <v>1693</v>
      </c>
      <c r="AI48" s="27"/>
      <c r="AJ48" s="32" t="s">
        <v>1965</v>
      </c>
      <c r="AK48" s="27" t="s">
        <v>74</v>
      </c>
      <c r="AL48" s="27" t="s">
        <v>51</v>
      </c>
      <c r="AM48" s="27" t="s">
        <v>51</v>
      </c>
      <c r="AN48" s="32" t="s">
        <v>1965</v>
      </c>
      <c r="AO48" s="27" t="s">
        <v>625</v>
      </c>
      <c r="AP48" s="27" t="s">
        <v>77</v>
      </c>
      <c r="AQ48" s="27" t="s">
        <v>995</v>
      </c>
    </row>
    <row r="49" ht="15.75" customHeight="1" spans="1:43">
      <c r="A49" s="29"/>
      <c r="B49" s="29"/>
      <c r="C49" s="29"/>
      <c r="D49" s="32" t="s">
        <v>79</v>
      </c>
      <c r="E49" s="32"/>
      <c r="F49" s="32" t="s">
        <v>1648</v>
      </c>
      <c r="G49" s="32"/>
      <c r="H49" s="32" t="s">
        <v>81</v>
      </c>
      <c r="I49" s="27" t="str">
        <f t="shared" si="0"/>
        <v>Joaquin, Domingo</v>
      </c>
      <c r="J49" s="32" t="s">
        <v>1010</v>
      </c>
      <c r="K49" s="32" t="s">
        <v>1966</v>
      </c>
      <c r="L49" s="33" t="s">
        <v>440</v>
      </c>
      <c r="M49" s="32" t="s">
        <v>1642</v>
      </c>
      <c r="N49" s="32" t="s">
        <v>1967</v>
      </c>
      <c r="O49" s="32" t="s">
        <v>281</v>
      </c>
      <c r="P49" s="32"/>
      <c r="Q49" s="32" t="s">
        <v>1968</v>
      </c>
      <c r="R49" s="32"/>
      <c r="S49" s="31">
        <v>18208</v>
      </c>
      <c r="T49" s="88">
        <f ca="1" t="shared" si="1"/>
        <v>76</v>
      </c>
      <c r="U49" s="27"/>
      <c r="V49" s="27"/>
      <c r="W49" s="27"/>
      <c r="X49" s="33"/>
      <c r="Y49" s="30"/>
      <c r="Z49" s="33"/>
      <c r="AA49" s="30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</row>
    <row r="50" ht="15.75" customHeight="1" spans="1:43">
      <c r="A50" s="29"/>
      <c r="B50" s="29"/>
      <c r="C50" s="29"/>
      <c r="D50" s="32" t="s">
        <v>51</v>
      </c>
      <c r="E50" s="32"/>
      <c r="F50" s="32" t="s">
        <v>1648</v>
      </c>
      <c r="G50" s="32"/>
      <c r="H50" s="32" t="s">
        <v>81</v>
      </c>
      <c r="I50" s="27" t="str">
        <f t="shared" si="0"/>
        <v>Kebasen, Boni</v>
      </c>
      <c r="J50" s="32" t="s">
        <v>1013</v>
      </c>
      <c r="K50" s="32" t="s">
        <v>1969</v>
      </c>
      <c r="L50" s="33"/>
      <c r="M50" s="32" t="s">
        <v>1642</v>
      </c>
      <c r="N50" s="32" t="s">
        <v>1015</v>
      </c>
      <c r="O50" s="32" t="s">
        <v>1016</v>
      </c>
      <c r="P50" s="32"/>
      <c r="Q50" s="32" t="s">
        <v>1970</v>
      </c>
      <c r="R50" s="32" t="s">
        <v>1971</v>
      </c>
      <c r="S50" s="31">
        <v>19356</v>
      </c>
      <c r="T50" s="88">
        <f ca="1" t="shared" si="1"/>
        <v>73</v>
      </c>
      <c r="U50" s="27" t="s">
        <v>1774</v>
      </c>
      <c r="V50" s="27" t="s">
        <v>1972</v>
      </c>
      <c r="W50" s="27" t="s">
        <v>1973</v>
      </c>
      <c r="X50" s="33" t="s">
        <v>51</v>
      </c>
      <c r="Y50" s="30" t="s">
        <v>1974</v>
      </c>
      <c r="Z50" s="33" t="s">
        <v>51</v>
      </c>
      <c r="AA50" s="30" t="s">
        <v>1974</v>
      </c>
      <c r="AB50" s="27"/>
      <c r="AC50" s="27" t="s">
        <v>188</v>
      </c>
      <c r="AD50" s="27" t="s">
        <v>1440</v>
      </c>
      <c r="AE50" s="27"/>
      <c r="AF50" s="27" t="s">
        <v>190</v>
      </c>
      <c r="AG50" s="27" t="s">
        <v>190</v>
      </c>
      <c r="AH50" s="27"/>
      <c r="AI50" s="27"/>
      <c r="AJ50" s="27" t="s">
        <v>1975</v>
      </c>
      <c r="AK50" s="27" t="s">
        <v>1793</v>
      </c>
      <c r="AL50" s="27" t="s">
        <v>51</v>
      </c>
      <c r="AM50" s="27" t="s">
        <v>51</v>
      </c>
      <c r="AN50" s="27" t="s">
        <v>1975</v>
      </c>
      <c r="AO50" s="27" t="s">
        <v>625</v>
      </c>
      <c r="AP50" s="27" t="s">
        <v>77</v>
      </c>
      <c r="AQ50" s="27"/>
    </row>
    <row r="51" ht="15.75" customHeight="1" spans="1:43">
      <c r="A51" s="29"/>
      <c r="B51" s="29"/>
      <c r="C51" s="29"/>
      <c r="D51" s="32" t="s">
        <v>51</v>
      </c>
      <c r="E51" s="32"/>
      <c r="F51" s="32" t="s">
        <v>1682</v>
      </c>
      <c r="G51" s="32"/>
      <c r="H51" s="32" t="s">
        <v>81</v>
      </c>
      <c r="I51" s="27" t="str">
        <f t="shared" si="0"/>
        <v>Kiwil, Dampo</v>
      </c>
      <c r="J51" s="32" t="s">
        <v>1976</v>
      </c>
      <c r="K51" s="32" t="s">
        <v>1977</v>
      </c>
      <c r="L51" s="33"/>
      <c r="M51" s="32" t="s">
        <v>1642</v>
      </c>
      <c r="N51" s="32"/>
      <c r="O51" s="32" t="s">
        <v>1390</v>
      </c>
      <c r="P51" s="32" t="s">
        <v>1390</v>
      </c>
      <c r="Q51" s="32" t="s">
        <v>1978</v>
      </c>
      <c r="R51" s="32"/>
      <c r="S51" s="31"/>
      <c r="T51" s="88" t="str">
        <f ca="1" t="shared" si="1"/>
        <v/>
      </c>
      <c r="U51" s="27"/>
      <c r="V51" s="27"/>
      <c r="W51" s="27"/>
      <c r="X51" s="33" t="s">
        <v>51</v>
      </c>
      <c r="Y51" s="30"/>
      <c r="Z51" s="33"/>
      <c r="AA51" s="30"/>
      <c r="AB51" s="27" t="s">
        <v>1979</v>
      </c>
      <c r="AC51" s="27"/>
      <c r="AD51" s="27" t="s">
        <v>376</v>
      </c>
      <c r="AE51" s="27"/>
      <c r="AF51" s="27"/>
      <c r="AG51" s="27"/>
      <c r="AH51" s="27"/>
      <c r="AI51" s="27"/>
      <c r="AJ51" s="27" t="s">
        <v>1980</v>
      </c>
      <c r="AK51" s="27"/>
      <c r="AL51" s="27"/>
      <c r="AM51" s="27"/>
      <c r="AN51" s="27"/>
      <c r="AO51" s="27"/>
      <c r="AP51" s="27"/>
      <c r="AQ51" s="27"/>
    </row>
    <row r="52" ht="15.75" customHeight="1" spans="1:43">
      <c r="A52" s="29"/>
      <c r="B52" s="29"/>
      <c r="C52" s="29"/>
      <c r="D52" s="32" t="s">
        <v>51</v>
      </c>
      <c r="E52" s="32"/>
      <c r="F52" s="32" t="s">
        <v>1640</v>
      </c>
      <c r="G52" s="32"/>
      <c r="H52" s="32" t="s">
        <v>81</v>
      </c>
      <c r="I52" s="27" t="str">
        <f t="shared" si="0"/>
        <v>Kiwil, Jonie</v>
      </c>
      <c r="J52" s="32" t="s">
        <v>1976</v>
      </c>
      <c r="K52" s="32" t="s">
        <v>1981</v>
      </c>
      <c r="L52" s="33"/>
      <c r="M52" s="32" t="s">
        <v>1642</v>
      </c>
      <c r="N52" s="32"/>
      <c r="O52" s="32" t="s">
        <v>1390</v>
      </c>
      <c r="P52" s="32" t="s">
        <v>1390</v>
      </c>
      <c r="Q52" s="32" t="s">
        <v>1982</v>
      </c>
      <c r="R52" s="32"/>
      <c r="S52" s="31">
        <v>30309</v>
      </c>
      <c r="T52" s="88">
        <f ca="1" t="shared" si="1"/>
        <v>43</v>
      </c>
      <c r="U52" s="27" t="s">
        <v>1390</v>
      </c>
      <c r="V52" s="27" t="s">
        <v>1983</v>
      </c>
      <c r="W52" s="27" t="s">
        <v>1980</v>
      </c>
      <c r="X52" s="33" t="s">
        <v>51</v>
      </c>
      <c r="Y52" s="30"/>
      <c r="Z52" s="33" t="s">
        <v>51</v>
      </c>
      <c r="AA52" s="30">
        <v>45431</v>
      </c>
      <c r="AB52" s="27" t="s">
        <v>1979</v>
      </c>
      <c r="AC52" s="27"/>
      <c r="AD52" s="27" t="s">
        <v>376</v>
      </c>
      <c r="AE52" s="27"/>
      <c r="AF52" s="27"/>
      <c r="AG52" s="27"/>
      <c r="AH52" s="27"/>
      <c r="AI52" s="27"/>
      <c r="AJ52" s="27" t="s">
        <v>1984</v>
      </c>
      <c r="AK52" s="27"/>
      <c r="AL52" s="27"/>
      <c r="AM52" s="27"/>
      <c r="AN52" s="27" t="s">
        <v>1984</v>
      </c>
      <c r="AO52" s="27"/>
      <c r="AP52" s="27" t="s">
        <v>77</v>
      </c>
      <c r="AQ52" s="27"/>
    </row>
    <row r="53" ht="15.75" customHeight="1" spans="1:43">
      <c r="A53" s="29"/>
      <c r="B53" s="29"/>
      <c r="C53" s="29"/>
      <c r="D53" s="32" t="s">
        <v>79</v>
      </c>
      <c r="E53" s="32"/>
      <c r="F53" s="32" t="s">
        <v>1648</v>
      </c>
      <c r="G53" s="32"/>
      <c r="H53" s="32" t="s">
        <v>126</v>
      </c>
      <c r="I53" s="27" t="str">
        <f t="shared" si="0"/>
        <v>Langgoy, Marvin</v>
      </c>
      <c r="J53" s="32" t="s">
        <v>1029</v>
      </c>
      <c r="K53" s="32" t="s">
        <v>1985</v>
      </c>
      <c r="L53" s="33" t="s">
        <v>161</v>
      </c>
      <c r="M53" s="32" t="s">
        <v>1642</v>
      </c>
      <c r="N53" s="32" t="s">
        <v>1986</v>
      </c>
      <c r="O53" s="32" t="s">
        <v>1031</v>
      </c>
      <c r="P53" s="32"/>
      <c r="Q53" s="32" t="s">
        <v>1987</v>
      </c>
      <c r="R53" s="32"/>
      <c r="S53" s="31">
        <v>28286</v>
      </c>
      <c r="T53" s="88">
        <f ca="1" t="shared" si="1"/>
        <v>49</v>
      </c>
      <c r="U53" s="27"/>
      <c r="V53" s="27"/>
      <c r="W53" s="27"/>
      <c r="X53" s="33"/>
      <c r="Y53" s="30"/>
      <c r="Z53" s="33"/>
      <c r="AA53" s="30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</row>
    <row r="54" ht="15.75" customHeight="1" spans="1:43">
      <c r="A54" s="29"/>
      <c r="B54" s="29"/>
      <c r="C54" s="29"/>
      <c r="D54" s="87" t="s">
        <v>51</v>
      </c>
      <c r="E54" s="32"/>
      <c r="F54" s="32"/>
      <c r="G54" s="32"/>
      <c r="H54" s="87" t="s">
        <v>81</v>
      </c>
      <c r="I54" s="27" t="str">
        <f t="shared" si="0"/>
        <v>Laresma, Nestor Jr</v>
      </c>
      <c r="J54" s="87" t="s">
        <v>1039</v>
      </c>
      <c r="K54" s="87" t="s">
        <v>1988</v>
      </c>
      <c r="L54" s="94" t="s">
        <v>554</v>
      </c>
      <c r="M54" s="32"/>
      <c r="N54" s="87" t="s">
        <v>1042</v>
      </c>
      <c r="O54" s="87" t="s">
        <v>224</v>
      </c>
      <c r="P54" s="87"/>
      <c r="Q54" s="87" t="s">
        <v>1052</v>
      </c>
      <c r="R54" s="87" t="s">
        <v>1989</v>
      </c>
      <c r="S54" s="207">
        <v>32758</v>
      </c>
      <c r="T54" s="88">
        <f ca="1" t="shared" si="1"/>
        <v>37</v>
      </c>
      <c r="U54" s="178" t="s">
        <v>1990</v>
      </c>
      <c r="V54" s="178" t="s">
        <v>1991</v>
      </c>
      <c r="W54" s="178" t="s">
        <v>1992</v>
      </c>
      <c r="X54" s="94" t="s">
        <v>51</v>
      </c>
      <c r="Y54" s="208">
        <v>42295</v>
      </c>
      <c r="Z54" s="94" t="s">
        <v>51</v>
      </c>
      <c r="AA54" s="208">
        <v>43059</v>
      </c>
      <c r="AB54" s="178" t="s">
        <v>1993</v>
      </c>
      <c r="AC54" s="178" t="s">
        <v>1994</v>
      </c>
      <c r="AD54" s="178" t="s">
        <v>1995</v>
      </c>
      <c r="AE54" s="27"/>
      <c r="AF54" s="178" t="s">
        <v>1996</v>
      </c>
      <c r="AG54" s="178" t="s">
        <v>190</v>
      </c>
      <c r="AH54" s="178" t="s">
        <v>1997</v>
      </c>
      <c r="AI54" s="178" t="s">
        <v>1998</v>
      </c>
      <c r="AJ54" s="178" t="s">
        <v>1999</v>
      </c>
      <c r="AK54" s="178" t="s">
        <v>151</v>
      </c>
      <c r="AL54" s="178" t="s">
        <v>51</v>
      </c>
      <c r="AM54" s="178" t="s">
        <v>51</v>
      </c>
      <c r="AN54" s="178" t="s">
        <v>1999</v>
      </c>
      <c r="AO54" s="27" t="s">
        <v>625</v>
      </c>
      <c r="AP54" s="27" t="s">
        <v>77</v>
      </c>
      <c r="AQ54" s="178" t="s">
        <v>1043</v>
      </c>
    </row>
    <row r="55" ht="15.75" customHeight="1" spans="1:43">
      <c r="A55" s="29"/>
      <c r="B55" s="29"/>
      <c r="C55" s="29"/>
      <c r="D55" s="32" t="s">
        <v>79</v>
      </c>
      <c r="E55" s="32"/>
      <c r="F55" s="32" t="s">
        <v>1648</v>
      </c>
      <c r="G55" s="32"/>
      <c r="H55" s="32" t="s">
        <v>92</v>
      </c>
      <c r="I55" s="27" t="str">
        <f t="shared" si="0"/>
        <v>Lipaen, Rosario</v>
      </c>
      <c r="J55" s="32" t="s">
        <v>1056</v>
      </c>
      <c r="K55" s="32" t="s">
        <v>2000</v>
      </c>
      <c r="L55" s="33" t="s">
        <v>113</v>
      </c>
      <c r="M55" s="32" t="s">
        <v>1642</v>
      </c>
      <c r="N55" s="32" t="s">
        <v>2001</v>
      </c>
      <c r="O55" s="32" t="s">
        <v>1070</v>
      </c>
      <c r="P55" s="32"/>
      <c r="Q55" s="32" t="s">
        <v>1082</v>
      </c>
      <c r="R55" s="27" t="s">
        <v>2002</v>
      </c>
      <c r="S55" s="31">
        <v>25101</v>
      </c>
      <c r="T55" s="88">
        <f ca="1" t="shared" si="1"/>
        <v>58</v>
      </c>
      <c r="U55" s="27"/>
      <c r="V55" s="27"/>
      <c r="W55" s="27"/>
      <c r="X55" s="33"/>
      <c r="Y55" s="30"/>
      <c r="Z55" s="33"/>
      <c r="AA55" s="30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</row>
    <row r="56" ht="15.75" customHeight="1" spans="1:43">
      <c r="A56" s="29"/>
      <c r="B56" s="29"/>
      <c r="C56" s="29"/>
      <c r="D56" s="87" t="s">
        <v>79</v>
      </c>
      <c r="E56" s="32"/>
      <c r="F56" s="32"/>
      <c r="G56" s="32"/>
      <c r="H56" s="32"/>
      <c r="I56" s="197" t="str">
        <f t="shared" si="0"/>
        <v>Lipaen, Sonny</v>
      </c>
      <c r="J56" s="87" t="s">
        <v>1056</v>
      </c>
      <c r="K56" s="87" t="s">
        <v>2003</v>
      </c>
      <c r="L56" s="33"/>
      <c r="M56" s="32"/>
      <c r="N56" s="32"/>
      <c r="O56" s="32"/>
      <c r="P56" s="32"/>
      <c r="Q56" s="32"/>
      <c r="R56" s="32"/>
      <c r="S56" s="31"/>
      <c r="T56" s="88" t="str">
        <f ca="1" t="shared" si="1"/>
        <v/>
      </c>
      <c r="U56" s="27"/>
      <c r="V56" s="27"/>
      <c r="W56" s="27"/>
      <c r="X56" s="33"/>
      <c r="Y56" s="30"/>
      <c r="Z56" s="33"/>
      <c r="AA56" s="30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</row>
    <row r="57" ht="15.75" customHeight="1" spans="1:43">
      <c r="A57" s="29"/>
      <c r="B57" s="29"/>
      <c r="C57" s="29"/>
      <c r="D57" s="32" t="s">
        <v>79</v>
      </c>
      <c r="E57" s="32"/>
      <c r="F57" s="32" t="s">
        <v>1664</v>
      </c>
      <c r="G57" s="32"/>
      <c r="H57" s="32" t="s">
        <v>81</v>
      </c>
      <c r="I57" s="27" t="str">
        <f t="shared" si="0"/>
        <v>Liwana, Harvey</v>
      </c>
      <c r="J57" s="32" t="s">
        <v>1083</v>
      </c>
      <c r="K57" s="32" t="s">
        <v>2004</v>
      </c>
      <c r="L57" s="33" t="s">
        <v>1041</v>
      </c>
      <c r="M57" s="32" t="s">
        <v>1642</v>
      </c>
      <c r="N57" s="32" t="s">
        <v>2005</v>
      </c>
      <c r="O57" s="32" t="s">
        <v>163</v>
      </c>
      <c r="P57" s="32" t="s">
        <v>2006</v>
      </c>
      <c r="Q57" s="32" t="s">
        <v>2007</v>
      </c>
      <c r="R57" s="27" t="s">
        <v>2008</v>
      </c>
      <c r="S57" s="31">
        <v>32223</v>
      </c>
      <c r="T57" s="88">
        <f ca="1" t="shared" si="1"/>
        <v>38</v>
      </c>
      <c r="U57" s="27" t="s">
        <v>2009</v>
      </c>
      <c r="V57" s="27" t="s">
        <v>2010</v>
      </c>
      <c r="W57" s="27" t="s">
        <v>2011</v>
      </c>
      <c r="X57" s="33" t="s">
        <v>51</v>
      </c>
      <c r="Y57" s="30" t="s">
        <v>2012</v>
      </c>
      <c r="Z57" s="33"/>
      <c r="AA57" s="30"/>
      <c r="AB57" s="27" t="s">
        <v>2013</v>
      </c>
      <c r="AC57" s="27" t="s">
        <v>68</v>
      </c>
      <c r="AD57" s="27" t="s">
        <v>2014</v>
      </c>
      <c r="AE57" s="27"/>
      <c r="AF57" s="27"/>
      <c r="AG57" s="27" t="s">
        <v>268</v>
      </c>
      <c r="AH57" s="27" t="s">
        <v>2015</v>
      </c>
      <c r="AI57" s="27" t="s">
        <v>154</v>
      </c>
      <c r="AJ57" s="27"/>
      <c r="AK57" s="27"/>
      <c r="AL57" s="27"/>
      <c r="AM57" s="27"/>
      <c r="AN57" s="27"/>
      <c r="AO57" s="27"/>
      <c r="AP57" s="27"/>
      <c r="AQ57" s="27"/>
    </row>
    <row r="58" ht="15.75" customHeight="1" spans="1:43">
      <c r="A58" s="29"/>
      <c r="B58" s="29"/>
      <c r="C58" s="29"/>
      <c r="D58" s="32" t="s">
        <v>79</v>
      </c>
      <c r="E58" s="32"/>
      <c r="F58" s="32" t="s">
        <v>1677</v>
      </c>
      <c r="G58" s="32"/>
      <c r="H58" s="32" t="s">
        <v>92</v>
      </c>
      <c r="I58" s="190" t="str">
        <f t="shared" si="0"/>
        <v>Mago, Genno</v>
      </c>
      <c r="J58" s="32" t="s">
        <v>1110</v>
      </c>
      <c r="K58" s="32" t="s">
        <v>2016</v>
      </c>
      <c r="L58" s="33" t="s">
        <v>538</v>
      </c>
      <c r="M58" s="32" t="s">
        <v>1642</v>
      </c>
      <c r="N58" s="32" t="s">
        <v>1111</v>
      </c>
      <c r="O58" s="32" t="s">
        <v>1112</v>
      </c>
      <c r="P58" s="32"/>
      <c r="Q58" s="32" t="s">
        <v>1127</v>
      </c>
      <c r="R58" s="27" t="s">
        <v>2017</v>
      </c>
      <c r="S58" s="31">
        <v>24429</v>
      </c>
      <c r="T58" s="88">
        <f ca="1" t="shared" si="1"/>
        <v>59</v>
      </c>
      <c r="U58" s="27"/>
      <c r="V58" s="27"/>
      <c r="W58" s="27"/>
      <c r="X58" s="33"/>
      <c r="Y58" s="30"/>
      <c r="Z58" s="33"/>
      <c r="AA58" s="30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</row>
    <row r="59" ht="15.75" customHeight="1" spans="1:43">
      <c r="A59" s="29"/>
      <c r="B59" s="29"/>
      <c r="C59" s="29"/>
      <c r="D59" s="32" t="s">
        <v>51</v>
      </c>
      <c r="E59" s="32"/>
      <c r="F59" s="32" t="s">
        <v>1682</v>
      </c>
      <c r="G59" s="32"/>
      <c r="H59" s="32" t="s">
        <v>81</v>
      </c>
      <c r="I59" s="190" t="str">
        <f t="shared" si="0"/>
        <v>Matias, Demetrio</v>
      </c>
      <c r="J59" s="32" t="s">
        <v>1189</v>
      </c>
      <c r="K59" s="32" t="s">
        <v>2018</v>
      </c>
      <c r="L59" s="33"/>
      <c r="M59" s="32" t="s">
        <v>1642</v>
      </c>
      <c r="N59" s="32" t="s">
        <v>1192</v>
      </c>
      <c r="O59" s="32" t="s">
        <v>59</v>
      </c>
      <c r="P59" s="32"/>
      <c r="Q59" s="32" t="s">
        <v>1203</v>
      </c>
      <c r="R59" s="32"/>
      <c r="S59" s="31">
        <v>20513</v>
      </c>
      <c r="T59" s="88">
        <f ca="1" t="shared" si="1"/>
        <v>70</v>
      </c>
      <c r="U59" s="27" t="s">
        <v>2019</v>
      </c>
      <c r="V59" s="27"/>
      <c r="W59" s="27"/>
      <c r="X59" s="33" t="s">
        <v>51</v>
      </c>
      <c r="Y59" s="30" t="s">
        <v>2020</v>
      </c>
      <c r="Z59" s="33" t="s">
        <v>51</v>
      </c>
      <c r="AA59" s="30" t="s">
        <v>2021</v>
      </c>
      <c r="AB59" s="27"/>
      <c r="AC59" s="27"/>
      <c r="AD59" s="27" t="s">
        <v>1440</v>
      </c>
      <c r="AE59" s="27"/>
      <c r="AF59" s="27" t="s">
        <v>2022</v>
      </c>
      <c r="AG59" s="27" t="s">
        <v>190</v>
      </c>
      <c r="AH59" s="27"/>
      <c r="AI59" s="27"/>
      <c r="AJ59" s="27" t="s">
        <v>2023</v>
      </c>
      <c r="AK59" s="27" t="s">
        <v>1793</v>
      </c>
      <c r="AL59" s="27" t="s">
        <v>51</v>
      </c>
      <c r="AM59" s="27" t="s">
        <v>51</v>
      </c>
      <c r="AN59" s="27" t="s">
        <v>2023</v>
      </c>
      <c r="AO59" s="27"/>
      <c r="AP59" s="27" t="s">
        <v>77</v>
      </c>
      <c r="AQ59" s="27"/>
    </row>
    <row r="60" ht="15.75" customHeight="1" spans="1:43">
      <c r="A60" s="29"/>
      <c r="B60" s="29"/>
      <c r="C60" s="29"/>
      <c r="D60" s="32" t="s">
        <v>51</v>
      </c>
      <c r="E60" s="32"/>
      <c r="F60" s="32" t="s">
        <v>1651</v>
      </c>
      <c r="G60" s="32"/>
      <c r="H60" s="32" t="s">
        <v>81</v>
      </c>
      <c r="I60" s="27" t="str">
        <f t="shared" si="0"/>
        <v>Naimes, Gaston</v>
      </c>
      <c r="J60" s="32" t="s">
        <v>1246</v>
      </c>
      <c r="K60" s="32" t="s">
        <v>2024</v>
      </c>
      <c r="L60" s="33" t="s">
        <v>818</v>
      </c>
      <c r="M60" s="32" t="s">
        <v>1642</v>
      </c>
      <c r="N60" s="32" t="s">
        <v>2025</v>
      </c>
      <c r="O60" s="32" t="s">
        <v>193</v>
      </c>
      <c r="P60" s="32" t="s">
        <v>2026</v>
      </c>
      <c r="Q60" s="32" t="s">
        <v>2027</v>
      </c>
      <c r="R60" s="32" t="s">
        <v>2028</v>
      </c>
      <c r="S60" s="31">
        <v>26169</v>
      </c>
      <c r="T60" s="88">
        <f ca="1" t="shared" si="1"/>
        <v>55</v>
      </c>
      <c r="U60" s="27" t="s">
        <v>1726</v>
      </c>
      <c r="V60" s="27" t="s">
        <v>2029</v>
      </c>
      <c r="W60" s="27" t="s">
        <v>2030</v>
      </c>
      <c r="X60" s="33" t="s">
        <v>51</v>
      </c>
      <c r="Y60" s="30" t="s">
        <v>2031</v>
      </c>
      <c r="Z60" s="33" t="s">
        <v>51</v>
      </c>
      <c r="AA60" s="30" t="s">
        <v>2031</v>
      </c>
      <c r="AB60" s="27" t="s">
        <v>121</v>
      </c>
      <c r="AC60" s="27" t="s">
        <v>68</v>
      </c>
      <c r="AD60" s="27" t="s">
        <v>2032</v>
      </c>
      <c r="AE60" s="27"/>
      <c r="AF60" s="27" t="s">
        <v>2033</v>
      </c>
      <c r="AG60" s="27" t="s">
        <v>268</v>
      </c>
      <c r="AH60" s="27" t="s">
        <v>153</v>
      </c>
      <c r="AI60" s="27" t="s">
        <v>1777</v>
      </c>
      <c r="AJ60" s="27" t="s">
        <v>192</v>
      </c>
      <c r="AK60" s="27" t="s">
        <v>190</v>
      </c>
      <c r="AL60" s="27" t="s">
        <v>51</v>
      </c>
      <c r="AM60" s="27" t="s">
        <v>51</v>
      </c>
      <c r="AN60" s="27" t="s">
        <v>192</v>
      </c>
      <c r="AO60" s="27" t="s">
        <v>625</v>
      </c>
      <c r="AP60" s="27" t="s">
        <v>77</v>
      </c>
      <c r="AQ60" s="27" t="s">
        <v>195</v>
      </c>
    </row>
    <row r="61" ht="15.75" customHeight="1" spans="1:43">
      <c r="A61" s="29"/>
      <c r="B61" s="29"/>
      <c r="C61" s="29"/>
      <c r="D61" s="32" t="s">
        <v>51</v>
      </c>
      <c r="E61" s="32"/>
      <c r="F61" s="32" t="s">
        <v>1640</v>
      </c>
      <c r="G61" s="32"/>
      <c r="H61" s="32" t="s">
        <v>81</v>
      </c>
      <c r="I61" s="27" t="str">
        <f t="shared" si="0"/>
        <v>Pacsi, Randy</v>
      </c>
      <c r="J61" s="32" t="s">
        <v>1289</v>
      </c>
      <c r="K61" s="32" t="s">
        <v>1906</v>
      </c>
      <c r="L61" s="33"/>
      <c r="M61" s="32" t="s">
        <v>1642</v>
      </c>
      <c r="N61" s="32" t="s">
        <v>1291</v>
      </c>
      <c r="O61" s="32" t="s">
        <v>1292</v>
      </c>
      <c r="P61" s="32" t="s">
        <v>1554</v>
      </c>
      <c r="Q61" s="32" t="s">
        <v>1303</v>
      </c>
      <c r="R61" s="32" t="s">
        <v>2034</v>
      </c>
      <c r="S61" s="31">
        <v>27890</v>
      </c>
      <c r="T61" s="88">
        <f ca="1" t="shared" si="1"/>
        <v>50</v>
      </c>
      <c r="U61" s="27" t="s">
        <v>806</v>
      </c>
      <c r="V61" s="27"/>
      <c r="W61" s="27"/>
      <c r="X61" s="33" t="s">
        <v>51</v>
      </c>
      <c r="Y61" s="30" t="s">
        <v>2035</v>
      </c>
      <c r="Z61" s="33" t="s">
        <v>51</v>
      </c>
      <c r="AA61" s="30" t="s">
        <v>543</v>
      </c>
      <c r="AB61" s="27" t="s">
        <v>2036</v>
      </c>
      <c r="AC61" s="27" t="s">
        <v>2037</v>
      </c>
      <c r="AD61" s="27" t="s">
        <v>2038</v>
      </c>
      <c r="AE61" s="27"/>
      <c r="AF61" s="27"/>
      <c r="AG61" s="27" t="s">
        <v>2039</v>
      </c>
      <c r="AH61" s="27" t="s">
        <v>561</v>
      </c>
      <c r="AI61" s="27"/>
      <c r="AJ61" s="27" t="s">
        <v>2040</v>
      </c>
      <c r="AK61" s="27"/>
      <c r="AL61" s="27" t="s">
        <v>51</v>
      </c>
      <c r="AM61" s="27" t="s">
        <v>51</v>
      </c>
      <c r="AN61" s="27"/>
      <c r="AO61" s="27"/>
      <c r="AP61" s="27"/>
      <c r="AQ61" s="27"/>
    </row>
    <row r="62" ht="15.75" customHeight="1" spans="1:43">
      <c r="A62" s="29"/>
      <c r="B62" s="29"/>
      <c r="C62" s="29"/>
      <c r="D62" s="32" t="s">
        <v>51</v>
      </c>
      <c r="E62" s="32"/>
      <c r="F62" s="32" t="s">
        <v>1677</v>
      </c>
      <c r="G62" s="32"/>
      <c r="H62" s="32" t="s">
        <v>81</v>
      </c>
      <c r="I62" s="27" t="str">
        <f t="shared" si="0"/>
        <v>Pay-an, Joel</v>
      </c>
      <c r="J62" s="32" t="s">
        <v>1325</v>
      </c>
      <c r="K62" s="32" t="s">
        <v>2041</v>
      </c>
      <c r="L62" s="33" t="s">
        <v>2042</v>
      </c>
      <c r="M62" s="32" t="s">
        <v>1642</v>
      </c>
      <c r="N62" s="32" t="s">
        <v>2043</v>
      </c>
      <c r="O62" s="32" t="s">
        <v>163</v>
      </c>
      <c r="P62" s="32" t="s">
        <v>2044</v>
      </c>
      <c r="Q62" s="32" t="s">
        <v>2045</v>
      </c>
      <c r="R62" s="32"/>
      <c r="S62" s="31">
        <v>24677</v>
      </c>
      <c r="T62" s="88">
        <f ca="1" t="shared" si="1"/>
        <v>59</v>
      </c>
      <c r="U62" s="27" t="s">
        <v>123</v>
      </c>
      <c r="V62" s="27" t="s">
        <v>2046</v>
      </c>
      <c r="W62" s="27" t="s">
        <v>2047</v>
      </c>
      <c r="X62" s="33" t="s">
        <v>51</v>
      </c>
      <c r="Y62" s="30" t="s">
        <v>1536</v>
      </c>
      <c r="Z62" s="33" t="s">
        <v>51</v>
      </c>
      <c r="AA62" s="30"/>
      <c r="AB62" s="27" t="s">
        <v>121</v>
      </c>
      <c r="AC62" s="27" t="s">
        <v>188</v>
      </c>
      <c r="AD62" s="27"/>
      <c r="AE62" s="27"/>
      <c r="AF62" s="27"/>
      <c r="AG62" s="27"/>
      <c r="AH62" s="27"/>
      <c r="AI62" s="27"/>
      <c r="AJ62" s="27" t="s">
        <v>2048</v>
      </c>
      <c r="AK62" s="27" t="s">
        <v>1793</v>
      </c>
      <c r="AL62" s="27" t="s">
        <v>51</v>
      </c>
      <c r="AM62" s="27" t="s">
        <v>51</v>
      </c>
      <c r="AN62" s="27" t="s">
        <v>2048</v>
      </c>
      <c r="AO62" s="27" t="s">
        <v>625</v>
      </c>
      <c r="AP62" s="27" t="s">
        <v>77</v>
      </c>
      <c r="AQ62" s="27" t="s">
        <v>1327</v>
      </c>
    </row>
    <row r="63" ht="15.75" customHeight="1" spans="1:43">
      <c r="A63" s="29"/>
      <c r="B63" s="29"/>
      <c r="C63" s="29"/>
      <c r="D63" s="32" t="s">
        <v>51</v>
      </c>
      <c r="E63" s="32"/>
      <c r="F63" s="32" t="s">
        <v>1682</v>
      </c>
      <c r="G63" s="32"/>
      <c r="H63" s="32" t="s">
        <v>126</v>
      </c>
      <c r="I63" s="190" t="str">
        <f t="shared" si="0"/>
        <v>Prado, Ramon</v>
      </c>
      <c r="J63" s="32" t="s">
        <v>1333</v>
      </c>
      <c r="K63" s="32" t="s">
        <v>1763</v>
      </c>
      <c r="L63" s="33"/>
      <c r="M63" s="32" t="s">
        <v>1642</v>
      </c>
      <c r="N63" s="32" t="s">
        <v>2049</v>
      </c>
      <c r="O63" s="32" t="s">
        <v>163</v>
      </c>
      <c r="P63" s="32" t="s">
        <v>123</v>
      </c>
      <c r="Q63" s="32" t="s">
        <v>1362</v>
      </c>
      <c r="R63" s="32"/>
      <c r="S63" s="31">
        <v>21428</v>
      </c>
      <c r="T63" s="88">
        <f ca="1" t="shared" si="1"/>
        <v>68</v>
      </c>
      <c r="U63" s="27" t="s">
        <v>2050</v>
      </c>
      <c r="V63" s="27" t="s">
        <v>2051</v>
      </c>
      <c r="W63" s="27" t="s">
        <v>2052</v>
      </c>
      <c r="X63" s="33" t="s">
        <v>51</v>
      </c>
      <c r="Y63" s="30">
        <v>33779</v>
      </c>
      <c r="Z63" s="33"/>
      <c r="AA63" s="30"/>
      <c r="AB63" s="27" t="s">
        <v>121</v>
      </c>
      <c r="AC63" s="27" t="s">
        <v>2053</v>
      </c>
      <c r="AD63" s="27" t="s">
        <v>136</v>
      </c>
      <c r="AE63" s="27" t="s">
        <v>2054</v>
      </c>
      <c r="AF63" s="27" t="s">
        <v>2055</v>
      </c>
      <c r="AG63" s="27" t="s">
        <v>268</v>
      </c>
      <c r="AH63" s="27" t="s">
        <v>269</v>
      </c>
      <c r="AI63" s="27" t="s">
        <v>2056</v>
      </c>
      <c r="AJ63" s="27" t="s">
        <v>2057</v>
      </c>
      <c r="AK63" s="27" t="s">
        <v>1793</v>
      </c>
      <c r="AL63" s="27" t="s">
        <v>51</v>
      </c>
      <c r="AM63" s="27" t="s">
        <v>51</v>
      </c>
      <c r="AN63" s="27" t="s">
        <v>2057</v>
      </c>
      <c r="AO63" s="27" t="s">
        <v>625</v>
      </c>
      <c r="AP63" s="27" t="s">
        <v>77</v>
      </c>
      <c r="AQ63" s="27" t="s">
        <v>2058</v>
      </c>
    </row>
    <row r="64" ht="15.75" customHeight="1" spans="1:43">
      <c r="A64" s="29"/>
      <c r="B64" s="29"/>
      <c r="C64" s="29"/>
      <c r="D64" s="32" t="s">
        <v>51</v>
      </c>
      <c r="E64" s="32"/>
      <c r="F64" s="32"/>
      <c r="G64" s="32"/>
      <c r="H64" s="32" t="s">
        <v>81</v>
      </c>
      <c r="I64" s="27" t="str">
        <f t="shared" si="0"/>
        <v>Pulicay, Mark Angelo</v>
      </c>
      <c r="J64" s="32" t="s">
        <v>1363</v>
      </c>
      <c r="K64" s="32" t="s">
        <v>2059</v>
      </c>
      <c r="L64" s="33" t="s">
        <v>907</v>
      </c>
      <c r="M64" s="32" t="s">
        <v>1642</v>
      </c>
      <c r="N64" s="32" t="s">
        <v>1364</v>
      </c>
      <c r="O64" s="32" t="s">
        <v>224</v>
      </c>
      <c r="P64" s="32" t="s">
        <v>2060</v>
      </c>
      <c r="Q64" s="32" t="s">
        <v>1373</v>
      </c>
      <c r="R64" s="32"/>
      <c r="S64" s="31">
        <v>29502</v>
      </c>
      <c r="T64" s="88">
        <f ca="1" t="shared" si="1"/>
        <v>46</v>
      </c>
      <c r="U64" s="32" t="s">
        <v>2060</v>
      </c>
      <c r="V64" s="27" t="s">
        <v>2061</v>
      </c>
      <c r="W64" s="27" t="s">
        <v>2062</v>
      </c>
      <c r="X64" s="33" t="s">
        <v>51</v>
      </c>
      <c r="Y64" s="30"/>
      <c r="Z64" s="33" t="s">
        <v>51</v>
      </c>
      <c r="AA64" s="30"/>
      <c r="AB64" s="27" t="s">
        <v>121</v>
      </c>
      <c r="AC64" s="27" t="s">
        <v>1850</v>
      </c>
      <c r="AD64" s="27" t="s">
        <v>2063</v>
      </c>
      <c r="AE64" s="27"/>
      <c r="AF64" s="27"/>
      <c r="AG64" s="27"/>
      <c r="AH64" s="27"/>
      <c r="AI64" s="27"/>
      <c r="AJ64" s="27" t="s">
        <v>2064</v>
      </c>
      <c r="AK64" s="27" t="s">
        <v>1793</v>
      </c>
      <c r="AL64" s="27" t="s">
        <v>51</v>
      </c>
      <c r="AM64" s="27" t="s">
        <v>51</v>
      </c>
      <c r="AN64" s="27" t="s">
        <v>2064</v>
      </c>
      <c r="AO64" s="27" t="s">
        <v>625</v>
      </c>
      <c r="AP64" s="27" t="s">
        <v>77</v>
      </c>
      <c r="AQ64" s="27" t="s">
        <v>1366</v>
      </c>
    </row>
    <row r="65" ht="15.75" customHeight="1" spans="1:43">
      <c r="A65" s="29"/>
      <c r="B65" s="29"/>
      <c r="C65" s="29"/>
      <c r="D65" s="32" t="s">
        <v>51</v>
      </c>
      <c r="E65" s="32"/>
      <c r="F65" s="32" t="s">
        <v>1664</v>
      </c>
      <c r="G65" s="32"/>
      <c r="H65" s="32" t="s">
        <v>81</v>
      </c>
      <c r="I65" s="27" t="str">
        <f t="shared" si="0"/>
        <v>Quezon, Chris John</v>
      </c>
      <c r="J65" s="32" t="s">
        <v>1387</v>
      </c>
      <c r="K65" s="32" t="s">
        <v>2065</v>
      </c>
      <c r="L65" s="33"/>
      <c r="M65" s="32" t="s">
        <v>1642</v>
      </c>
      <c r="N65" s="32"/>
      <c r="O65" s="32" t="s">
        <v>1390</v>
      </c>
      <c r="P65" s="32" t="s">
        <v>1390</v>
      </c>
      <c r="Q65" s="32" t="s">
        <v>2066</v>
      </c>
      <c r="R65" s="32"/>
      <c r="S65" s="31">
        <v>34598</v>
      </c>
      <c r="T65" s="88">
        <f ca="1" t="shared" si="1"/>
        <v>32</v>
      </c>
      <c r="U65" s="27" t="s">
        <v>123</v>
      </c>
      <c r="V65" s="27" t="s">
        <v>2067</v>
      </c>
      <c r="W65" s="27" t="s">
        <v>2068</v>
      </c>
      <c r="X65" s="33" t="s">
        <v>51</v>
      </c>
      <c r="Y65" s="30">
        <v>43639</v>
      </c>
      <c r="Z65" s="33" t="s">
        <v>51</v>
      </c>
      <c r="AA65" s="30"/>
      <c r="AB65" s="27"/>
      <c r="AC65" s="27" t="s">
        <v>68</v>
      </c>
      <c r="AD65" s="27" t="s">
        <v>1398</v>
      </c>
      <c r="AE65" s="27"/>
      <c r="AF65" s="27"/>
      <c r="AG65" s="27"/>
      <c r="AH65" s="27"/>
      <c r="AI65" s="27"/>
      <c r="AJ65" s="27" t="s">
        <v>2069</v>
      </c>
      <c r="AK65" s="27" t="s">
        <v>1793</v>
      </c>
      <c r="AL65" s="27" t="s">
        <v>51</v>
      </c>
      <c r="AM65" s="27" t="s">
        <v>51</v>
      </c>
      <c r="AN65" s="27" t="s">
        <v>2068</v>
      </c>
      <c r="AO65" s="27" t="s">
        <v>1132</v>
      </c>
      <c r="AP65" s="27"/>
      <c r="AQ65" s="27"/>
    </row>
    <row r="66" ht="15.75" customHeight="1" spans="1:43">
      <c r="A66" s="29"/>
      <c r="B66" s="29"/>
      <c r="C66" s="29"/>
      <c r="D66" s="32" t="s">
        <v>51</v>
      </c>
      <c r="E66" s="32"/>
      <c r="F66" s="32"/>
      <c r="G66" s="32"/>
      <c r="H66" s="32" t="s">
        <v>81</v>
      </c>
      <c r="I66" s="27" t="str">
        <f t="shared" si="0"/>
        <v>Reyes, Manolo</v>
      </c>
      <c r="J66" s="32" t="s">
        <v>2070</v>
      </c>
      <c r="K66" s="32" t="s">
        <v>2071</v>
      </c>
      <c r="L66" s="33" t="s">
        <v>907</v>
      </c>
      <c r="M66" s="32" t="s">
        <v>1642</v>
      </c>
      <c r="N66" s="32"/>
      <c r="O66" s="32"/>
      <c r="P66" s="32" t="s">
        <v>2072</v>
      </c>
      <c r="Q66" s="32" t="s">
        <v>2073</v>
      </c>
      <c r="R66" s="32"/>
      <c r="S66" s="31">
        <v>28575</v>
      </c>
      <c r="T66" s="88">
        <f ca="1" t="shared" si="1"/>
        <v>48</v>
      </c>
      <c r="U66" s="27" t="s">
        <v>2072</v>
      </c>
      <c r="V66" s="27" t="s">
        <v>2074</v>
      </c>
      <c r="W66" s="27" t="s">
        <v>2075</v>
      </c>
      <c r="X66" s="33" t="s">
        <v>51</v>
      </c>
      <c r="Y66" s="30"/>
      <c r="Z66" s="33" t="s">
        <v>51</v>
      </c>
      <c r="AA66" s="30"/>
      <c r="AB66" s="27"/>
      <c r="AC66" s="27"/>
      <c r="AD66" s="27"/>
      <c r="AE66" s="27"/>
      <c r="AF66" s="27"/>
      <c r="AG66" s="27" t="s">
        <v>1704</v>
      </c>
      <c r="AH66" s="27" t="s">
        <v>269</v>
      </c>
      <c r="AI66" s="27" t="s">
        <v>154</v>
      </c>
      <c r="AJ66" s="27" t="s">
        <v>2076</v>
      </c>
      <c r="AK66" s="27"/>
      <c r="AL66" s="27" t="s">
        <v>51</v>
      </c>
      <c r="AM66" s="27" t="s">
        <v>157</v>
      </c>
      <c r="AN66" s="27"/>
      <c r="AO66" s="27"/>
      <c r="AP66" s="27"/>
      <c r="AQ66" s="27"/>
    </row>
    <row r="67" ht="15.75" customHeight="1" spans="1:43">
      <c r="A67" s="29"/>
      <c r="B67" s="29"/>
      <c r="C67" s="29"/>
      <c r="D67" s="32" t="s">
        <v>51</v>
      </c>
      <c r="E67" s="32"/>
      <c r="F67" s="32" t="s">
        <v>1719</v>
      </c>
      <c r="G67" s="32"/>
      <c r="H67" s="32" t="s">
        <v>81</v>
      </c>
      <c r="I67" s="27" t="str">
        <f t="shared" si="0"/>
        <v>Rivera, Jay</v>
      </c>
      <c r="J67" s="32" t="s">
        <v>1431</v>
      </c>
      <c r="K67" s="32" t="s">
        <v>2077</v>
      </c>
      <c r="L67" s="33" t="s">
        <v>1418</v>
      </c>
      <c r="M67" s="32" t="s">
        <v>1642</v>
      </c>
      <c r="N67" s="32" t="s">
        <v>327</v>
      </c>
      <c r="O67" s="32" t="s">
        <v>328</v>
      </c>
      <c r="P67" s="32" t="s">
        <v>1554</v>
      </c>
      <c r="Q67" s="32" t="s">
        <v>1009</v>
      </c>
      <c r="R67" s="32"/>
      <c r="S67" s="31">
        <v>32239</v>
      </c>
      <c r="T67" s="88">
        <f ca="1" t="shared" si="1"/>
        <v>38</v>
      </c>
      <c r="U67" s="27" t="s">
        <v>123</v>
      </c>
      <c r="V67" s="27" t="s">
        <v>2078</v>
      </c>
      <c r="W67" s="27" t="s">
        <v>2079</v>
      </c>
      <c r="X67" s="33" t="s">
        <v>51</v>
      </c>
      <c r="Y67" s="30"/>
      <c r="Z67" s="33" t="s">
        <v>51</v>
      </c>
      <c r="AA67" s="30"/>
      <c r="AB67" s="27"/>
      <c r="AC67" s="27" t="s">
        <v>1850</v>
      </c>
      <c r="AD67" s="27"/>
      <c r="AE67" s="27"/>
      <c r="AF67" s="27"/>
      <c r="AG67" s="27"/>
      <c r="AH67" s="27" t="s">
        <v>269</v>
      </c>
      <c r="AI67" s="27" t="s">
        <v>448</v>
      </c>
      <c r="AJ67" s="27" t="s">
        <v>2080</v>
      </c>
      <c r="AK67" s="27"/>
      <c r="AL67" s="27" t="s">
        <v>51</v>
      </c>
      <c r="AM67" s="27" t="s">
        <v>51</v>
      </c>
      <c r="AN67" s="27" t="s">
        <v>2080</v>
      </c>
      <c r="AO67" s="27" t="s">
        <v>625</v>
      </c>
      <c r="AP67" s="27"/>
      <c r="AQ67" s="27"/>
    </row>
    <row r="68" ht="15.75" customHeight="1" spans="1:43">
      <c r="A68" s="29"/>
      <c r="B68" s="29"/>
      <c r="C68" s="29"/>
      <c r="D68" s="32" t="s">
        <v>79</v>
      </c>
      <c r="E68" s="32"/>
      <c r="F68" s="32" t="s">
        <v>1640</v>
      </c>
      <c r="G68" s="32"/>
      <c r="H68" s="32" t="s">
        <v>81</v>
      </c>
      <c r="I68" s="27" t="str">
        <f t="shared" si="0"/>
        <v>Sawad, Arthur</v>
      </c>
      <c r="J68" s="32" t="s">
        <v>1445</v>
      </c>
      <c r="K68" s="32" t="s">
        <v>2081</v>
      </c>
      <c r="L68" s="33"/>
      <c r="M68" s="32" t="s">
        <v>1642</v>
      </c>
      <c r="N68" s="32" t="s">
        <v>2082</v>
      </c>
      <c r="O68" s="32" t="s">
        <v>163</v>
      </c>
      <c r="P68" s="32"/>
      <c r="Q68" s="32" t="s">
        <v>2083</v>
      </c>
      <c r="R68" s="27" t="s">
        <v>2084</v>
      </c>
      <c r="S68" s="31">
        <v>27603</v>
      </c>
      <c r="T68" s="88">
        <f ca="1" t="shared" si="1"/>
        <v>51</v>
      </c>
      <c r="U68" s="27"/>
      <c r="V68" s="27"/>
      <c r="W68" s="27"/>
      <c r="X68" s="33"/>
      <c r="Y68" s="30"/>
      <c r="Z68" s="33"/>
      <c r="AA68" s="30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</row>
    <row r="69" ht="15.75" customHeight="1" spans="1:43">
      <c r="A69" s="29"/>
      <c r="B69" s="29"/>
      <c r="C69" s="29"/>
      <c r="D69" s="32" t="s">
        <v>51</v>
      </c>
      <c r="E69" s="32"/>
      <c r="F69" s="32" t="s">
        <v>1664</v>
      </c>
      <c r="G69" s="32"/>
      <c r="H69" s="32" t="s">
        <v>81</v>
      </c>
      <c r="I69" s="27" t="str">
        <f t="shared" si="0"/>
        <v>Sayan, Scheychelles Aries</v>
      </c>
      <c r="J69" s="32" t="s">
        <v>1461</v>
      </c>
      <c r="K69" s="32" t="s">
        <v>2085</v>
      </c>
      <c r="L69" s="33"/>
      <c r="M69" s="32" t="s">
        <v>1642</v>
      </c>
      <c r="N69" s="32" t="s">
        <v>1463</v>
      </c>
      <c r="O69" s="32" t="s">
        <v>193</v>
      </c>
      <c r="P69" s="32"/>
      <c r="Q69" s="32" t="s">
        <v>2086</v>
      </c>
      <c r="R69" s="32" t="s">
        <v>2087</v>
      </c>
      <c r="S69" s="31">
        <v>33000</v>
      </c>
      <c r="T69" s="88">
        <f ca="1" t="shared" si="1"/>
        <v>36</v>
      </c>
      <c r="U69" s="27" t="s">
        <v>123</v>
      </c>
      <c r="V69" s="27" t="s">
        <v>2088</v>
      </c>
      <c r="W69" s="27" t="s">
        <v>2089</v>
      </c>
      <c r="X69" s="33" t="s">
        <v>51</v>
      </c>
      <c r="Y69" s="30" t="s">
        <v>2090</v>
      </c>
      <c r="Z69" s="33" t="s">
        <v>51</v>
      </c>
      <c r="AA69" s="30" t="s">
        <v>2091</v>
      </c>
      <c r="AB69" s="27" t="s">
        <v>2036</v>
      </c>
      <c r="AC69" s="27" t="s">
        <v>2092</v>
      </c>
      <c r="AD69" s="27" t="s">
        <v>2093</v>
      </c>
      <c r="AE69" s="27"/>
      <c r="AF69" s="27"/>
      <c r="AG69" s="27" t="s">
        <v>2094</v>
      </c>
      <c r="AH69" s="27" t="s">
        <v>269</v>
      </c>
      <c r="AI69" s="27"/>
      <c r="AJ69" s="27" t="s">
        <v>2095</v>
      </c>
      <c r="AK69" s="27" t="s">
        <v>1793</v>
      </c>
      <c r="AL69" s="27" t="s">
        <v>51</v>
      </c>
      <c r="AM69" s="27" t="s">
        <v>51</v>
      </c>
      <c r="AN69" s="27" t="s">
        <v>2095</v>
      </c>
      <c r="AO69" s="27" t="s">
        <v>625</v>
      </c>
      <c r="AP69" s="27" t="s">
        <v>77</v>
      </c>
      <c r="AQ69" s="27" t="s">
        <v>1465</v>
      </c>
    </row>
    <row r="70" ht="15.75" customHeight="1" spans="1:43">
      <c r="A70" s="29"/>
      <c r="B70" s="29"/>
      <c r="C70" s="29"/>
      <c r="D70" s="32" t="s">
        <v>51</v>
      </c>
      <c r="E70" s="32"/>
      <c r="F70" s="32" t="s">
        <v>1664</v>
      </c>
      <c r="G70" s="32"/>
      <c r="H70" s="32" t="s">
        <v>81</v>
      </c>
      <c r="I70" s="27" t="str">
        <f t="shared" si="0"/>
        <v>Soriano, Cedric Antonio</v>
      </c>
      <c r="J70" s="32" t="s">
        <v>1489</v>
      </c>
      <c r="K70" s="32" t="s">
        <v>2096</v>
      </c>
      <c r="L70" s="33" t="s">
        <v>1666</v>
      </c>
      <c r="M70" s="32" t="s">
        <v>1642</v>
      </c>
      <c r="N70" s="32" t="s">
        <v>1364</v>
      </c>
      <c r="O70" s="32" t="s">
        <v>224</v>
      </c>
      <c r="P70" s="32" t="s">
        <v>2097</v>
      </c>
      <c r="Q70" s="32" t="s">
        <v>1497</v>
      </c>
      <c r="R70" s="32"/>
      <c r="S70" s="31">
        <v>32163</v>
      </c>
      <c r="T70" s="88">
        <f ca="1" t="shared" si="1"/>
        <v>38</v>
      </c>
      <c r="U70" s="27" t="s">
        <v>123</v>
      </c>
      <c r="V70" s="27" t="s">
        <v>2098</v>
      </c>
      <c r="W70" s="27" t="s">
        <v>2099</v>
      </c>
      <c r="X70" s="33" t="s">
        <v>51</v>
      </c>
      <c r="Y70" s="30" t="s">
        <v>2100</v>
      </c>
      <c r="Z70" s="33" t="s">
        <v>51</v>
      </c>
      <c r="AA70" s="30" t="s">
        <v>2101</v>
      </c>
      <c r="AB70" s="27" t="s">
        <v>2102</v>
      </c>
      <c r="AC70" s="27" t="s">
        <v>2103</v>
      </c>
      <c r="AD70" s="27" t="s">
        <v>2104</v>
      </c>
      <c r="AE70" s="27" t="s">
        <v>2105</v>
      </c>
      <c r="AF70" s="27"/>
      <c r="AG70" s="27" t="s">
        <v>249</v>
      </c>
      <c r="AH70" s="27" t="s">
        <v>1693</v>
      </c>
      <c r="AI70" s="27" t="s">
        <v>154</v>
      </c>
      <c r="AJ70" s="27" t="s">
        <v>2106</v>
      </c>
      <c r="AK70" s="27" t="s">
        <v>189</v>
      </c>
      <c r="AL70" s="27" t="s">
        <v>51</v>
      </c>
      <c r="AM70" s="27" t="s">
        <v>51</v>
      </c>
      <c r="AN70" s="27" t="s">
        <v>2106</v>
      </c>
      <c r="AO70" s="27" t="s">
        <v>625</v>
      </c>
      <c r="AP70" s="27" t="s">
        <v>77</v>
      </c>
      <c r="AQ70" s="27" t="s">
        <v>2107</v>
      </c>
    </row>
    <row r="71" ht="15.75" customHeight="1" spans="1:43">
      <c r="A71" s="29"/>
      <c r="B71" s="29"/>
      <c r="C71" s="29"/>
      <c r="D71" s="32" t="s">
        <v>79</v>
      </c>
      <c r="E71" s="32"/>
      <c r="F71" s="32" t="s">
        <v>1651</v>
      </c>
      <c r="G71" s="32"/>
      <c r="H71" s="32" t="s">
        <v>81</v>
      </c>
      <c r="I71" s="27" t="str">
        <f t="shared" si="0"/>
        <v>Talbo, Tony</v>
      </c>
      <c r="J71" s="32" t="s">
        <v>1512</v>
      </c>
      <c r="K71" s="32" t="s">
        <v>2108</v>
      </c>
      <c r="L71" s="33"/>
      <c r="M71" s="32" t="s">
        <v>1642</v>
      </c>
      <c r="N71" s="32"/>
      <c r="O71" s="32" t="s">
        <v>2109</v>
      </c>
      <c r="P71" s="32" t="s">
        <v>2110</v>
      </c>
      <c r="Q71" s="32" t="s">
        <v>2111</v>
      </c>
      <c r="R71" s="32"/>
      <c r="S71" s="31">
        <v>24960</v>
      </c>
      <c r="T71" s="88">
        <f ca="1" t="shared" si="1"/>
        <v>58</v>
      </c>
      <c r="U71" s="32" t="s">
        <v>2110</v>
      </c>
      <c r="V71" s="27"/>
      <c r="W71" s="27"/>
      <c r="X71" s="33" t="s">
        <v>51</v>
      </c>
      <c r="Y71" s="30"/>
      <c r="Z71" s="33"/>
      <c r="AA71" s="30"/>
      <c r="AB71" s="27" t="s">
        <v>2112</v>
      </c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</row>
    <row r="72" ht="15.75" customHeight="1" spans="1:43">
      <c r="A72" s="29"/>
      <c r="B72" s="29"/>
      <c r="C72" s="29"/>
      <c r="D72" s="32" t="s">
        <v>79</v>
      </c>
      <c r="E72" s="32"/>
      <c r="F72" s="32" t="s">
        <v>1719</v>
      </c>
      <c r="G72" s="32"/>
      <c r="H72" s="32" t="s">
        <v>126</v>
      </c>
      <c r="I72" s="27" t="str">
        <f t="shared" si="0"/>
        <v>Talbo, Michael</v>
      </c>
      <c r="J72" s="32" t="s">
        <v>1512</v>
      </c>
      <c r="K72" s="32" t="s">
        <v>2113</v>
      </c>
      <c r="L72" s="33"/>
      <c r="M72" s="32" t="s">
        <v>1642</v>
      </c>
      <c r="N72" s="32" t="s">
        <v>2114</v>
      </c>
      <c r="O72" s="32" t="s">
        <v>1515</v>
      </c>
      <c r="P72" s="32"/>
      <c r="Q72" s="32" t="s">
        <v>2115</v>
      </c>
      <c r="R72" s="32"/>
      <c r="S72" s="31">
        <v>29401</v>
      </c>
      <c r="T72" s="88">
        <f ca="1" t="shared" si="1"/>
        <v>46</v>
      </c>
      <c r="U72" s="27"/>
      <c r="V72" s="27"/>
      <c r="W72" s="27"/>
      <c r="X72" s="33"/>
      <c r="Y72" s="30"/>
      <c r="Z72" s="33"/>
      <c r="AA72" s="30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</row>
    <row r="73" ht="15.75" customHeight="1" spans="1:43">
      <c r="A73" s="29"/>
      <c r="B73" s="29"/>
      <c r="C73" s="29"/>
      <c r="D73" s="32" t="s">
        <v>79</v>
      </c>
      <c r="E73" s="32"/>
      <c r="F73" s="32" t="s">
        <v>1651</v>
      </c>
      <c r="G73" s="32"/>
      <c r="H73" s="32" t="s">
        <v>81</v>
      </c>
      <c r="I73" s="190" t="str">
        <f t="shared" si="0"/>
        <v>Taloban, Antonio Jr</v>
      </c>
      <c r="J73" s="209" t="s">
        <v>937</v>
      </c>
      <c r="K73" s="32" t="s">
        <v>2116</v>
      </c>
      <c r="L73" s="33" t="s">
        <v>493</v>
      </c>
      <c r="M73" s="32" t="s">
        <v>1642</v>
      </c>
      <c r="N73" s="32" t="s">
        <v>2117</v>
      </c>
      <c r="O73" s="32" t="s">
        <v>939</v>
      </c>
      <c r="P73" s="32"/>
      <c r="Q73" s="32" t="s">
        <v>2118</v>
      </c>
      <c r="R73" s="27" t="s">
        <v>2119</v>
      </c>
      <c r="S73" s="31">
        <v>26172</v>
      </c>
      <c r="T73" s="88">
        <f ca="1" t="shared" si="1"/>
        <v>55</v>
      </c>
      <c r="U73" s="27"/>
      <c r="V73" s="27"/>
      <c r="W73" s="27"/>
      <c r="X73" s="33"/>
      <c r="Y73" s="30"/>
      <c r="Z73" s="33"/>
      <c r="AA73" s="30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</row>
    <row r="74" ht="15.75" customHeight="1" spans="1:43">
      <c r="A74" s="29"/>
      <c r="B74" s="29"/>
      <c r="C74" s="29"/>
      <c r="D74" s="32" t="s">
        <v>51</v>
      </c>
      <c r="E74" s="32"/>
      <c r="F74" s="32" t="s">
        <v>1719</v>
      </c>
      <c r="G74" s="32"/>
      <c r="H74" s="32" t="s">
        <v>81</v>
      </c>
      <c r="I74" s="27" t="str">
        <f t="shared" si="0"/>
        <v>Tamo, Allan Edward</v>
      </c>
      <c r="J74" s="32" t="s">
        <v>1528</v>
      </c>
      <c r="K74" s="32" t="s">
        <v>2120</v>
      </c>
      <c r="L74" s="33" t="s">
        <v>458</v>
      </c>
      <c r="M74" s="32" t="s">
        <v>1642</v>
      </c>
      <c r="N74" s="32" t="s">
        <v>1530</v>
      </c>
      <c r="O74" s="32" t="s">
        <v>1531</v>
      </c>
      <c r="P74" s="32"/>
      <c r="Q74" s="32" t="s">
        <v>1542</v>
      </c>
      <c r="R74" s="32"/>
      <c r="S74" s="31">
        <v>32092</v>
      </c>
      <c r="T74" s="88">
        <f ca="1" t="shared" si="1"/>
        <v>38</v>
      </c>
      <c r="U74" s="27" t="s">
        <v>123</v>
      </c>
      <c r="V74" s="27" t="s">
        <v>2121</v>
      </c>
      <c r="W74" s="27" t="s">
        <v>2122</v>
      </c>
      <c r="X74" s="33" t="s">
        <v>51</v>
      </c>
      <c r="Y74" s="30">
        <v>44258</v>
      </c>
      <c r="Z74" s="33" t="s">
        <v>51</v>
      </c>
      <c r="AA74" s="30">
        <v>45327</v>
      </c>
      <c r="AB74" s="27" t="s">
        <v>121</v>
      </c>
      <c r="AC74" s="27" t="s">
        <v>2123</v>
      </c>
      <c r="AD74" s="27" t="s">
        <v>2124</v>
      </c>
      <c r="AE74" s="27"/>
      <c r="AF74" s="27"/>
      <c r="AG74" s="27"/>
      <c r="AH74" s="27" t="s">
        <v>269</v>
      </c>
      <c r="AI74" s="27" t="s">
        <v>154</v>
      </c>
      <c r="AJ74" s="27" t="s">
        <v>2125</v>
      </c>
      <c r="AK74" s="27" t="s">
        <v>2124</v>
      </c>
      <c r="AL74" s="27" t="s">
        <v>51</v>
      </c>
      <c r="AM74" s="27" t="s">
        <v>51</v>
      </c>
      <c r="AN74" s="27" t="s">
        <v>2125</v>
      </c>
      <c r="AO74" s="27" t="s">
        <v>625</v>
      </c>
      <c r="AP74" s="27" t="s">
        <v>77</v>
      </c>
      <c r="AQ74" s="27" t="s">
        <v>1532</v>
      </c>
    </row>
    <row r="75" ht="15.75" customHeight="1" spans="1:43">
      <c r="A75" s="29"/>
      <c r="B75" s="29"/>
      <c r="C75" s="29"/>
      <c r="D75" s="32" t="s">
        <v>51</v>
      </c>
      <c r="E75" s="32"/>
      <c r="F75" s="32" t="s">
        <v>1682</v>
      </c>
      <c r="G75" s="32"/>
      <c r="H75" s="32" t="s">
        <v>81</v>
      </c>
      <c r="I75" s="27" t="str">
        <f t="shared" si="0"/>
        <v>Tomas, Rolly</v>
      </c>
      <c r="J75" s="32" t="s">
        <v>1563</v>
      </c>
      <c r="K75" s="32" t="s">
        <v>2126</v>
      </c>
      <c r="L75" s="33" t="s">
        <v>222</v>
      </c>
      <c r="M75" s="32" t="s">
        <v>1642</v>
      </c>
      <c r="N75" s="32" t="s">
        <v>2127</v>
      </c>
      <c r="O75" s="32" t="s">
        <v>2128</v>
      </c>
      <c r="P75" s="32"/>
      <c r="Q75" s="32" t="s">
        <v>2129</v>
      </c>
      <c r="R75" s="32"/>
      <c r="S75" s="31">
        <v>22792</v>
      </c>
      <c r="T75" s="88">
        <f ca="1" t="shared" si="1"/>
        <v>64</v>
      </c>
      <c r="U75" s="27" t="s">
        <v>1195</v>
      </c>
      <c r="V75" s="27"/>
      <c r="W75" s="27"/>
      <c r="X75" s="33" t="s">
        <v>51</v>
      </c>
      <c r="Y75" s="30" t="s">
        <v>927</v>
      </c>
      <c r="Z75" s="33" t="s">
        <v>51</v>
      </c>
      <c r="AA75" s="30"/>
      <c r="AB75" s="27" t="s">
        <v>149</v>
      </c>
      <c r="AC75" s="27" t="s">
        <v>1655</v>
      </c>
      <c r="AD75" s="27" t="s">
        <v>376</v>
      </c>
      <c r="AE75" s="27"/>
      <c r="AF75" s="27"/>
      <c r="AG75" s="27"/>
      <c r="AH75" s="27"/>
      <c r="AI75" s="27"/>
      <c r="AJ75" s="27" t="s">
        <v>2130</v>
      </c>
      <c r="AK75" s="27" t="s">
        <v>376</v>
      </c>
      <c r="AL75" s="27" t="s">
        <v>51</v>
      </c>
      <c r="AM75" s="27" t="s">
        <v>51</v>
      </c>
      <c r="AN75" s="27" t="s">
        <v>2130</v>
      </c>
      <c r="AO75" s="27"/>
      <c r="AP75" s="27" t="s">
        <v>77</v>
      </c>
      <c r="AQ75" s="27" t="s">
        <v>2131</v>
      </c>
    </row>
    <row r="76" ht="15.75" customHeight="1" spans="1:43">
      <c r="A76" s="29"/>
      <c r="B76" s="29"/>
      <c r="C76" s="29"/>
      <c r="D76" s="32" t="s">
        <v>51</v>
      </c>
      <c r="E76" s="32"/>
      <c r="F76" s="32" t="s">
        <v>1640</v>
      </c>
      <c r="G76" s="32"/>
      <c r="H76" s="32" t="s">
        <v>81</v>
      </c>
      <c r="I76" s="27" t="str">
        <f t="shared" si="0"/>
        <v>Torcuato, Arnulfo</v>
      </c>
      <c r="J76" s="32" t="s">
        <v>2132</v>
      </c>
      <c r="K76" s="32" t="s">
        <v>2133</v>
      </c>
      <c r="L76" s="33" t="s">
        <v>364</v>
      </c>
      <c r="M76" s="32" t="s">
        <v>1642</v>
      </c>
      <c r="N76" s="32">
        <v>38</v>
      </c>
      <c r="O76" s="32" t="s">
        <v>1626</v>
      </c>
      <c r="P76" s="32" t="s">
        <v>2134</v>
      </c>
      <c r="Q76" s="32" t="s">
        <v>1093</v>
      </c>
      <c r="R76" s="32"/>
      <c r="S76" s="31">
        <v>23437</v>
      </c>
      <c r="T76" s="88">
        <f ca="1" t="shared" si="1"/>
        <v>62</v>
      </c>
      <c r="U76" s="27" t="s">
        <v>2135</v>
      </c>
      <c r="V76" s="27"/>
      <c r="W76" s="27"/>
      <c r="X76" s="33" t="s">
        <v>51</v>
      </c>
      <c r="Y76" s="30">
        <v>45711</v>
      </c>
      <c r="Z76" s="33" t="s">
        <v>79</v>
      </c>
      <c r="AA76" s="30"/>
      <c r="AB76" s="27" t="s">
        <v>121</v>
      </c>
      <c r="AC76" s="27"/>
      <c r="AD76" s="27"/>
      <c r="AE76" s="27"/>
      <c r="AF76" s="27"/>
      <c r="AG76" s="27"/>
      <c r="AH76" s="27"/>
      <c r="AI76" s="27"/>
      <c r="AJ76" s="27" t="s">
        <v>2136</v>
      </c>
      <c r="AK76" s="27" t="s">
        <v>1793</v>
      </c>
      <c r="AL76" s="27" t="s">
        <v>157</v>
      </c>
      <c r="AM76" s="27" t="s">
        <v>157</v>
      </c>
      <c r="AN76" s="27" t="s">
        <v>2136</v>
      </c>
      <c r="AO76" s="27" t="s">
        <v>625</v>
      </c>
      <c r="AP76" s="27" t="s">
        <v>77</v>
      </c>
      <c r="AQ76" s="27" t="s">
        <v>2137</v>
      </c>
    </row>
    <row r="77" ht="15.75" customHeight="1" spans="1:43">
      <c r="A77" s="29"/>
      <c r="B77" s="29"/>
      <c r="C77" s="29"/>
      <c r="D77" s="32" t="s">
        <v>51</v>
      </c>
      <c r="E77" s="32"/>
      <c r="F77" s="32" t="s">
        <v>1664</v>
      </c>
      <c r="G77" s="32"/>
      <c r="H77" s="32" t="s">
        <v>92</v>
      </c>
      <c r="I77" s="199" t="str">
        <f t="shared" si="0"/>
        <v>Wagang, Andres</v>
      </c>
      <c r="J77" s="32" t="s">
        <v>1581</v>
      </c>
      <c r="K77" s="32" t="s">
        <v>2138</v>
      </c>
      <c r="L77" s="33"/>
      <c r="M77" s="32" t="s">
        <v>1642</v>
      </c>
      <c r="N77" s="32" t="s">
        <v>1582</v>
      </c>
      <c r="O77" s="32" t="s">
        <v>1583</v>
      </c>
      <c r="P77" s="32" t="s">
        <v>1583</v>
      </c>
      <c r="Q77" s="32" t="s">
        <v>1596</v>
      </c>
      <c r="R77" s="32"/>
      <c r="S77" s="31">
        <v>30650</v>
      </c>
      <c r="T77" s="88">
        <f ca="1" t="shared" si="1"/>
        <v>42</v>
      </c>
      <c r="U77" s="27" t="s">
        <v>617</v>
      </c>
      <c r="V77" s="27" t="s">
        <v>2139</v>
      </c>
      <c r="W77" s="27" t="s">
        <v>2140</v>
      </c>
      <c r="X77" s="33" t="s">
        <v>51</v>
      </c>
      <c r="Y77" s="234" t="s">
        <v>1412</v>
      </c>
      <c r="Z77" s="33" t="s">
        <v>51</v>
      </c>
      <c r="AA77" s="234" t="s">
        <v>2031</v>
      </c>
      <c r="AB77" s="27"/>
      <c r="AC77" s="27"/>
      <c r="AD77" s="27"/>
      <c r="AE77" s="27"/>
      <c r="AF77" s="27"/>
      <c r="AG77" s="27" t="s">
        <v>2141</v>
      </c>
      <c r="AH77" s="27"/>
      <c r="AI77" s="27"/>
      <c r="AJ77" s="27" t="s">
        <v>2142</v>
      </c>
      <c r="AK77" s="27"/>
      <c r="AL77" s="27" t="s">
        <v>51</v>
      </c>
      <c r="AM77" s="27" t="s">
        <v>51</v>
      </c>
      <c r="AN77" s="27" t="s">
        <v>2142</v>
      </c>
      <c r="AO77" s="27" t="s">
        <v>625</v>
      </c>
      <c r="AP77" s="27" t="s">
        <v>77</v>
      </c>
      <c r="AQ77" s="27"/>
    </row>
    <row r="78" ht="15.75" customHeight="1" spans="1:43">
      <c r="A78" s="29"/>
      <c r="B78" s="29"/>
      <c r="C78" s="29"/>
      <c r="D78" s="32" t="s">
        <v>51</v>
      </c>
      <c r="E78" s="32"/>
      <c r="F78" s="32" t="s">
        <v>1677</v>
      </c>
      <c r="G78" s="32"/>
      <c r="H78" s="32" t="s">
        <v>81</v>
      </c>
      <c r="I78" s="27" t="str">
        <f t="shared" si="0"/>
        <v>Wakit, Benjamin</v>
      </c>
      <c r="J78" s="32" t="s">
        <v>1597</v>
      </c>
      <c r="K78" s="32" t="s">
        <v>1664</v>
      </c>
      <c r="L78" s="33"/>
      <c r="M78" s="32" t="s">
        <v>1642</v>
      </c>
      <c r="N78" s="32"/>
      <c r="O78" s="32" t="s">
        <v>129</v>
      </c>
      <c r="P78" s="32"/>
      <c r="Q78" s="32"/>
      <c r="R78" s="32"/>
      <c r="S78" s="31">
        <v>22620</v>
      </c>
      <c r="T78" s="88">
        <f ca="1" t="shared" si="1"/>
        <v>64</v>
      </c>
      <c r="U78" s="27" t="s">
        <v>2143</v>
      </c>
      <c r="V78" s="27" t="s">
        <v>2144</v>
      </c>
      <c r="W78" s="27" t="s">
        <v>2145</v>
      </c>
      <c r="X78" s="33" t="s">
        <v>51</v>
      </c>
      <c r="Y78" s="234" t="s">
        <v>901</v>
      </c>
      <c r="Z78" s="33"/>
      <c r="AA78" s="30"/>
      <c r="AB78" s="27"/>
      <c r="AC78" s="27"/>
      <c r="AD78" s="27"/>
      <c r="AE78" s="27"/>
      <c r="AF78" s="27"/>
      <c r="AG78" s="27"/>
      <c r="AH78" s="27"/>
      <c r="AI78" s="27"/>
      <c r="AJ78" s="27" t="s">
        <v>2146</v>
      </c>
      <c r="AK78" s="27"/>
      <c r="AL78" s="27"/>
      <c r="AM78" s="27"/>
      <c r="AN78" s="27"/>
      <c r="AO78" s="27"/>
      <c r="AP78" s="27"/>
      <c r="AQ78" s="27"/>
    </row>
    <row r="79" ht="15.75" customHeight="1" spans="1:43">
      <c r="A79" s="29"/>
      <c r="B79" s="29"/>
      <c r="C79" s="29"/>
      <c r="D79" s="32" t="s">
        <v>51</v>
      </c>
      <c r="E79" s="32"/>
      <c r="F79" s="32" t="s">
        <v>1677</v>
      </c>
      <c r="G79" s="32"/>
      <c r="H79" s="32" t="s">
        <v>81</v>
      </c>
      <c r="I79" s="27" t="str">
        <f t="shared" si="0"/>
        <v>Wong, Benjamin Jr</v>
      </c>
      <c r="J79" s="32" t="s">
        <v>1622</v>
      </c>
      <c r="K79" s="32" t="s">
        <v>2147</v>
      </c>
      <c r="L79" s="33" t="s">
        <v>2148</v>
      </c>
      <c r="M79" s="32" t="s">
        <v>1642</v>
      </c>
      <c r="N79" s="32" t="s">
        <v>2149</v>
      </c>
      <c r="O79" s="32" t="s">
        <v>241</v>
      </c>
      <c r="P79" s="32" t="s">
        <v>123</v>
      </c>
      <c r="Q79" s="32" t="s">
        <v>2150</v>
      </c>
      <c r="R79" s="32" t="s">
        <v>2151</v>
      </c>
      <c r="S79" s="31">
        <v>24764</v>
      </c>
      <c r="T79" s="88">
        <f ca="1" t="shared" si="1"/>
        <v>59</v>
      </c>
      <c r="U79" s="27" t="s">
        <v>123</v>
      </c>
      <c r="V79" s="27" t="s">
        <v>2152</v>
      </c>
      <c r="W79" s="27" t="s">
        <v>2153</v>
      </c>
      <c r="X79" s="33" t="s">
        <v>51</v>
      </c>
      <c r="Y79" s="234" t="s">
        <v>559</v>
      </c>
      <c r="Z79" s="33" t="s">
        <v>51</v>
      </c>
      <c r="AA79" s="234" t="s">
        <v>559</v>
      </c>
      <c r="AB79" s="27" t="s">
        <v>2154</v>
      </c>
      <c r="AC79" s="27" t="s">
        <v>68</v>
      </c>
      <c r="AD79" s="27" t="s">
        <v>2155</v>
      </c>
      <c r="AE79" s="27"/>
      <c r="AF79" s="27"/>
      <c r="AG79" s="27" t="s">
        <v>2156</v>
      </c>
      <c r="AH79" s="27" t="s">
        <v>1718</v>
      </c>
      <c r="AI79" s="27" t="s">
        <v>154</v>
      </c>
      <c r="AJ79" s="27" t="s">
        <v>2157</v>
      </c>
      <c r="AK79" s="27"/>
      <c r="AL79" s="27" t="s">
        <v>51</v>
      </c>
      <c r="AM79" s="27" t="s">
        <v>51</v>
      </c>
      <c r="AN79" s="27" t="s">
        <v>2157</v>
      </c>
      <c r="AO79" s="27" t="s">
        <v>625</v>
      </c>
      <c r="AP79" s="27" t="s">
        <v>77</v>
      </c>
      <c r="AQ79" s="27" t="s">
        <v>2158</v>
      </c>
    </row>
    <row r="80" ht="15.75" customHeight="1" spans="1:43">
      <c r="A80" s="29"/>
      <c r="B80" s="29"/>
      <c r="C80" s="29"/>
      <c r="D80" s="32" t="s">
        <v>51</v>
      </c>
      <c r="E80" s="32"/>
      <c r="F80" s="32" t="s">
        <v>1640</v>
      </c>
      <c r="G80" s="32"/>
      <c r="H80" s="32" t="s">
        <v>81</v>
      </c>
      <c r="I80" s="27" t="str">
        <f t="shared" si="0"/>
        <v>Zapata, Rando</v>
      </c>
      <c r="J80" s="32" t="s">
        <v>1624</v>
      </c>
      <c r="K80" s="32" t="s">
        <v>2159</v>
      </c>
      <c r="L80" s="33"/>
      <c r="M80" s="32" t="s">
        <v>1642</v>
      </c>
      <c r="N80" s="32">
        <v>33</v>
      </c>
      <c r="O80" s="32" t="s">
        <v>1626</v>
      </c>
      <c r="P80" s="32" t="s">
        <v>2134</v>
      </c>
      <c r="Q80" s="32" t="s">
        <v>1637</v>
      </c>
      <c r="R80" s="32"/>
      <c r="S80" s="31">
        <v>26630</v>
      </c>
      <c r="T80" s="88">
        <f ca="1" t="shared" si="1"/>
        <v>53</v>
      </c>
      <c r="U80" s="27" t="s">
        <v>2160</v>
      </c>
      <c r="V80" s="27" t="s">
        <v>2161</v>
      </c>
      <c r="W80" s="27" t="s">
        <v>2162</v>
      </c>
      <c r="X80" s="33" t="s">
        <v>51</v>
      </c>
      <c r="Y80" s="30"/>
      <c r="Z80" s="33"/>
      <c r="AA80" s="30">
        <v>45000</v>
      </c>
      <c r="AB80" s="27" t="s">
        <v>2163</v>
      </c>
      <c r="AC80" s="27" t="s">
        <v>2053</v>
      </c>
      <c r="AD80" s="27" t="s">
        <v>2164</v>
      </c>
      <c r="AE80" s="27" t="s">
        <v>2165</v>
      </c>
      <c r="AF80" s="27"/>
      <c r="AG80" s="27" t="s">
        <v>268</v>
      </c>
      <c r="AH80" s="27"/>
      <c r="AI80" s="27" t="s">
        <v>154</v>
      </c>
      <c r="AJ80" s="27" t="s">
        <v>2166</v>
      </c>
      <c r="AK80" s="27" t="s">
        <v>1632</v>
      </c>
      <c r="AL80" s="27" t="s">
        <v>51</v>
      </c>
      <c r="AM80" s="27" t="s">
        <v>51</v>
      </c>
      <c r="AN80" s="27" t="s">
        <v>2166</v>
      </c>
      <c r="AO80" s="27" t="s">
        <v>625</v>
      </c>
      <c r="AP80" s="27" t="s">
        <v>77</v>
      </c>
      <c r="AQ80" s="27" t="s">
        <v>1093</v>
      </c>
    </row>
    <row r="81" ht="15.75" customHeight="1" spans="1:43">
      <c r="A81" s="29"/>
      <c r="B81" s="29"/>
      <c r="C81" s="29"/>
      <c r="D81" s="32"/>
      <c r="E81" s="32"/>
      <c r="F81" s="32"/>
      <c r="G81" s="32"/>
      <c r="H81" s="32"/>
      <c r="I81" s="27" t="str">
        <f t="shared" si="0"/>
        <v/>
      </c>
      <c r="J81" s="32"/>
      <c r="K81" s="32"/>
      <c r="L81" s="33"/>
      <c r="M81" s="32"/>
      <c r="N81" s="32"/>
      <c r="O81" s="32"/>
      <c r="P81" s="32"/>
      <c r="Q81" s="32"/>
      <c r="R81" s="32"/>
      <c r="S81" s="31"/>
      <c r="T81" s="88" t="str">
        <f ca="1" t="shared" si="1"/>
        <v/>
      </c>
      <c r="U81" s="27"/>
      <c r="V81" s="27"/>
      <c r="W81" s="27"/>
      <c r="X81" s="33"/>
      <c r="Y81" s="30"/>
      <c r="Z81" s="33"/>
      <c r="AA81" s="30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</row>
    <row r="82" ht="15.75" customHeight="1" spans="1:43">
      <c r="A82" s="29"/>
      <c r="B82" s="29"/>
      <c r="C82" s="29"/>
      <c r="D82" s="32"/>
      <c r="E82" s="32"/>
      <c r="F82" s="32"/>
      <c r="G82" s="32"/>
      <c r="H82" s="32"/>
      <c r="I82" s="27"/>
      <c r="J82" s="32"/>
      <c r="K82" s="32"/>
      <c r="L82" s="33"/>
      <c r="M82" s="32"/>
      <c r="N82" s="32"/>
      <c r="O82" s="32"/>
      <c r="P82" s="32"/>
      <c r="Q82" s="32"/>
      <c r="R82" s="32"/>
      <c r="S82" s="31"/>
      <c r="T82" s="88" t="str">
        <f ca="1" t="shared" si="1"/>
        <v/>
      </c>
      <c r="U82" s="27"/>
      <c r="V82" s="27"/>
      <c r="W82" s="27"/>
      <c r="X82" s="33"/>
      <c r="Y82" s="30"/>
      <c r="Z82" s="33"/>
      <c r="AA82" s="30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</row>
    <row r="83" ht="15.75" customHeight="1" spans="1:43">
      <c r="A83" s="29"/>
      <c r="B83" s="29"/>
      <c r="C83" s="29"/>
      <c r="D83" s="32"/>
      <c r="E83" s="32"/>
      <c r="F83" s="32"/>
      <c r="G83" s="32"/>
      <c r="H83" s="32"/>
      <c r="I83" s="27" t="str">
        <f t="shared" ref="I83:I299" si="2">IF(AND(K83="",J83=""),"",CONCATENATE(J83,", ",K83))</f>
        <v/>
      </c>
      <c r="J83" s="32"/>
      <c r="K83" s="32"/>
      <c r="L83" s="33"/>
      <c r="M83" s="32"/>
      <c r="N83" s="32"/>
      <c r="O83" s="32"/>
      <c r="P83" s="32"/>
      <c r="Q83" s="32"/>
      <c r="R83" s="32"/>
      <c r="S83" s="31"/>
      <c r="T83" s="88" t="str">
        <f ca="1" t="shared" si="1"/>
        <v/>
      </c>
      <c r="U83" s="27"/>
      <c r="V83" s="27"/>
      <c r="W83" s="27"/>
      <c r="X83" s="33"/>
      <c r="Y83" s="30"/>
      <c r="Z83" s="33"/>
      <c r="AA83" s="30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</row>
    <row r="84" ht="15.75" customHeight="1" spans="1:43">
      <c r="A84" s="29"/>
      <c r="B84" s="29"/>
      <c r="C84" s="29"/>
      <c r="D84" s="32"/>
      <c r="E84" s="32"/>
      <c r="F84" s="32"/>
      <c r="G84" s="32"/>
      <c r="H84" s="32"/>
      <c r="I84" s="27" t="str">
        <f t="shared" si="2"/>
        <v/>
      </c>
      <c r="J84" s="32"/>
      <c r="K84" s="32"/>
      <c r="L84" s="33"/>
      <c r="M84" s="32"/>
      <c r="N84" s="32"/>
      <c r="O84" s="32"/>
      <c r="P84" s="32"/>
      <c r="Q84" s="32"/>
      <c r="R84" s="32"/>
      <c r="S84" s="31"/>
      <c r="T84" s="88" t="str">
        <f ca="1" t="shared" si="1"/>
        <v/>
      </c>
      <c r="U84" s="27"/>
      <c r="V84" s="27"/>
      <c r="W84" s="27"/>
      <c r="X84" s="33"/>
      <c r="Y84" s="30"/>
      <c r="Z84" s="33"/>
      <c r="AA84" s="30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</row>
    <row r="85" ht="15.75" customHeight="1" spans="1:43">
      <c r="A85" s="29"/>
      <c r="B85" s="29"/>
      <c r="C85" s="29"/>
      <c r="D85" s="32"/>
      <c r="E85" s="32"/>
      <c r="F85" s="32"/>
      <c r="G85" s="32"/>
      <c r="H85" s="32"/>
      <c r="I85" s="27" t="str">
        <f t="shared" si="2"/>
        <v/>
      </c>
      <c r="J85" s="32"/>
      <c r="K85" s="32"/>
      <c r="L85" s="33"/>
      <c r="M85" s="32"/>
      <c r="N85" s="32"/>
      <c r="O85" s="32"/>
      <c r="P85" s="32"/>
      <c r="Q85" s="32"/>
      <c r="R85" s="32"/>
      <c r="S85" s="31"/>
      <c r="T85" s="88" t="str">
        <f ca="1" t="shared" si="1"/>
        <v/>
      </c>
      <c r="U85" s="27"/>
      <c r="V85" s="27"/>
      <c r="W85" s="27"/>
      <c r="X85" s="33"/>
      <c r="Y85" s="30"/>
      <c r="Z85" s="33"/>
      <c r="AA85" s="30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</row>
    <row r="86" ht="15.75" customHeight="1" spans="1:43">
      <c r="A86" s="29"/>
      <c r="B86" s="29"/>
      <c r="C86" s="29"/>
      <c r="D86" s="32"/>
      <c r="E86" s="32"/>
      <c r="F86" s="32"/>
      <c r="G86" s="32"/>
      <c r="H86" s="32"/>
      <c r="I86" s="27" t="str">
        <f t="shared" si="2"/>
        <v/>
      </c>
      <c r="J86" s="32"/>
      <c r="K86" s="32"/>
      <c r="L86" s="33"/>
      <c r="M86" s="32"/>
      <c r="N86" s="32"/>
      <c r="O86" s="32"/>
      <c r="P86" s="32"/>
      <c r="Q86" s="32"/>
      <c r="R86" s="32"/>
      <c r="S86" s="31"/>
      <c r="T86" s="88" t="str">
        <f ca="1" t="shared" si="1"/>
        <v/>
      </c>
      <c r="U86" s="27"/>
      <c r="V86" s="27"/>
      <c r="W86" s="27"/>
      <c r="X86" s="33"/>
      <c r="Y86" s="30"/>
      <c r="Z86" s="33"/>
      <c r="AA86" s="30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</row>
    <row r="87" ht="15.75" customHeight="1" spans="1:43">
      <c r="A87" s="29"/>
      <c r="B87" s="29"/>
      <c r="C87" s="29"/>
      <c r="D87" s="32"/>
      <c r="E87" s="32"/>
      <c r="F87" s="32"/>
      <c r="G87" s="32"/>
      <c r="H87" s="32"/>
      <c r="I87" s="27" t="str">
        <f t="shared" si="2"/>
        <v/>
      </c>
      <c r="J87" s="32"/>
      <c r="K87" s="32"/>
      <c r="L87" s="33"/>
      <c r="M87" s="32"/>
      <c r="N87" s="32"/>
      <c r="O87" s="32"/>
      <c r="P87" s="32"/>
      <c r="Q87" s="32"/>
      <c r="R87" s="32"/>
      <c r="S87" s="31"/>
      <c r="T87" s="88" t="str">
        <f ca="1" t="shared" si="1"/>
        <v/>
      </c>
      <c r="U87" s="27"/>
      <c r="V87" s="27"/>
      <c r="W87" s="27"/>
      <c r="X87" s="33"/>
      <c r="Y87" s="30"/>
      <c r="Z87" s="33"/>
      <c r="AA87" s="30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</row>
    <row r="88" ht="15.75" customHeight="1" spans="1:43">
      <c r="A88" s="29"/>
      <c r="B88" s="29"/>
      <c r="C88" s="29"/>
      <c r="D88" s="32"/>
      <c r="E88" s="32"/>
      <c r="F88" s="32"/>
      <c r="G88" s="32"/>
      <c r="H88" s="32"/>
      <c r="I88" s="27" t="str">
        <f t="shared" si="2"/>
        <v/>
      </c>
      <c r="J88" s="32"/>
      <c r="K88" s="32"/>
      <c r="L88" s="33"/>
      <c r="M88" s="32"/>
      <c r="N88" s="32"/>
      <c r="O88" s="32"/>
      <c r="P88" s="32"/>
      <c r="Q88" s="32"/>
      <c r="R88" s="32"/>
      <c r="S88" s="31"/>
      <c r="T88" s="88" t="str">
        <f ca="1" t="shared" si="1"/>
        <v/>
      </c>
      <c r="U88" s="27"/>
      <c r="V88" s="27"/>
      <c r="W88" s="27"/>
      <c r="X88" s="33"/>
      <c r="Y88" s="30"/>
      <c r="Z88" s="33"/>
      <c r="AA88" s="30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</row>
    <row r="89" ht="15.75" customHeight="1" spans="1:43">
      <c r="A89" s="29"/>
      <c r="B89" s="29"/>
      <c r="C89" s="29"/>
      <c r="D89" s="32"/>
      <c r="E89" s="32"/>
      <c r="F89" s="32"/>
      <c r="G89" s="32"/>
      <c r="H89" s="32"/>
      <c r="I89" s="27" t="str">
        <f t="shared" si="2"/>
        <v/>
      </c>
      <c r="J89" s="32"/>
      <c r="K89" s="32"/>
      <c r="L89" s="33"/>
      <c r="M89" s="32"/>
      <c r="N89" s="32"/>
      <c r="O89" s="32"/>
      <c r="P89" s="32"/>
      <c r="Q89" s="32"/>
      <c r="R89" s="32"/>
      <c r="S89" s="31"/>
      <c r="T89" s="88" t="str">
        <f ca="1" t="shared" si="1"/>
        <v/>
      </c>
      <c r="U89" s="27"/>
      <c r="V89" s="27"/>
      <c r="W89" s="27"/>
      <c r="X89" s="33"/>
      <c r="Y89" s="30"/>
      <c r="Z89" s="33"/>
      <c r="AA89" s="30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</row>
    <row r="90" ht="15.75" customHeight="1" spans="1:43">
      <c r="A90" s="29"/>
      <c r="B90" s="29"/>
      <c r="C90" s="29"/>
      <c r="D90" s="32"/>
      <c r="E90" s="32"/>
      <c r="F90" s="32"/>
      <c r="G90" s="32"/>
      <c r="H90" s="32"/>
      <c r="I90" s="27" t="str">
        <f t="shared" si="2"/>
        <v/>
      </c>
      <c r="J90" s="32"/>
      <c r="K90" s="32"/>
      <c r="L90" s="33"/>
      <c r="M90" s="32"/>
      <c r="N90" s="32"/>
      <c r="O90" s="32"/>
      <c r="P90" s="32"/>
      <c r="Q90" s="32"/>
      <c r="R90" s="32"/>
      <c r="S90" s="31"/>
      <c r="T90" s="88" t="str">
        <f ca="1" t="shared" si="1"/>
        <v/>
      </c>
      <c r="U90" s="27"/>
      <c r="V90" s="27"/>
      <c r="W90" s="27"/>
      <c r="X90" s="33"/>
      <c r="Y90" s="30"/>
      <c r="Z90" s="33"/>
      <c r="AA90" s="30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</row>
    <row r="91" ht="15.75" customHeight="1" spans="1:43">
      <c r="A91" s="29"/>
      <c r="B91" s="29"/>
      <c r="C91" s="29"/>
      <c r="D91" s="32"/>
      <c r="E91" s="32"/>
      <c r="F91" s="32"/>
      <c r="G91" s="32"/>
      <c r="H91" s="32"/>
      <c r="I91" s="27" t="str">
        <f t="shared" si="2"/>
        <v/>
      </c>
      <c r="J91" s="32"/>
      <c r="K91" s="32"/>
      <c r="L91" s="33"/>
      <c r="M91" s="32"/>
      <c r="N91" s="32"/>
      <c r="O91" s="32"/>
      <c r="P91" s="32"/>
      <c r="Q91" s="32"/>
      <c r="R91" s="32"/>
      <c r="S91" s="31"/>
      <c r="T91" s="88" t="str">
        <f ca="1" t="shared" si="1"/>
        <v/>
      </c>
      <c r="U91" s="27"/>
      <c r="V91" s="27"/>
      <c r="W91" s="27"/>
      <c r="X91" s="33"/>
      <c r="Y91" s="30"/>
      <c r="Z91" s="33"/>
      <c r="AA91" s="30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</row>
    <row r="92" ht="15.75" customHeight="1" spans="1:43">
      <c r="A92" s="29"/>
      <c r="B92" s="29"/>
      <c r="C92" s="29"/>
      <c r="D92" s="32"/>
      <c r="E92" s="32"/>
      <c r="F92" s="32"/>
      <c r="G92" s="32"/>
      <c r="H92" s="32"/>
      <c r="I92" s="27" t="str">
        <f t="shared" si="2"/>
        <v/>
      </c>
      <c r="J92" s="32"/>
      <c r="K92" s="32"/>
      <c r="L92" s="33"/>
      <c r="M92" s="32"/>
      <c r="N92" s="32"/>
      <c r="O92" s="32"/>
      <c r="P92" s="32"/>
      <c r="Q92" s="32"/>
      <c r="R92" s="32"/>
      <c r="S92" s="31"/>
      <c r="T92" s="88" t="str">
        <f ca="1" t="shared" si="1"/>
        <v/>
      </c>
      <c r="U92" s="27"/>
      <c r="V92" s="27"/>
      <c r="W92" s="27"/>
      <c r="X92" s="33"/>
      <c r="Y92" s="30"/>
      <c r="Z92" s="33"/>
      <c r="AA92" s="30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</row>
    <row r="93" ht="15.75" customHeight="1" spans="1:43">
      <c r="A93" s="29"/>
      <c r="B93" s="29"/>
      <c r="C93" s="29"/>
      <c r="D93" s="32"/>
      <c r="E93" s="32"/>
      <c r="F93" s="32"/>
      <c r="G93" s="32"/>
      <c r="H93" s="32"/>
      <c r="I93" s="27" t="str">
        <f t="shared" si="2"/>
        <v/>
      </c>
      <c r="J93" s="32"/>
      <c r="K93" s="32"/>
      <c r="L93" s="33"/>
      <c r="M93" s="32"/>
      <c r="N93" s="32"/>
      <c r="O93" s="32"/>
      <c r="P93" s="32"/>
      <c r="Q93" s="32"/>
      <c r="R93" s="32"/>
      <c r="S93" s="31"/>
      <c r="T93" s="88" t="str">
        <f ca="1" t="shared" si="1"/>
        <v/>
      </c>
      <c r="U93" s="27"/>
      <c r="V93" s="27"/>
      <c r="W93" s="27"/>
      <c r="X93" s="33"/>
      <c r="Y93" s="30"/>
      <c r="Z93" s="33"/>
      <c r="AA93" s="30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</row>
    <row r="94" ht="15.75" customHeight="1" spans="1:43">
      <c r="A94" s="29"/>
      <c r="B94" s="29"/>
      <c r="C94" s="29"/>
      <c r="D94" s="32"/>
      <c r="E94" s="32"/>
      <c r="F94" s="32"/>
      <c r="G94" s="32"/>
      <c r="H94" s="32"/>
      <c r="I94" s="27" t="str">
        <f t="shared" si="2"/>
        <v/>
      </c>
      <c r="J94" s="32"/>
      <c r="K94" s="32"/>
      <c r="L94" s="33"/>
      <c r="M94" s="32"/>
      <c r="N94" s="32"/>
      <c r="O94" s="32"/>
      <c r="P94" s="32"/>
      <c r="Q94" s="32"/>
      <c r="R94" s="32"/>
      <c r="S94" s="31"/>
      <c r="T94" s="88" t="str">
        <f ca="1" t="shared" si="1"/>
        <v/>
      </c>
      <c r="U94" s="27"/>
      <c r="V94" s="27"/>
      <c r="W94" s="27"/>
      <c r="X94" s="33"/>
      <c r="Y94" s="30"/>
      <c r="Z94" s="33"/>
      <c r="AA94" s="30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</row>
    <row r="95" ht="15.75" customHeight="1" spans="1:43">
      <c r="A95" s="29"/>
      <c r="B95" s="29"/>
      <c r="C95" s="29"/>
      <c r="D95" s="32"/>
      <c r="E95" s="32"/>
      <c r="F95" s="32"/>
      <c r="G95" s="32"/>
      <c r="H95" s="32"/>
      <c r="I95" s="27" t="str">
        <f t="shared" si="2"/>
        <v/>
      </c>
      <c r="J95" s="32"/>
      <c r="K95" s="32"/>
      <c r="L95" s="33"/>
      <c r="M95" s="32"/>
      <c r="N95" s="32"/>
      <c r="O95" s="32"/>
      <c r="P95" s="32"/>
      <c r="Q95" s="32"/>
      <c r="R95" s="32"/>
      <c r="S95" s="31"/>
      <c r="T95" s="88" t="str">
        <f ca="1" t="shared" si="1"/>
        <v/>
      </c>
      <c r="U95" s="27"/>
      <c r="V95" s="27"/>
      <c r="W95" s="27"/>
      <c r="X95" s="33"/>
      <c r="Y95" s="30"/>
      <c r="Z95" s="33"/>
      <c r="AA95" s="30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</row>
    <row r="96" ht="15.75" customHeight="1" spans="1:43">
      <c r="A96" s="29"/>
      <c r="B96" s="29"/>
      <c r="C96" s="29"/>
      <c r="D96" s="32"/>
      <c r="E96" s="32"/>
      <c r="F96" s="32"/>
      <c r="G96" s="32"/>
      <c r="H96" s="32"/>
      <c r="I96" s="27" t="str">
        <f t="shared" si="2"/>
        <v/>
      </c>
      <c r="J96" s="32"/>
      <c r="K96" s="32"/>
      <c r="L96" s="33"/>
      <c r="M96" s="32"/>
      <c r="N96" s="32"/>
      <c r="O96" s="32"/>
      <c r="P96" s="32"/>
      <c r="Q96" s="32"/>
      <c r="R96" s="32"/>
      <c r="S96" s="31"/>
      <c r="T96" s="88" t="str">
        <f ca="1" t="shared" si="1"/>
        <v/>
      </c>
      <c r="U96" s="27"/>
      <c r="V96" s="27"/>
      <c r="W96" s="27"/>
      <c r="X96" s="33"/>
      <c r="Y96" s="30"/>
      <c r="Z96" s="33"/>
      <c r="AA96" s="30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</row>
    <row r="97" ht="15.75" customHeight="1" spans="1:43">
      <c r="A97" s="29"/>
      <c r="B97" s="29"/>
      <c r="C97" s="29"/>
      <c r="D97" s="32"/>
      <c r="E97" s="32"/>
      <c r="F97" s="32"/>
      <c r="G97" s="32"/>
      <c r="H97" s="32"/>
      <c r="I97" s="27" t="str">
        <f t="shared" si="2"/>
        <v/>
      </c>
      <c r="J97" s="32"/>
      <c r="K97" s="32"/>
      <c r="L97" s="33"/>
      <c r="M97" s="32"/>
      <c r="N97" s="32"/>
      <c r="O97" s="32"/>
      <c r="P97" s="32"/>
      <c r="Q97" s="32"/>
      <c r="R97" s="32"/>
      <c r="S97" s="31"/>
      <c r="T97" s="88" t="str">
        <f ca="1" t="shared" si="1"/>
        <v/>
      </c>
      <c r="U97" s="27"/>
      <c r="V97" s="27"/>
      <c r="W97" s="27"/>
      <c r="X97" s="33"/>
      <c r="Y97" s="30"/>
      <c r="Z97" s="33"/>
      <c r="AA97" s="30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</row>
    <row r="98" ht="15.75" customHeight="1" spans="1:43">
      <c r="A98" s="29"/>
      <c r="B98" s="29"/>
      <c r="C98" s="29"/>
      <c r="D98" s="32"/>
      <c r="E98" s="32"/>
      <c r="F98" s="32"/>
      <c r="G98" s="32"/>
      <c r="H98" s="32"/>
      <c r="I98" s="27" t="str">
        <f t="shared" si="2"/>
        <v/>
      </c>
      <c r="J98" s="32"/>
      <c r="K98" s="32"/>
      <c r="L98" s="33"/>
      <c r="M98" s="32"/>
      <c r="N98" s="32"/>
      <c r="O98" s="32"/>
      <c r="P98" s="32"/>
      <c r="Q98" s="32"/>
      <c r="R98" s="32"/>
      <c r="S98" s="31"/>
      <c r="T98" s="88" t="str">
        <f ca="1" t="shared" si="1"/>
        <v/>
      </c>
      <c r="U98" s="27"/>
      <c r="V98" s="27"/>
      <c r="W98" s="27"/>
      <c r="X98" s="33"/>
      <c r="Y98" s="30"/>
      <c r="Z98" s="33"/>
      <c r="AA98" s="30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</row>
    <row r="99" ht="15.75" customHeight="1" spans="1:43">
      <c r="A99" s="29"/>
      <c r="B99" s="29"/>
      <c r="C99" s="29"/>
      <c r="D99" s="32"/>
      <c r="E99" s="32"/>
      <c r="F99" s="32"/>
      <c r="G99" s="32"/>
      <c r="H99" s="32"/>
      <c r="I99" s="27" t="str">
        <f t="shared" si="2"/>
        <v/>
      </c>
      <c r="J99" s="32"/>
      <c r="K99" s="32"/>
      <c r="L99" s="33"/>
      <c r="M99" s="32"/>
      <c r="N99" s="32"/>
      <c r="O99" s="32"/>
      <c r="P99" s="32"/>
      <c r="Q99" s="32"/>
      <c r="R99" s="32"/>
      <c r="S99" s="31"/>
      <c r="T99" s="88" t="str">
        <f ca="1" t="shared" si="1"/>
        <v/>
      </c>
      <c r="U99" s="27"/>
      <c r="V99" s="27"/>
      <c r="W99" s="27"/>
      <c r="X99" s="33"/>
      <c r="Y99" s="30"/>
      <c r="Z99" s="33"/>
      <c r="AA99" s="30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</row>
    <row r="100" ht="15.75" customHeight="1" spans="1:43">
      <c r="A100" s="29"/>
      <c r="B100" s="29"/>
      <c r="C100" s="29"/>
      <c r="D100" s="32"/>
      <c r="E100" s="32"/>
      <c r="F100" s="32"/>
      <c r="G100" s="32"/>
      <c r="H100" s="32"/>
      <c r="I100" s="27" t="str">
        <f t="shared" si="2"/>
        <v/>
      </c>
      <c r="J100" s="32"/>
      <c r="K100" s="32"/>
      <c r="L100" s="33"/>
      <c r="M100" s="32"/>
      <c r="N100" s="32"/>
      <c r="O100" s="32"/>
      <c r="P100" s="32"/>
      <c r="Q100" s="32"/>
      <c r="R100" s="32"/>
      <c r="S100" s="31"/>
      <c r="T100" s="88" t="str">
        <f ca="1" t="shared" si="1"/>
        <v/>
      </c>
      <c r="U100" s="27"/>
      <c r="V100" s="27"/>
      <c r="W100" s="27"/>
      <c r="X100" s="33"/>
      <c r="Y100" s="30"/>
      <c r="Z100" s="33"/>
      <c r="AA100" s="30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</row>
    <row r="101" ht="15.75" customHeight="1" spans="1:43">
      <c r="A101" s="29"/>
      <c r="B101" s="29"/>
      <c r="C101" s="29"/>
      <c r="D101" s="32"/>
      <c r="E101" s="32"/>
      <c r="F101" s="32"/>
      <c r="G101" s="32"/>
      <c r="H101" s="32"/>
      <c r="I101" s="27" t="str">
        <f t="shared" si="2"/>
        <v/>
      </c>
      <c r="J101" s="32"/>
      <c r="K101" s="32"/>
      <c r="L101" s="33"/>
      <c r="M101" s="32"/>
      <c r="N101" s="32"/>
      <c r="O101" s="32"/>
      <c r="P101" s="32"/>
      <c r="Q101" s="32"/>
      <c r="R101" s="32"/>
      <c r="S101" s="31"/>
      <c r="T101" s="88" t="str">
        <f ca="1" t="shared" si="1"/>
        <v/>
      </c>
      <c r="U101" s="27"/>
      <c r="V101" s="27"/>
      <c r="W101" s="27"/>
      <c r="X101" s="33"/>
      <c r="Y101" s="30"/>
      <c r="Z101" s="33"/>
      <c r="AA101" s="30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</row>
    <row r="102" ht="15.75" customHeight="1" spans="1:43">
      <c r="A102" s="29"/>
      <c r="B102" s="29"/>
      <c r="C102" s="29"/>
      <c r="D102" s="32"/>
      <c r="E102" s="32"/>
      <c r="F102" s="32"/>
      <c r="G102" s="32"/>
      <c r="H102" s="32"/>
      <c r="I102" s="27" t="str">
        <f t="shared" si="2"/>
        <v/>
      </c>
      <c r="J102" s="32"/>
      <c r="K102" s="32"/>
      <c r="L102" s="33"/>
      <c r="M102" s="32"/>
      <c r="N102" s="32"/>
      <c r="O102" s="32"/>
      <c r="P102" s="32"/>
      <c r="Q102" s="32"/>
      <c r="R102" s="32"/>
      <c r="S102" s="31"/>
      <c r="T102" s="88" t="str">
        <f ca="1" t="shared" si="1"/>
        <v/>
      </c>
      <c r="U102" s="27"/>
      <c r="V102" s="27"/>
      <c r="W102" s="27"/>
      <c r="X102" s="33"/>
      <c r="Y102" s="30"/>
      <c r="Z102" s="33"/>
      <c r="AA102" s="30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</row>
    <row r="103" ht="15.75" customHeight="1" spans="1:43">
      <c r="A103" s="29"/>
      <c r="B103" s="29"/>
      <c r="C103" s="29"/>
      <c r="D103" s="32"/>
      <c r="E103" s="32"/>
      <c r="F103" s="32"/>
      <c r="G103" s="32"/>
      <c r="H103" s="32"/>
      <c r="I103" s="27" t="str">
        <f t="shared" si="2"/>
        <v/>
      </c>
      <c r="J103" s="32"/>
      <c r="K103" s="32"/>
      <c r="L103" s="33"/>
      <c r="M103" s="32"/>
      <c r="N103" s="32"/>
      <c r="O103" s="32"/>
      <c r="P103" s="32"/>
      <c r="Q103" s="32"/>
      <c r="R103" s="32"/>
      <c r="S103" s="31"/>
      <c r="T103" s="88" t="str">
        <f ca="1" t="shared" si="1"/>
        <v/>
      </c>
      <c r="U103" s="27"/>
      <c r="V103" s="27"/>
      <c r="W103" s="27"/>
      <c r="X103" s="33"/>
      <c r="Y103" s="30"/>
      <c r="Z103" s="33"/>
      <c r="AA103" s="30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</row>
    <row r="104" ht="15.75" customHeight="1" spans="1:43">
      <c r="A104" s="29"/>
      <c r="B104" s="29"/>
      <c r="C104" s="29"/>
      <c r="D104" s="32"/>
      <c r="E104" s="32"/>
      <c r="F104" s="32"/>
      <c r="G104" s="32"/>
      <c r="H104" s="32"/>
      <c r="I104" s="27" t="str">
        <f t="shared" si="2"/>
        <v/>
      </c>
      <c r="J104" s="32"/>
      <c r="K104" s="32"/>
      <c r="L104" s="33"/>
      <c r="M104" s="32"/>
      <c r="N104" s="32"/>
      <c r="O104" s="32"/>
      <c r="P104" s="32"/>
      <c r="Q104" s="32"/>
      <c r="R104" s="32"/>
      <c r="S104" s="31"/>
      <c r="T104" s="88" t="str">
        <f ca="1" t="shared" si="1"/>
        <v/>
      </c>
      <c r="U104" s="27"/>
      <c r="V104" s="27"/>
      <c r="W104" s="27"/>
      <c r="X104" s="33"/>
      <c r="Y104" s="30"/>
      <c r="Z104" s="33"/>
      <c r="AA104" s="30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</row>
    <row r="105" ht="15.75" customHeight="1" spans="1:43">
      <c r="A105" s="29"/>
      <c r="B105" s="29"/>
      <c r="C105" s="29"/>
      <c r="D105" s="32"/>
      <c r="E105" s="32"/>
      <c r="F105" s="32"/>
      <c r="G105" s="32"/>
      <c r="H105" s="32"/>
      <c r="I105" s="27" t="str">
        <f t="shared" si="2"/>
        <v/>
      </c>
      <c r="J105" s="32"/>
      <c r="K105" s="32"/>
      <c r="L105" s="33"/>
      <c r="M105" s="32"/>
      <c r="N105" s="32"/>
      <c r="O105" s="32"/>
      <c r="P105" s="32"/>
      <c r="Q105" s="32"/>
      <c r="R105" s="32"/>
      <c r="S105" s="31"/>
      <c r="T105" s="88" t="str">
        <f ca="1" t="shared" si="1"/>
        <v/>
      </c>
      <c r="U105" s="27"/>
      <c r="V105" s="27"/>
      <c r="W105" s="27"/>
      <c r="X105" s="33"/>
      <c r="Y105" s="30"/>
      <c r="Z105" s="33"/>
      <c r="AA105" s="30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</row>
    <row r="106" ht="15.75" customHeight="1" spans="1:43">
      <c r="A106" s="29"/>
      <c r="B106" s="29"/>
      <c r="C106" s="29"/>
      <c r="D106" s="32"/>
      <c r="E106" s="32"/>
      <c r="F106" s="32"/>
      <c r="G106" s="32"/>
      <c r="H106" s="32"/>
      <c r="I106" s="27" t="str">
        <f t="shared" si="2"/>
        <v/>
      </c>
      <c r="J106" s="32"/>
      <c r="K106" s="32"/>
      <c r="L106" s="33"/>
      <c r="M106" s="32"/>
      <c r="N106" s="32"/>
      <c r="O106" s="32"/>
      <c r="P106" s="32"/>
      <c r="Q106" s="32"/>
      <c r="R106" s="32"/>
      <c r="S106" s="31"/>
      <c r="T106" s="88" t="str">
        <f ca="1" t="shared" si="1"/>
        <v/>
      </c>
      <c r="U106" s="27"/>
      <c r="V106" s="27"/>
      <c r="W106" s="27"/>
      <c r="X106" s="33"/>
      <c r="Y106" s="30"/>
      <c r="Z106" s="33"/>
      <c r="AA106" s="30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</row>
    <row r="107" ht="15.75" customHeight="1" spans="1:43">
      <c r="A107" s="29"/>
      <c r="B107" s="29"/>
      <c r="C107" s="29"/>
      <c r="D107" s="32"/>
      <c r="E107" s="32"/>
      <c r="F107" s="32"/>
      <c r="G107" s="32"/>
      <c r="H107" s="32"/>
      <c r="I107" s="27" t="str">
        <f t="shared" si="2"/>
        <v/>
      </c>
      <c r="J107" s="32"/>
      <c r="K107" s="32"/>
      <c r="L107" s="33"/>
      <c r="M107" s="32"/>
      <c r="N107" s="32"/>
      <c r="O107" s="32"/>
      <c r="P107" s="32"/>
      <c r="Q107" s="32"/>
      <c r="R107" s="32"/>
      <c r="S107" s="31"/>
      <c r="T107" s="88" t="str">
        <f ca="1" t="shared" si="1"/>
        <v/>
      </c>
      <c r="U107" s="27"/>
      <c r="V107" s="27"/>
      <c r="W107" s="27"/>
      <c r="X107" s="33"/>
      <c r="Y107" s="30"/>
      <c r="Z107" s="33"/>
      <c r="AA107" s="30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</row>
    <row r="108" ht="15.75" customHeight="1" spans="1:43">
      <c r="A108" s="29"/>
      <c r="B108" s="29"/>
      <c r="C108" s="29"/>
      <c r="D108" s="32"/>
      <c r="E108" s="32"/>
      <c r="F108" s="32"/>
      <c r="G108" s="32"/>
      <c r="H108" s="32"/>
      <c r="I108" s="27" t="str">
        <f t="shared" si="2"/>
        <v/>
      </c>
      <c r="J108" s="32"/>
      <c r="K108" s="32"/>
      <c r="L108" s="33"/>
      <c r="M108" s="32"/>
      <c r="N108" s="32"/>
      <c r="O108" s="32"/>
      <c r="P108" s="32"/>
      <c r="Q108" s="32"/>
      <c r="R108" s="32"/>
      <c r="S108" s="31"/>
      <c r="T108" s="88" t="str">
        <f ca="1" t="shared" si="1"/>
        <v/>
      </c>
      <c r="U108" s="27"/>
      <c r="V108" s="27"/>
      <c r="W108" s="27"/>
      <c r="X108" s="33"/>
      <c r="Y108" s="30"/>
      <c r="Z108" s="33"/>
      <c r="AA108" s="30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</row>
    <row r="109" ht="15.75" customHeight="1" spans="1:43">
      <c r="A109" s="29"/>
      <c r="B109" s="29"/>
      <c r="C109" s="29"/>
      <c r="D109" s="32"/>
      <c r="E109" s="32"/>
      <c r="F109" s="32"/>
      <c r="G109" s="32"/>
      <c r="H109" s="32"/>
      <c r="I109" s="27" t="str">
        <f t="shared" si="2"/>
        <v/>
      </c>
      <c r="J109" s="32"/>
      <c r="K109" s="32"/>
      <c r="L109" s="33"/>
      <c r="M109" s="32"/>
      <c r="N109" s="32"/>
      <c r="O109" s="32"/>
      <c r="P109" s="32"/>
      <c r="Q109" s="32"/>
      <c r="R109" s="32"/>
      <c r="S109" s="31"/>
      <c r="T109" s="88" t="str">
        <f ca="1" t="shared" si="1"/>
        <v/>
      </c>
      <c r="U109" s="27"/>
      <c r="V109" s="27"/>
      <c r="W109" s="27"/>
      <c r="X109" s="33"/>
      <c r="Y109" s="30"/>
      <c r="Z109" s="33"/>
      <c r="AA109" s="30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</row>
    <row r="110" ht="15.75" customHeight="1" spans="1:43">
      <c r="A110" s="29"/>
      <c r="B110" s="29"/>
      <c r="C110" s="29"/>
      <c r="D110" s="32"/>
      <c r="E110" s="32"/>
      <c r="F110" s="32"/>
      <c r="G110" s="32"/>
      <c r="H110" s="32"/>
      <c r="I110" s="27" t="str">
        <f t="shared" si="2"/>
        <v/>
      </c>
      <c r="J110" s="32"/>
      <c r="K110" s="32"/>
      <c r="L110" s="33"/>
      <c r="M110" s="32"/>
      <c r="N110" s="32"/>
      <c r="O110" s="32"/>
      <c r="P110" s="32"/>
      <c r="Q110" s="32"/>
      <c r="R110" s="32"/>
      <c r="S110" s="31"/>
      <c r="T110" s="88" t="str">
        <f ca="1" t="shared" si="1"/>
        <v/>
      </c>
      <c r="U110" s="27"/>
      <c r="V110" s="27"/>
      <c r="W110" s="27"/>
      <c r="X110" s="33"/>
      <c r="Y110" s="30"/>
      <c r="Z110" s="33"/>
      <c r="AA110" s="30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</row>
    <row r="111" ht="15.75" customHeight="1" spans="1:43">
      <c r="A111" s="29"/>
      <c r="B111" s="29"/>
      <c r="C111" s="29"/>
      <c r="D111" s="32"/>
      <c r="E111" s="32"/>
      <c r="F111" s="32"/>
      <c r="G111" s="32"/>
      <c r="H111" s="32"/>
      <c r="I111" s="27" t="str">
        <f t="shared" si="2"/>
        <v/>
      </c>
      <c r="J111" s="32"/>
      <c r="K111" s="32"/>
      <c r="L111" s="33"/>
      <c r="M111" s="32"/>
      <c r="N111" s="32"/>
      <c r="O111" s="32"/>
      <c r="P111" s="32"/>
      <c r="Q111" s="32"/>
      <c r="R111" s="32"/>
      <c r="S111" s="31"/>
      <c r="T111" s="88" t="str">
        <f ca="1" t="shared" si="1"/>
        <v/>
      </c>
      <c r="U111" s="27"/>
      <c r="V111" s="27"/>
      <c r="W111" s="27"/>
      <c r="X111" s="33"/>
      <c r="Y111" s="30"/>
      <c r="Z111" s="33"/>
      <c r="AA111" s="30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</row>
    <row r="112" ht="15.75" customHeight="1" spans="1:43">
      <c r="A112" s="29"/>
      <c r="B112" s="29"/>
      <c r="C112" s="29"/>
      <c r="D112" s="32"/>
      <c r="E112" s="32"/>
      <c r="F112" s="32"/>
      <c r="G112" s="32"/>
      <c r="H112" s="32"/>
      <c r="I112" s="27" t="str">
        <f t="shared" si="2"/>
        <v/>
      </c>
      <c r="J112" s="32"/>
      <c r="K112" s="32"/>
      <c r="L112" s="33"/>
      <c r="M112" s="32"/>
      <c r="N112" s="32"/>
      <c r="O112" s="32"/>
      <c r="P112" s="32"/>
      <c r="Q112" s="32"/>
      <c r="R112" s="32"/>
      <c r="S112" s="31"/>
      <c r="T112" s="88" t="str">
        <f ca="1" t="shared" si="1"/>
        <v/>
      </c>
      <c r="U112" s="27"/>
      <c r="V112" s="27"/>
      <c r="W112" s="27"/>
      <c r="X112" s="33"/>
      <c r="Y112" s="30"/>
      <c r="Z112" s="33"/>
      <c r="AA112" s="30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</row>
    <row r="113" ht="15.75" customHeight="1" spans="1:43">
      <c r="A113" s="29"/>
      <c r="B113" s="29"/>
      <c r="C113" s="29"/>
      <c r="D113" s="32"/>
      <c r="E113" s="32"/>
      <c r="F113" s="32"/>
      <c r="G113" s="32"/>
      <c r="H113" s="32"/>
      <c r="I113" s="27" t="str">
        <f t="shared" si="2"/>
        <v/>
      </c>
      <c r="J113" s="32"/>
      <c r="K113" s="32"/>
      <c r="L113" s="33"/>
      <c r="M113" s="32"/>
      <c r="N113" s="32"/>
      <c r="O113" s="32"/>
      <c r="P113" s="32"/>
      <c r="Q113" s="32"/>
      <c r="R113" s="32"/>
      <c r="S113" s="31"/>
      <c r="T113" s="88" t="str">
        <f ca="1" t="shared" si="1"/>
        <v/>
      </c>
      <c r="U113" s="27"/>
      <c r="V113" s="27"/>
      <c r="W113" s="27"/>
      <c r="X113" s="33"/>
      <c r="Y113" s="30"/>
      <c r="Z113" s="33"/>
      <c r="AA113" s="30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</row>
    <row r="114" ht="15.75" customHeight="1" spans="1:43">
      <c r="A114" s="29"/>
      <c r="B114" s="29"/>
      <c r="C114" s="29"/>
      <c r="D114" s="32"/>
      <c r="E114" s="32"/>
      <c r="F114" s="32"/>
      <c r="G114" s="32"/>
      <c r="H114" s="32"/>
      <c r="I114" s="27" t="str">
        <f t="shared" si="2"/>
        <v/>
      </c>
      <c r="J114" s="32"/>
      <c r="K114" s="32"/>
      <c r="L114" s="33"/>
      <c r="M114" s="32"/>
      <c r="N114" s="32"/>
      <c r="O114" s="32"/>
      <c r="P114" s="32"/>
      <c r="Q114" s="32"/>
      <c r="R114" s="32"/>
      <c r="S114" s="31"/>
      <c r="T114" s="88" t="str">
        <f ca="1" t="shared" si="1"/>
        <v/>
      </c>
      <c r="U114" s="27"/>
      <c r="V114" s="27"/>
      <c r="W114" s="27"/>
      <c r="X114" s="33"/>
      <c r="Y114" s="30"/>
      <c r="Z114" s="33"/>
      <c r="AA114" s="30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</row>
    <row r="115" ht="15.75" customHeight="1" spans="1:43">
      <c r="A115" s="29"/>
      <c r="B115" s="29"/>
      <c r="C115" s="29"/>
      <c r="D115" s="32"/>
      <c r="E115" s="32"/>
      <c r="F115" s="32"/>
      <c r="G115" s="32"/>
      <c r="H115" s="32"/>
      <c r="I115" s="27" t="str">
        <f t="shared" si="2"/>
        <v/>
      </c>
      <c r="J115" s="32"/>
      <c r="K115" s="32"/>
      <c r="L115" s="33"/>
      <c r="M115" s="32"/>
      <c r="N115" s="32"/>
      <c r="O115" s="32"/>
      <c r="P115" s="32"/>
      <c r="Q115" s="32"/>
      <c r="R115" s="32"/>
      <c r="S115" s="31"/>
      <c r="T115" s="88" t="str">
        <f ca="1" t="shared" si="1"/>
        <v/>
      </c>
      <c r="U115" s="27"/>
      <c r="V115" s="27"/>
      <c r="W115" s="27"/>
      <c r="X115" s="33"/>
      <c r="Y115" s="30"/>
      <c r="Z115" s="33"/>
      <c r="AA115" s="30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</row>
    <row r="116" ht="15.75" customHeight="1" spans="1:43">
      <c r="A116" s="29"/>
      <c r="B116" s="29"/>
      <c r="C116" s="29"/>
      <c r="D116" s="32"/>
      <c r="E116" s="32"/>
      <c r="F116" s="32"/>
      <c r="G116" s="32"/>
      <c r="H116" s="32"/>
      <c r="I116" s="27" t="str">
        <f t="shared" si="2"/>
        <v/>
      </c>
      <c r="J116" s="32"/>
      <c r="K116" s="32"/>
      <c r="L116" s="33"/>
      <c r="M116" s="32"/>
      <c r="N116" s="32"/>
      <c r="O116" s="32"/>
      <c r="P116" s="32"/>
      <c r="Q116" s="32"/>
      <c r="R116" s="32"/>
      <c r="S116" s="31"/>
      <c r="T116" s="88" t="str">
        <f ca="1" t="shared" si="1"/>
        <v/>
      </c>
      <c r="U116" s="27"/>
      <c r="V116" s="27"/>
      <c r="W116" s="27"/>
      <c r="X116" s="33"/>
      <c r="Y116" s="30"/>
      <c r="Z116" s="33"/>
      <c r="AA116" s="30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</row>
    <row r="117" ht="15.75" customHeight="1" spans="1:43">
      <c r="A117" s="29"/>
      <c r="B117" s="29"/>
      <c r="C117" s="29"/>
      <c r="D117" s="32"/>
      <c r="E117" s="32"/>
      <c r="F117" s="32"/>
      <c r="G117" s="32"/>
      <c r="H117" s="32"/>
      <c r="I117" s="27" t="str">
        <f t="shared" si="2"/>
        <v/>
      </c>
      <c r="J117" s="32"/>
      <c r="K117" s="32"/>
      <c r="L117" s="33"/>
      <c r="M117" s="32"/>
      <c r="N117" s="32"/>
      <c r="O117" s="32"/>
      <c r="P117" s="32"/>
      <c r="Q117" s="32"/>
      <c r="R117" s="32"/>
      <c r="S117" s="31"/>
      <c r="T117" s="88" t="str">
        <f ca="1" t="shared" si="1"/>
        <v/>
      </c>
      <c r="U117" s="27"/>
      <c r="V117" s="27"/>
      <c r="W117" s="27"/>
      <c r="X117" s="33"/>
      <c r="Y117" s="30"/>
      <c r="Z117" s="33"/>
      <c r="AA117" s="30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</row>
    <row r="118" ht="15.75" customHeight="1" spans="1:43">
      <c r="A118" s="29"/>
      <c r="B118" s="29"/>
      <c r="C118" s="29"/>
      <c r="D118" s="32"/>
      <c r="E118" s="32"/>
      <c r="F118" s="32"/>
      <c r="G118" s="32"/>
      <c r="H118" s="32"/>
      <c r="I118" s="27" t="str">
        <f t="shared" si="2"/>
        <v/>
      </c>
      <c r="J118" s="32"/>
      <c r="K118" s="32"/>
      <c r="L118" s="33"/>
      <c r="M118" s="32"/>
      <c r="N118" s="32"/>
      <c r="O118" s="32"/>
      <c r="P118" s="32"/>
      <c r="Q118" s="32"/>
      <c r="R118" s="32"/>
      <c r="S118" s="31"/>
      <c r="T118" s="88" t="str">
        <f ca="1" t="shared" si="1"/>
        <v/>
      </c>
      <c r="U118" s="27"/>
      <c r="V118" s="27"/>
      <c r="W118" s="27"/>
      <c r="X118" s="33"/>
      <c r="Y118" s="30"/>
      <c r="Z118" s="33"/>
      <c r="AA118" s="30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</row>
    <row r="119" ht="15.75" customHeight="1" spans="1:43">
      <c r="A119" s="29"/>
      <c r="B119" s="29"/>
      <c r="C119" s="29"/>
      <c r="D119" s="32"/>
      <c r="E119" s="32"/>
      <c r="F119" s="32"/>
      <c r="G119" s="32"/>
      <c r="H119" s="32"/>
      <c r="I119" s="27" t="str">
        <f t="shared" si="2"/>
        <v/>
      </c>
      <c r="J119" s="32"/>
      <c r="K119" s="32"/>
      <c r="L119" s="33"/>
      <c r="M119" s="32"/>
      <c r="N119" s="32"/>
      <c r="O119" s="32"/>
      <c r="P119" s="32"/>
      <c r="Q119" s="32"/>
      <c r="R119" s="32"/>
      <c r="S119" s="31"/>
      <c r="T119" s="88" t="str">
        <f ca="1" t="shared" si="1"/>
        <v/>
      </c>
      <c r="U119" s="27"/>
      <c r="V119" s="27"/>
      <c r="W119" s="27"/>
      <c r="X119" s="33"/>
      <c r="Y119" s="30"/>
      <c r="Z119" s="33"/>
      <c r="AA119" s="30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</row>
    <row r="120" ht="15.75" customHeight="1" spans="1:43">
      <c r="A120" s="29"/>
      <c r="B120" s="29"/>
      <c r="C120" s="29"/>
      <c r="D120" s="32"/>
      <c r="E120" s="32"/>
      <c r="F120" s="32"/>
      <c r="G120" s="32"/>
      <c r="H120" s="32"/>
      <c r="I120" s="27" t="str">
        <f t="shared" si="2"/>
        <v/>
      </c>
      <c r="J120" s="32"/>
      <c r="K120" s="32"/>
      <c r="L120" s="33"/>
      <c r="M120" s="32"/>
      <c r="N120" s="32"/>
      <c r="O120" s="32"/>
      <c r="P120" s="32"/>
      <c r="Q120" s="32"/>
      <c r="R120" s="32"/>
      <c r="S120" s="31"/>
      <c r="T120" s="88" t="str">
        <f ca="1" t="shared" si="1"/>
        <v/>
      </c>
      <c r="U120" s="27"/>
      <c r="V120" s="27"/>
      <c r="W120" s="27"/>
      <c r="X120" s="33"/>
      <c r="Y120" s="30"/>
      <c r="Z120" s="33"/>
      <c r="AA120" s="30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</row>
    <row r="121" ht="15.75" customHeight="1" spans="1:43">
      <c r="A121" s="29"/>
      <c r="B121" s="29"/>
      <c r="C121" s="29"/>
      <c r="D121" s="32"/>
      <c r="E121" s="32"/>
      <c r="F121" s="32"/>
      <c r="G121" s="32"/>
      <c r="H121" s="32"/>
      <c r="I121" s="27" t="str">
        <f t="shared" si="2"/>
        <v/>
      </c>
      <c r="J121" s="32"/>
      <c r="K121" s="32"/>
      <c r="L121" s="33"/>
      <c r="M121" s="32"/>
      <c r="N121" s="32"/>
      <c r="O121" s="32"/>
      <c r="P121" s="32"/>
      <c r="Q121" s="32"/>
      <c r="R121" s="32"/>
      <c r="S121" s="31"/>
      <c r="T121" s="88" t="str">
        <f ca="1" t="shared" si="1"/>
        <v/>
      </c>
      <c r="U121" s="27"/>
      <c r="V121" s="27"/>
      <c r="W121" s="27"/>
      <c r="X121" s="33"/>
      <c r="Y121" s="30"/>
      <c r="Z121" s="33"/>
      <c r="AA121" s="30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</row>
    <row r="122" ht="15.75" customHeight="1" spans="1:43">
      <c r="A122" s="29"/>
      <c r="B122" s="29"/>
      <c r="C122" s="29"/>
      <c r="D122" s="32"/>
      <c r="E122" s="32"/>
      <c r="F122" s="32"/>
      <c r="G122" s="32"/>
      <c r="H122" s="32"/>
      <c r="I122" s="27" t="str">
        <f t="shared" si="2"/>
        <v/>
      </c>
      <c r="J122" s="32"/>
      <c r="K122" s="32"/>
      <c r="L122" s="33"/>
      <c r="M122" s="32"/>
      <c r="N122" s="32"/>
      <c r="O122" s="32"/>
      <c r="P122" s="32"/>
      <c r="Q122" s="32"/>
      <c r="R122" s="32"/>
      <c r="S122" s="31"/>
      <c r="T122" s="88" t="str">
        <f ca="1" t="shared" si="1"/>
        <v/>
      </c>
      <c r="U122" s="27"/>
      <c r="V122" s="27"/>
      <c r="W122" s="27"/>
      <c r="X122" s="33"/>
      <c r="Y122" s="30"/>
      <c r="Z122" s="33"/>
      <c r="AA122" s="30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</row>
    <row r="123" ht="15.75" customHeight="1" spans="1:43">
      <c r="A123" s="29"/>
      <c r="B123" s="29"/>
      <c r="C123" s="29"/>
      <c r="D123" s="32"/>
      <c r="E123" s="32"/>
      <c r="F123" s="32"/>
      <c r="G123" s="32"/>
      <c r="H123" s="32"/>
      <c r="I123" s="27" t="str">
        <f t="shared" si="2"/>
        <v/>
      </c>
      <c r="J123" s="32"/>
      <c r="K123" s="32"/>
      <c r="L123" s="33"/>
      <c r="M123" s="32"/>
      <c r="N123" s="32"/>
      <c r="O123" s="32"/>
      <c r="P123" s="32"/>
      <c r="Q123" s="32"/>
      <c r="R123" s="32"/>
      <c r="S123" s="31"/>
      <c r="T123" s="88" t="str">
        <f ca="1" t="shared" si="1"/>
        <v/>
      </c>
      <c r="U123" s="27"/>
      <c r="V123" s="27"/>
      <c r="W123" s="27"/>
      <c r="X123" s="33"/>
      <c r="Y123" s="30"/>
      <c r="Z123" s="33"/>
      <c r="AA123" s="30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</row>
    <row r="124" ht="15.75" customHeight="1" spans="1:43">
      <c r="A124" s="29"/>
      <c r="B124" s="29"/>
      <c r="C124" s="29"/>
      <c r="D124" s="32"/>
      <c r="E124" s="32"/>
      <c r="F124" s="32"/>
      <c r="G124" s="32"/>
      <c r="H124" s="32"/>
      <c r="I124" s="27" t="str">
        <f t="shared" si="2"/>
        <v/>
      </c>
      <c r="J124" s="32"/>
      <c r="K124" s="32"/>
      <c r="L124" s="33"/>
      <c r="M124" s="32"/>
      <c r="N124" s="32"/>
      <c r="O124" s="32"/>
      <c r="P124" s="32"/>
      <c r="Q124" s="32"/>
      <c r="R124" s="32"/>
      <c r="S124" s="31"/>
      <c r="T124" s="88" t="str">
        <f ca="1" t="shared" si="1"/>
        <v/>
      </c>
      <c r="U124" s="27"/>
      <c r="V124" s="27"/>
      <c r="W124" s="27"/>
      <c r="X124" s="33"/>
      <c r="Y124" s="30"/>
      <c r="Z124" s="33"/>
      <c r="AA124" s="30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</row>
    <row r="125" ht="15.75" customHeight="1" spans="1:43">
      <c r="A125" s="29"/>
      <c r="B125" s="29"/>
      <c r="C125" s="29"/>
      <c r="D125" s="32"/>
      <c r="E125" s="32"/>
      <c r="F125" s="32"/>
      <c r="G125" s="32"/>
      <c r="H125" s="32"/>
      <c r="I125" s="27" t="str">
        <f t="shared" si="2"/>
        <v/>
      </c>
      <c r="J125" s="32"/>
      <c r="K125" s="32"/>
      <c r="L125" s="33"/>
      <c r="M125" s="32"/>
      <c r="N125" s="32"/>
      <c r="O125" s="32"/>
      <c r="P125" s="32"/>
      <c r="Q125" s="32"/>
      <c r="R125" s="32"/>
      <c r="S125" s="31"/>
      <c r="T125" s="88" t="str">
        <f ca="1" t="shared" si="1"/>
        <v/>
      </c>
      <c r="U125" s="27"/>
      <c r="V125" s="27"/>
      <c r="W125" s="27"/>
      <c r="X125" s="33"/>
      <c r="Y125" s="30"/>
      <c r="Z125" s="33"/>
      <c r="AA125" s="30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</row>
    <row r="126" ht="15.75" customHeight="1" spans="1:43">
      <c r="A126" s="29"/>
      <c r="B126" s="29"/>
      <c r="C126" s="29"/>
      <c r="D126" s="32"/>
      <c r="E126" s="32"/>
      <c r="F126" s="32"/>
      <c r="G126" s="32"/>
      <c r="H126" s="32"/>
      <c r="I126" s="27" t="str">
        <f t="shared" si="2"/>
        <v/>
      </c>
      <c r="J126" s="32"/>
      <c r="K126" s="32"/>
      <c r="L126" s="33"/>
      <c r="M126" s="32"/>
      <c r="N126" s="32"/>
      <c r="O126" s="32"/>
      <c r="P126" s="32"/>
      <c r="Q126" s="32"/>
      <c r="R126" s="32"/>
      <c r="S126" s="31"/>
      <c r="T126" s="88" t="str">
        <f ca="1" t="shared" si="1"/>
        <v/>
      </c>
      <c r="U126" s="27"/>
      <c r="V126" s="27"/>
      <c r="W126" s="27"/>
      <c r="X126" s="33"/>
      <c r="Y126" s="30"/>
      <c r="Z126" s="33"/>
      <c r="AA126" s="30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</row>
    <row r="127" ht="15.75" customHeight="1" spans="1:43">
      <c r="A127" s="29"/>
      <c r="B127" s="29"/>
      <c r="C127" s="29"/>
      <c r="D127" s="32"/>
      <c r="E127" s="32"/>
      <c r="F127" s="32"/>
      <c r="G127" s="32"/>
      <c r="H127" s="32"/>
      <c r="I127" s="27" t="str">
        <f t="shared" si="2"/>
        <v/>
      </c>
      <c r="J127" s="32"/>
      <c r="K127" s="32"/>
      <c r="L127" s="33"/>
      <c r="M127" s="32"/>
      <c r="N127" s="32"/>
      <c r="O127" s="32"/>
      <c r="P127" s="32"/>
      <c r="Q127" s="32"/>
      <c r="R127" s="32"/>
      <c r="S127" s="31"/>
      <c r="T127" s="88" t="str">
        <f ca="1" t="shared" si="1"/>
        <v/>
      </c>
      <c r="U127" s="27"/>
      <c r="V127" s="27"/>
      <c r="W127" s="27"/>
      <c r="X127" s="33"/>
      <c r="Y127" s="30"/>
      <c r="Z127" s="33"/>
      <c r="AA127" s="30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</row>
    <row r="128" ht="15.75" customHeight="1" spans="1:43">
      <c r="A128" s="29"/>
      <c r="B128" s="29"/>
      <c r="C128" s="29"/>
      <c r="D128" s="32"/>
      <c r="E128" s="32"/>
      <c r="F128" s="32"/>
      <c r="G128" s="32"/>
      <c r="H128" s="32"/>
      <c r="I128" s="27" t="str">
        <f t="shared" si="2"/>
        <v/>
      </c>
      <c r="J128" s="32"/>
      <c r="K128" s="32"/>
      <c r="L128" s="33"/>
      <c r="M128" s="32"/>
      <c r="N128" s="32"/>
      <c r="O128" s="32"/>
      <c r="P128" s="32"/>
      <c r="Q128" s="32"/>
      <c r="R128" s="32"/>
      <c r="S128" s="31"/>
      <c r="T128" s="88" t="str">
        <f ca="1" t="shared" si="1"/>
        <v/>
      </c>
      <c r="U128" s="27"/>
      <c r="V128" s="27"/>
      <c r="W128" s="27"/>
      <c r="X128" s="33"/>
      <c r="Y128" s="30"/>
      <c r="Z128" s="33"/>
      <c r="AA128" s="30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</row>
    <row r="129" ht="15.75" customHeight="1" spans="1:43">
      <c r="A129" s="29"/>
      <c r="B129" s="29"/>
      <c r="C129" s="29"/>
      <c r="D129" s="32"/>
      <c r="E129" s="32"/>
      <c r="F129" s="32"/>
      <c r="G129" s="32"/>
      <c r="H129" s="32"/>
      <c r="I129" s="27" t="str">
        <f t="shared" si="2"/>
        <v/>
      </c>
      <c r="J129" s="32"/>
      <c r="K129" s="32"/>
      <c r="L129" s="33"/>
      <c r="M129" s="32"/>
      <c r="N129" s="32"/>
      <c r="O129" s="32"/>
      <c r="P129" s="32"/>
      <c r="Q129" s="32"/>
      <c r="R129" s="32"/>
      <c r="S129" s="31"/>
      <c r="T129" s="88" t="str">
        <f ca="1" t="shared" si="1"/>
        <v/>
      </c>
      <c r="U129" s="27"/>
      <c r="V129" s="27"/>
      <c r="W129" s="27"/>
      <c r="X129" s="33"/>
      <c r="Y129" s="30"/>
      <c r="Z129" s="33"/>
      <c r="AA129" s="30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</row>
    <row r="130" ht="15.75" customHeight="1" spans="1:43">
      <c r="A130" s="29"/>
      <c r="B130" s="29"/>
      <c r="C130" s="29"/>
      <c r="D130" s="32"/>
      <c r="E130" s="32"/>
      <c r="F130" s="32"/>
      <c r="G130" s="32"/>
      <c r="H130" s="32"/>
      <c r="I130" s="27" t="str">
        <f t="shared" si="2"/>
        <v/>
      </c>
      <c r="J130" s="32"/>
      <c r="K130" s="32"/>
      <c r="L130" s="33"/>
      <c r="M130" s="32"/>
      <c r="N130" s="32"/>
      <c r="O130" s="32"/>
      <c r="P130" s="32"/>
      <c r="Q130" s="32"/>
      <c r="R130" s="32"/>
      <c r="S130" s="31"/>
      <c r="T130" s="88" t="str">
        <f ca="1" t="shared" si="1"/>
        <v/>
      </c>
      <c r="U130" s="27"/>
      <c r="V130" s="27"/>
      <c r="W130" s="27"/>
      <c r="X130" s="33"/>
      <c r="Y130" s="30"/>
      <c r="Z130" s="33"/>
      <c r="AA130" s="30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</row>
    <row r="131" ht="15.75" customHeight="1" spans="1:43">
      <c r="A131" s="29"/>
      <c r="B131" s="29"/>
      <c r="C131" s="29"/>
      <c r="D131" s="32"/>
      <c r="E131" s="32"/>
      <c r="F131" s="32"/>
      <c r="G131" s="32"/>
      <c r="H131" s="32"/>
      <c r="I131" s="27" t="str">
        <f t="shared" si="2"/>
        <v/>
      </c>
      <c r="J131" s="32"/>
      <c r="K131" s="32"/>
      <c r="L131" s="33"/>
      <c r="M131" s="32"/>
      <c r="N131" s="32"/>
      <c r="O131" s="32"/>
      <c r="P131" s="32"/>
      <c r="Q131" s="32"/>
      <c r="R131" s="32"/>
      <c r="S131" s="31"/>
      <c r="T131" s="88" t="str">
        <f ca="1" t="shared" si="1"/>
        <v/>
      </c>
      <c r="U131" s="27"/>
      <c r="V131" s="27"/>
      <c r="W131" s="27"/>
      <c r="X131" s="33"/>
      <c r="Y131" s="30"/>
      <c r="Z131" s="33"/>
      <c r="AA131" s="30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</row>
    <row r="132" ht="15.75" customHeight="1" spans="1:43">
      <c r="A132" s="29"/>
      <c r="B132" s="29"/>
      <c r="C132" s="29"/>
      <c r="D132" s="32"/>
      <c r="E132" s="32"/>
      <c r="F132" s="32"/>
      <c r="G132" s="32"/>
      <c r="H132" s="32"/>
      <c r="I132" s="27" t="str">
        <f t="shared" si="2"/>
        <v/>
      </c>
      <c r="J132" s="32"/>
      <c r="K132" s="32"/>
      <c r="L132" s="33"/>
      <c r="M132" s="32"/>
      <c r="N132" s="32"/>
      <c r="O132" s="32"/>
      <c r="P132" s="32"/>
      <c r="Q132" s="32"/>
      <c r="R132" s="32"/>
      <c r="S132" s="31"/>
      <c r="T132" s="88" t="str">
        <f ca="1" t="shared" si="1"/>
        <v/>
      </c>
      <c r="U132" s="27"/>
      <c r="V132" s="27"/>
      <c r="W132" s="27"/>
      <c r="X132" s="33"/>
      <c r="Y132" s="30"/>
      <c r="Z132" s="33"/>
      <c r="AA132" s="30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</row>
    <row r="133" ht="15.75" customHeight="1" spans="1:43">
      <c r="A133" s="29"/>
      <c r="B133" s="29"/>
      <c r="C133" s="29"/>
      <c r="D133" s="32"/>
      <c r="E133" s="32"/>
      <c r="F133" s="32"/>
      <c r="G133" s="32"/>
      <c r="H133" s="32"/>
      <c r="I133" s="27" t="str">
        <f t="shared" si="2"/>
        <v/>
      </c>
      <c r="J133" s="32"/>
      <c r="K133" s="32"/>
      <c r="L133" s="33"/>
      <c r="M133" s="32"/>
      <c r="N133" s="32"/>
      <c r="O133" s="32"/>
      <c r="P133" s="32"/>
      <c r="Q133" s="32"/>
      <c r="R133" s="32"/>
      <c r="S133" s="31"/>
      <c r="T133" s="88" t="str">
        <f ca="1" t="shared" si="1"/>
        <v/>
      </c>
      <c r="U133" s="27"/>
      <c r="V133" s="27"/>
      <c r="W133" s="27"/>
      <c r="X133" s="33"/>
      <c r="Y133" s="30"/>
      <c r="Z133" s="33"/>
      <c r="AA133" s="30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</row>
    <row r="134" ht="15.75" customHeight="1" spans="1:43">
      <c r="A134" s="29"/>
      <c r="B134" s="29"/>
      <c r="C134" s="29"/>
      <c r="D134" s="32"/>
      <c r="E134" s="32"/>
      <c r="F134" s="32"/>
      <c r="G134" s="32"/>
      <c r="H134" s="32"/>
      <c r="I134" s="27" t="str">
        <f t="shared" si="2"/>
        <v/>
      </c>
      <c r="J134" s="32"/>
      <c r="K134" s="32"/>
      <c r="L134" s="33"/>
      <c r="M134" s="32"/>
      <c r="N134" s="32"/>
      <c r="O134" s="32"/>
      <c r="P134" s="32"/>
      <c r="Q134" s="32"/>
      <c r="R134" s="32"/>
      <c r="S134" s="31"/>
      <c r="T134" s="88" t="str">
        <f ca="1" t="shared" si="1"/>
        <v/>
      </c>
      <c r="U134" s="27"/>
      <c r="V134" s="27"/>
      <c r="W134" s="27"/>
      <c r="X134" s="33"/>
      <c r="Y134" s="30"/>
      <c r="Z134" s="33"/>
      <c r="AA134" s="30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</row>
    <row r="135" ht="15.75" customHeight="1" spans="1:43">
      <c r="A135" s="29"/>
      <c r="B135" s="29"/>
      <c r="C135" s="29"/>
      <c r="D135" s="32"/>
      <c r="E135" s="32"/>
      <c r="F135" s="32"/>
      <c r="G135" s="32"/>
      <c r="H135" s="32"/>
      <c r="I135" s="27" t="str">
        <f t="shared" si="2"/>
        <v/>
      </c>
      <c r="J135" s="32"/>
      <c r="K135" s="32"/>
      <c r="L135" s="33"/>
      <c r="M135" s="32"/>
      <c r="N135" s="32"/>
      <c r="O135" s="32"/>
      <c r="P135" s="32"/>
      <c r="Q135" s="32"/>
      <c r="R135" s="32"/>
      <c r="S135" s="31"/>
      <c r="T135" s="88" t="str">
        <f ca="1" t="shared" si="1"/>
        <v/>
      </c>
      <c r="U135" s="27"/>
      <c r="V135" s="27"/>
      <c r="W135" s="27"/>
      <c r="X135" s="33"/>
      <c r="Y135" s="30"/>
      <c r="Z135" s="33"/>
      <c r="AA135" s="30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</row>
    <row r="136" ht="15.75" customHeight="1" spans="1:43">
      <c r="A136" s="29"/>
      <c r="B136" s="29"/>
      <c r="C136" s="29"/>
      <c r="D136" s="32"/>
      <c r="E136" s="32"/>
      <c r="F136" s="32"/>
      <c r="G136" s="32"/>
      <c r="H136" s="32"/>
      <c r="I136" s="27" t="str">
        <f t="shared" si="2"/>
        <v/>
      </c>
      <c r="J136" s="32"/>
      <c r="K136" s="32"/>
      <c r="L136" s="33"/>
      <c r="M136" s="32"/>
      <c r="N136" s="32"/>
      <c r="O136" s="32"/>
      <c r="P136" s="32"/>
      <c r="Q136" s="32"/>
      <c r="R136" s="32"/>
      <c r="S136" s="31"/>
      <c r="T136" s="88" t="str">
        <f ca="1" t="shared" si="1"/>
        <v/>
      </c>
      <c r="U136" s="27"/>
      <c r="V136" s="27"/>
      <c r="W136" s="27"/>
      <c r="X136" s="33"/>
      <c r="Y136" s="30"/>
      <c r="Z136" s="33"/>
      <c r="AA136" s="30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</row>
    <row r="137" ht="15.75" customHeight="1" spans="1:43">
      <c r="A137" s="29"/>
      <c r="B137" s="29"/>
      <c r="C137" s="29"/>
      <c r="D137" s="32"/>
      <c r="E137" s="32"/>
      <c r="F137" s="32"/>
      <c r="G137" s="32"/>
      <c r="H137" s="32"/>
      <c r="I137" s="27" t="str">
        <f t="shared" si="2"/>
        <v/>
      </c>
      <c r="J137" s="32"/>
      <c r="K137" s="32"/>
      <c r="L137" s="33"/>
      <c r="M137" s="32"/>
      <c r="N137" s="32"/>
      <c r="O137" s="32"/>
      <c r="P137" s="32"/>
      <c r="Q137" s="32"/>
      <c r="R137" s="32"/>
      <c r="S137" s="31"/>
      <c r="T137" s="88" t="str">
        <f ca="1" t="shared" si="1"/>
        <v/>
      </c>
      <c r="U137" s="27"/>
      <c r="V137" s="27"/>
      <c r="W137" s="27"/>
      <c r="X137" s="33"/>
      <c r="Y137" s="30"/>
      <c r="Z137" s="33"/>
      <c r="AA137" s="30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</row>
    <row r="138" ht="15.75" customHeight="1" spans="1:43">
      <c r="A138" s="29"/>
      <c r="B138" s="29"/>
      <c r="C138" s="29"/>
      <c r="D138" s="32"/>
      <c r="E138" s="32"/>
      <c r="F138" s="32"/>
      <c r="G138" s="32"/>
      <c r="H138" s="32"/>
      <c r="I138" s="27" t="str">
        <f t="shared" si="2"/>
        <v/>
      </c>
      <c r="J138" s="32"/>
      <c r="K138" s="32"/>
      <c r="L138" s="33"/>
      <c r="M138" s="32"/>
      <c r="N138" s="32"/>
      <c r="O138" s="32"/>
      <c r="P138" s="32"/>
      <c r="Q138" s="32"/>
      <c r="R138" s="32"/>
      <c r="S138" s="31"/>
      <c r="T138" s="88" t="str">
        <f ca="1" t="shared" si="1"/>
        <v/>
      </c>
      <c r="U138" s="27"/>
      <c r="V138" s="27"/>
      <c r="W138" s="27"/>
      <c r="X138" s="33"/>
      <c r="Y138" s="30"/>
      <c r="Z138" s="33"/>
      <c r="AA138" s="30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</row>
    <row r="139" ht="15.75" customHeight="1" spans="1:43">
      <c r="A139" s="29"/>
      <c r="B139" s="29"/>
      <c r="C139" s="29"/>
      <c r="D139" s="32"/>
      <c r="E139" s="32"/>
      <c r="F139" s="32"/>
      <c r="G139" s="32"/>
      <c r="H139" s="32"/>
      <c r="I139" s="27" t="str">
        <f t="shared" si="2"/>
        <v/>
      </c>
      <c r="J139" s="32"/>
      <c r="K139" s="32"/>
      <c r="L139" s="33"/>
      <c r="M139" s="32"/>
      <c r="N139" s="32"/>
      <c r="O139" s="32"/>
      <c r="P139" s="32"/>
      <c r="Q139" s="32"/>
      <c r="R139" s="32"/>
      <c r="S139" s="31"/>
      <c r="T139" s="88" t="str">
        <f ca="1" t="shared" si="1"/>
        <v/>
      </c>
      <c r="U139" s="27"/>
      <c r="V139" s="27"/>
      <c r="W139" s="27"/>
      <c r="X139" s="33"/>
      <c r="Y139" s="30"/>
      <c r="Z139" s="33"/>
      <c r="AA139" s="30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</row>
    <row r="140" ht="15.75" customHeight="1" spans="1:43">
      <c r="A140" s="29"/>
      <c r="B140" s="29"/>
      <c r="C140" s="29"/>
      <c r="D140" s="32"/>
      <c r="E140" s="32"/>
      <c r="F140" s="32"/>
      <c r="G140" s="32"/>
      <c r="H140" s="32"/>
      <c r="I140" s="27" t="str">
        <f t="shared" si="2"/>
        <v/>
      </c>
      <c r="J140" s="32"/>
      <c r="K140" s="32"/>
      <c r="L140" s="33"/>
      <c r="M140" s="32"/>
      <c r="N140" s="32"/>
      <c r="O140" s="32"/>
      <c r="P140" s="32"/>
      <c r="Q140" s="32"/>
      <c r="R140" s="32"/>
      <c r="S140" s="31"/>
      <c r="T140" s="88" t="str">
        <f ca="1" t="shared" si="1"/>
        <v/>
      </c>
      <c r="U140" s="27"/>
      <c r="V140" s="27"/>
      <c r="W140" s="27"/>
      <c r="X140" s="33"/>
      <c r="Y140" s="30"/>
      <c r="Z140" s="33"/>
      <c r="AA140" s="30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</row>
    <row r="141" ht="15.75" customHeight="1" spans="1:43">
      <c r="A141" s="29"/>
      <c r="B141" s="29"/>
      <c r="C141" s="29"/>
      <c r="D141" s="32"/>
      <c r="E141" s="32"/>
      <c r="F141" s="32"/>
      <c r="G141" s="32"/>
      <c r="H141" s="32"/>
      <c r="I141" s="27" t="str">
        <f t="shared" si="2"/>
        <v/>
      </c>
      <c r="J141" s="32"/>
      <c r="K141" s="32"/>
      <c r="L141" s="33"/>
      <c r="M141" s="32"/>
      <c r="N141" s="32"/>
      <c r="O141" s="32"/>
      <c r="P141" s="32"/>
      <c r="Q141" s="32"/>
      <c r="R141" s="32"/>
      <c r="S141" s="31"/>
      <c r="T141" s="88" t="str">
        <f ca="1" t="shared" si="1"/>
        <v/>
      </c>
      <c r="U141" s="27"/>
      <c r="V141" s="27"/>
      <c r="W141" s="27"/>
      <c r="X141" s="33"/>
      <c r="Y141" s="30"/>
      <c r="Z141" s="33"/>
      <c r="AA141" s="30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</row>
    <row r="142" ht="15.75" customHeight="1" spans="1:43">
      <c r="A142" s="29"/>
      <c r="B142" s="29"/>
      <c r="C142" s="29"/>
      <c r="D142" s="32"/>
      <c r="E142" s="32"/>
      <c r="F142" s="32"/>
      <c r="G142" s="32"/>
      <c r="H142" s="32"/>
      <c r="I142" s="27" t="str">
        <f t="shared" si="2"/>
        <v/>
      </c>
      <c r="J142" s="32"/>
      <c r="K142" s="32"/>
      <c r="L142" s="33"/>
      <c r="M142" s="32"/>
      <c r="N142" s="32"/>
      <c r="O142" s="32"/>
      <c r="P142" s="32"/>
      <c r="Q142" s="32"/>
      <c r="R142" s="32"/>
      <c r="S142" s="31"/>
      <c r="T142" s="88" t="str">
        <f ca="1" t="shared" si="1"/>
        <v/>
      </c>
      <c r="U142" s="27"/>
      <c r="V142" s="27"/>
      <c r="W142" s="27"/>
      <c r="X142" s="33"/>
      <c r="Y142" s="30"/>
      <c r="Z142" s="33"/>
      <c r="AA142" s="30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</row>
    <row r="143" ht="15.75" customHeight="1" spans="1:43">
      <c r="A143" s="29"/>
      <c r="B143" s="29"/>
      <c r="C143" s="29"/>
      <c r="D143" s="32"/>
      <c r="E143" s="32"/>
      <c r="F143" s="32"/>
      <c r="G143" s="32"/>
      <c r="H143" s="32"/>
      <c r="I143" s="27" t="str">
        <f t="shared" si="2"/>
        <v/>
      </c>
      <c r="J143" s="32"/>
      <c r="K143" s="32"/>
      <c r="L143" s="33"/>
      <c r="M143" s="32"/>
      <c r="N143" s="32"/>
      <c r="O143" s="32"/>
      <c r="P143" s="32"/>
      <c r="Q143" s="32"/>
      <c r="R143" s="32"/>
      <c r="S143" s="31"/>
      <c r="T143" s="88" t="str">
        <f ca="1" t="shared" si="1"/>
        <v/>
      </c>
      <c r="U143" s="27"/>
      <c r="V143" s="27"/>
      <c r="W143" s="27"/>
      <c r="X143" s="33"/>
      <c r="Y143" s="30"/>
      <c r="Z143" s="33"/>
      <c r="AA143" s="30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</row>
    <row r="144" ht="15.75" customHeight="1" spans="1:43">
      <c r="A144" s="29"/>
      <c r="B144" s="29"/>
      <c r="C144" s="29"/>
      <c r="D144" s="32"/>
      <c r="E144" s="32"/>
      <c r="F144" s="32"/>
      <c r="G144" s="32"/>
      <c r="H144" s="32"/>
      <c r="I144" s="27" t="str">
        <f t="shared" si="2"/>
        <v/>
      </c>
      <c r="J144" s="32"/>
      <c r="K144" s="32"/>
      <c r="L144" s="33"/>
      <c r="M144" s="32"/>
      <c r="N144" s="32"/>
      <c r="O144" s="32"/>
      <c r="P144" s="32"/>
      <c r="Q144" s="32"/>
      <c r="R144" s="32"/>
      <c r="S144" s="31"/>
      <c r="T144" s="88" t="str">
        <f ca="1" t="shared" si="1"/>
        <v/>
      </c>
      <c r="U144" s="27"/>
      <c r="V144" s="27"/>
      <c r="W144" s="27"/>
      <c r="X144" s="33"/>
      <c r="Y144" s="30"/>
      <c r="Z144" s="33"/>
      <c r="AA144" s="30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</row>
    <row r="145" ht="15.75" customHeight="1" spans="1:43">
      <c r="A145" s="29"/>
      <c r="B145" s="29"/>
      <c r="C145" s="29"/>
      <c r="D145" s="32"/>
      <c r="E145" s="32"/>
      <c r="F145" s="32"/>
      <c r="G145" s="32"/>
      <c r="H145" s="32"/>
      <c r="I145" s="27" t="str">
        <f t="shared" si="2"/>
        <v/>
      </c>
      <c r="J145" s="32"/>
      <c r="K145" s="32"/>
      <c r="L145" s="33"/>
      <c r="M145" s="32"/>
      <c r="N145" s="32"/>
      <c r="O145" s="32"/>
      <c r="P145" s="32"/>
      <c r="Q145" s="32"/>
      <c r="R145" s="32"/>
      <c r="S145" s="31"/>
      <c r="T145" s="88" t="str">
        <f ca="1" t="shared" si="1"/>
        <v/>
      </c>
      <c r="U145" s="27"/>
      <c r="V145" s="27"/>
      <c r="W145" s="27"/>
      <c r="X145" s="33"/>
      <c r="Y145" s="30"/>
      <c r="Z145" s="33"/>
      <c r="AA145" s="30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</row>
    <row r="146" ht="15.75" customHeight="1" spans="1:43">
      <c r="A146" s="29"/>
      <c r="B146" s="29"/>
      <c r="C146" s="29"/>
      <c r="D146" s="32"/>
      <c r="E146" s="32"/>
      <c r="F146" s="32"/>
      <c r="G146" s="32"/>
      <c r="H146" s="32"/>
      <c r="I146" s="27" t="str">
        <f t="shared" si="2"/>
        <v/>
      </c>
      <c r="J146" s="32"/>
      <c r="K146" s="32"/>
      <c r="L146" s="33"/>
      <c r="M146" s="32"/>
      <c r="N146" s="32"/>
      <c r="O146" s="32"/>
      <c r="P146" s="32"/>
      <c r="Q146" s="32"/>
      <c r="R146" s="32"/>
      <c r="S146" s="31"/>
      <c r="T146" s="88" t="str">
        <f ca="1" t="shared" si="1"/>
        <v/>
      </c>
      <c r="U146" s="27"/>
      <c r="V146" s="27"/>
      <c r="W146" s="27"/>
      <c r="X146" s="33"/>
      <c r="Y146" s="30"/>
      <c r="Z146" s="33"/>
      <c r="AA146" s="30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</row>
    <row r="147" ht="15.75" customHeight="1" spans="1:43">
      <c r="A147" s="29"/>
      <c r="B147" s="29"/>
      <c r="C147" s="29"/>
      <c r="D147" s="32"/>
      <c r="E147" s="32"/>
      <c r="F147" s="32"/>
      <c r="G147" s="32"/>
      <c r="H147" s="32"/>
      <c r="I147" s="27" t="str">
        <f t="shared" si="2"/>
        <v/>
      </c>
      <c r="J147" s="32"/>
      <c r="K147" s="32"/>
      <c r="L147" s="33"/>
      <c r="M147" s="32"/>
      <c r="N147" s="32"/>
      <c r="O147" s="32"/>
      <c r="P147" s="32"/>
      <c r="Q147" s="32"/>
      <c r="R147" s="32"/>
      <c r="S147" s="31"/>
      <c r="T147" s="88" t="str">
        <f ca="1" t="shared" si="1"/>
        <v/>
      </c>
      <c r="U147" s="27"/>
      <c r="V147" s="27"/>
      <c r="W147" s="27"/>
      <c r="X147" s="33"/>
      <c r="Y147" s="30"/>
      <c r="Z147" s="33"/>
      <c r="AA147" s="30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</row>
    <row r="148" ht="15.75" customHeight="1" spans="1:43">
      <c r="A148" s="29"/>
      <c r="B148" s="29"/>
      <c r="C148" s="29"/>
      <c r="D148" s="32"/>
      <c r="E148" s="32"/>
      <c r="F148" s="32"/>
      <c r="G148" s="32"/>
      <c r="H148" s="32"/>
      <c r="I148" s="27" t="str">
        <f t="shared" si="2"/>
        <v/>
      </c>
      <c r="J148" s="32"/>
      <c r="K148" s="32"/>
      <c r="L148" s="33"/>
      <c r="M148" s="32"/>
      <c r="N148" s="32"/>
      <c r="O148" s="32"/>
      <c r="P148" s="32"/>
      <c r="Q148" s="32"/>
      <c r="R148" s="32"/>
      <c r="S148" s="31"/>
      <c r="T148" s="88" t="str">
        <f ca="1" t="shared" si="1"/>
        <v/>
      </c>
      <c r="U148" s="27"/>
      <c r="V148" s="27"/>
      <c r="W148" s="27"/>
      <c r="X148" s="33"/>
      <c r="Y148" s="30"/>
      <c r="Z148" s="33"/>
      <c r="AA148" s="30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</row>
    <row r="149" ht="15.75" customHeight="1" spans="1:43">
      <c r="A149" s="29"/>
      <c r="B149" s="29"/>
      <c r="C149" s="29"/>
      <c r="D149" s="32"/>
      <c r="E149" s="32"/>
      <c r="F149" s="32"/>
      <c r="G149" s="32"/>
      <c r="H149" s="32"/>
      <c r="I149" s="27" t="str">
        <f t="shared" si="2"/>
        <v/>
      </c>
      <c r="J149" s="32"/>
      <c r="K149" s="32"/>
      <c r="L149" s="33"/>
      <c r="M149" s="32"/>
      <c r="N149" s="32"/>
      <c r="O149" s="32"/>
      <c r="P149" s="32"/>
      <c r="Q149" s="32"/>
      <c r="R149" s="32"/>
      <c r="S149" s="31"/>
      <c r="T149" s="88" t="str">
        <f ca="1" t="shared" si="1"/>
        <v/>
      </c>
      <c r="U149" s="27"/>
      <c r="V149" s="27"/>
      <c r="W149" s="27"/>
      <c r="X149" s="33"/>
      <c r="Y149" s="30"/>
      <c r="Z149" s="33"/>
      <c r="AA149" s="30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</row>
    <row r="150" ht="15.75" customHeight="1" spans="1:43">
      <c r="A150" s="29"/>
      <c r="B150" s="29"/>
      <c r="C150" s="29"/>
      <c r="D150" s="32"/>
      <c r="E150" s="32"/>
      <c r="F150" s="32"/>
      <c r="G150" s="32"/>
      <c r="H150" s="32"/>
      <c r="I150" s="27" t="str">
        <f t="shared" si="2"/>
        <v/>
      </c>
      <c r="J150" s="32"/>
      <c r="K150" s="32"/>
      <c r="L150" s="33"/>
      <c r="M150" s="32"/>
      <c r="N150" s="32"/>
      <c r="O150" s="32"/>
      <c r="P150" s="32"/>
      <c r="Q150" s="32"/>
      <c r="R150" s="32"/>
      <c r="S150" s="31"/>
      <c r="T150" s="88" t="str">
        <f ca="1" t="shared" si="1"/>
        <v/>
      </c>
      <c r="U150" s="27"/>
      <c r="V150" s="27"/>
      <c r="W150" s="27"/>
      <c r="X150" s="33"/>
      <c r="Y150" s="30"/>
      <c r="Z150" s="33"/>
      <c r="AA150" s="30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</row>
    <row r="151" ht="15.75" customHeight="1" spans="1:43">
      <c r="A151" s="29"/>
      <c r="B151" s="29"/>
      <c r="C151" s="29"/>
      <c r="D151" s="32"/>
      <c r="E151" s="32"/>
      <c r="F151" s="32"/>
      <c r="G151" s="32"/>
      <c r="H151" s="32"/>
      <c r="I151" s="27" t="str">
        <f t="shared" si="2"/>
        <v/>
      </c>
      <c r="J151" s="32"/>
      <c r="K151" s="32"/>
      <c r="L151" s="33"/>
      <c r="M151" s="32"/>
      <c r="N151" s="32"/>
      <c r="O151" s="32"/>
      <c r="P151" s="32"/>
      <c r="Q151" s="32"/>
      <c r="R151" s="32"/>
      <c r="S151" s="31"/>
      <c r="T151" s="88" t="str">
        <f ca="1" t="shared" si="1"/>
        <v/>
      </c>
      <c r="U151" s="27"/>
      <c r="V151" s="27"/>
      <c r="W151" s="27"/>
      <c r="X151" s="33"/>
      <c r="Y151" s="30"/>
      <c r="Z151" s="33"/>
      <c r="AA151" s="30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</row>
    <row r="152" ht="15.75" customHeight="1" spans="1:43">
      <c r="A152" s="29"/>
      <c r="B152" s="29"/>
      <c r="C152" s="29"/>
      <c r="D152" s="32"/>
      <c r="E152" s="32"/>
      <c r="F152" s="32"/>
      <c r="G152" s="32"/>
      <c r="H152" s="32"/>
      <c r="I152" s="27" t="str">
        <f t="shared" si="2"/>
        <v/>
      </c>
      <c r="J152" s="32"/>
      <c r="K152" s="32"/>
      <c r="L152" s="33"/>
      <c r="M152" s="32"/>
      <c r="N152" s="32"/>
      <c r="O152" s="32"/>
      <c r="P152" s="32"/>
      <c r="Q152" s="32"/>
      <c r="R152" s="32"/>
      <c r="S152" s="31"/>
      <c r="T152" s="88" t="str">
        <f ca="1" t="shared" si="1"/>
        <v/>
      </c>
      <c r="U152" s="27"/>
      <c r="V152" s="27"/>
      <c r="W152" s="27"/>
      <c r="X152" s="33"/>
      <c r="Y152" s="30"/>
      <c r="Z152" s="33"/>
      <c r="AA152" s="30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</row>
    <row r="153" ht="15.75" customHeight="1" spans="1:43">
      <c r="A153" s="29"/>
      <c r="B153" s="29"/>
      <c r="C153" s="29"/>
      <c r="D153" s="32"/>
      <c r="E153" s="32"/>
      <c r="F153" s="32"/>
      <c r="G153" s="32"/>
      <c r="H153" s="32"/>
      <c r="I153" s="27" t="str">
        <f t="shared" si="2"/>
        <v/>
      </c>
      <c r="J153" s="32"/>
      <c r="K153" s="32"/>
      <c r="L153" s="33"/>
      <c r="M153" s="32"/>
      <c r="N153" s="32"/>
      <c r="O153" s="32"/>
      <c r="P153" s="32"/>
      <c r="Q153" s="32"/>
      <c r="R153" s="32"/>
      <c r="S153" s="31"/>
      <c r="T153" s="88" t="str">
        <f ca="1" t="shared" si="1"/>
        <v/>
      </c>
      <c r="U153" s="27"/>
      <c r="V153" s="27"/>
      <c r="W153" s="27"/>
      <c r="X153" s="33"/>
      <c r="Y153" s="30"/>
      <c r="Z153" s="33"/>
      <c r="AA153" s="30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</row>
    <row r="154" ht="15.75" customHeight="1" spans="1:43">
      <c r="A154" s="29"/>
      <c r="B154" s="29"/>
      <c r="C154" s="29"/>
      <c r="D154" s="32"/>
      <c r="E154" s="32"/>
      <c r="F154" s="32"/>
      <c r="G154" s="32"/>
      <c r="H154" s="32"/>
      <c r="I154" s="27" t="str">
        <f t="shared" si="2"/>
        <v/>
      </c>
      <c r="J154" s="32"/>
      <c r="K154" s="32"/>
      <c r="L154" s="33"/>
      <c r="M154" s="32"/>
      <c r="N154" s="32"/>
      <c r="O154" s="32"/>
      <c r="P154" s="32"/>
      <c r="Q154" s="32"/>
      <c r="R154" s="32"/>
      <c r="S154" s="31"/>
      <c r="T154" s="88" t="str">
        <f ca="1" t="shared" si="1"/>
        <v/>
      </c>
      <c r="U154" s="27"/>
      <c r="V154" s="27"/>
      <c r="W154" s="27"/>
      <c r="X154" s="33"/>
      <c r="Y154" s="30"/>
      <c r="Z154" s="33"/>
      <c r="AA154" s="30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</row>
    <row r="155" ht="15.75" customHeight="1" spans="1:43">
      <c r="A155" s="29"/>
      <c r="B155" s="29"/>
      <c r="C155" s="29"/>
      <c r="D155" s="32"/>
      <c r="E155" s="32"/>
      <c r="F155" s="32"/>
      <c r="G155" s="32"/>
      <c r="H155" s="32"/>
      <c r="I155" s="27" t="str">
        <f t="shared" si="2"/>
        <v/>
      </c>
      <c r="J155" s="32"/>
      <c r="K155" s="32"/>
      <c r="L155" s="33"/>
      <c r="M155" s="32"/>
      <c r="N155" s="32"/>
      <c r="O155" s="32"/>
      <c r="P155" s="32"/>
      <c r="Q155" s="32"/>
      <c r="R155" s="32"/>
      <c r="S155" s="31"/>
      <c r="T155" s="88" t="str">
        <f ca="1" t="shared" si="1"/>
        <v/>
      </c>
      <c r="U155" s="27"/>
      <c r="V155" s="27"/>
      <c r="W155" s="27"/>
      <c r="X155" s="33"/>
      <c r="Y155" s="30"/>
      <c r="Z155" s="33"/>
      <c r="AA155" s="30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</row>
    <row r="156" ht="15.75" customHeight="1" spans="1:43">
      <c r="A156" s="29"/>
      <c r="B156" s="29"/>
      <c r="C156" s="29"/>
      <c r="D156" s="32"/>
      <c r="E156" s="32"/>
      <c r="F156" s="32"/>
      <c r="G156" s="32"/>
      <c r="H156" s="32"/>
      <c r="I156" s="27" t="str">
        <f t="shared" si="2"/>
        <v/>
      </c>
      <c r="J156" s="32"/>
      <c r="K156" s="32"/>
      <c r="L156" s="33"/>
      <c r="M156" s="32"/>
      <c r="N156" s="32"/>
      <c r="O156" s="32"/>
      <c r="P156" s="32"/>
      <c r="Q156" s="32"/>
      <c r="R156" s="32"/>
      <c r="S156" s="31"/>
      <c r="T156" s="88" t="str">
        <f ca="1" t="shared" si="1"/>
        <v/>
      </c>
      <c r="U156" s="27"/>
      <c r="V156" s="27"/>
      <c r="W156" s="27"/>
      <c r="X156" s="33"/>
      <c r="Y156" s="30"/>
      <c r="Z156" s="33"/>
      <c r="AA156" s="30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</row>
    <row r="157" ht="15.75" customHeight="1" spans="1:43">
      <c r="A157" s="29"/>
      <c r="B157" s="29"/>
      <c r="C157" s="29"/>
      <c r="D157" s="32"/>
      <c r="E157" s="32"/>
      <c r="F157" s="32"/>
      <c r="G157" s="32"/>
      <c r="H157" s="32"/>
      <c r="I157" s="27" t="str">
        <f t="shared" si="2"/>
        <v/>
      </c>
      <c r="J157" s="32"/>
      <c r="K157" s="32"/>
      <c r="L157" s="33"/>
      <c r="M157" s="32"/>
      <c r="N157" s="32"/>
      <c r="O157" s="32"/>
      <c r="P157" s="32"/>
      <c r="Q157" s="32"/>
      <c r="R157" s="32"/>
      <c r="S157" s="31"/>
      <c r="T157" s="88" t="str">
        <f ca="1" t="shared" si="1"/>
        <v/>
      </c>
      <c r="U157" s="27"/>
      <c r="V157" s="27"/>
      <c r="W157" s="27"/>
      <c r="X157" s="33"/>
      <c r="Y157" s="30"/>
      <c r="Z157" s="33"/>
      <c r="AA157" s="30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</row>
    <row r="158" ht="15.75" customHeight="1" spans="1:43">
      <c r="A158" s="29"/>
      <c r="B158" s="29"/>
      <c r="C158" s="29"/>
      <c r="D158" s="32"/>
      <c r="E158" s="32"/>
      <c r="F158" s="32"/>
      <c r="G158" s="32"/>
      <c r="H158" s="32"/>
      <c r="I158" s="27" t="str">
        <f t="shared" si="2"/>
        <v/>
      </c>
      <c r="J158" s="32"/>
      <c r="K158" s="32"/>
      <c r="L158" s="33"/>
      <c r="M158" s="32"/>
      <c r="N158" s="32"/>
      <c r="O158" s="32"/>
      <c r="P158" s="32"/>
      <c r="Q158" s="32"/>
      <c r="R158" s="32"/>
      <c r="S158" s="31"/>
      <c r="T158" s="88" t="str">
        <f ca="1" t="shared" si="1"/>
        <v/>
      </c>
      <c r="U158" s="27"/>
      <c r="V158" s="27"/>
      <c r="W158" s="27"/>
      <c r="X158" s="33"/>
      <c r="Y158" s="30"/>
      <c r="Z158" s="33"/>
      <c r="AA158" s="30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</row>
    <row r="159" ht="15.75" customHeight="1" spans="1:43">
      <c r="A159" s="29"/>
      <c r="B159" s="29"/>
      <c r="C159" s="29"/>
      <c r="D159" s="32"/>
      <c r="E159" s="32"/>
      <c r="F159" s="32"/>
      <c r="G159" s="32"/>
      <c r="H159" s="32"/>
      <c r="I159" s="27" t="str">
        <f t="shared" si="2"/>
        <v/>
      </c>
      <c r="J159" s="32"/>
      <c r="K159" s="32"/>
      <c r="L159" s="33"/>
      <c r="M159" s="32"/>
      <c r="N159" s="32"/>
      <c r="O159" s="32"/>
      <c r="P159" s="32"/>
      <c r="Q159" s="32"/>
      <c r="R159" s="32"/>
      <c r="S159" s="31"/>
      <c r="T159" s="88" t="str">
        <f ca="1" t="shared" si="1"/>
        <v/>
      </c>
      <c r="U159" s="27"/>
      <c r="V159" s="27"/>
      <c r="W159" s="27"/>
      <c r="X159" s="33"/>
      <c r="Y159" s="30"/>
      <c r="Z159" s="33"/>
      <c r="AA159" s="30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</row>
    <row r="160" ht="15.75" customHeight="1" spans="1:43">
      <c r="A160" s="29"/>
      <c r="B160" s="29"/>
      <c r="C160" s="29"/>
      <c r="D160" s="32"/>
      <c r="E160" s="32"/>
      <c r="F160" s="32"/>
      <c r="G160" s="32"/>
      <c r="H160" s="32"/>
      <c r="I160" s="27" t="str">
        <f t="shared" si="2"/>
        <v/>
      </c>
      <c r="J160" s="32"/>
      <c r="K160" s="32"/>
      <c r="L160" s="33"/>
      <c r="M160" s="32"/>
      <c r="N160" s="32"/>
      <c r="O160" s="32"/>
      <c r="P160" s="32"/>
      <c r="Q160" s="32"/>
      <c r="R160" s="32"/>
      <c r="S160" s="31"/>
      <c r="T160" s="88" t="str">
        <f ca="1" t="shared" si="1"/>
        <v/>
      </c>
      <c r="U160" s="27"/>
      <c r="V160" s="27"/>
      <c r="W160" s="27"/>
      <c r="X160" s="33"/>
      <c r="Y160" s="30"/>
      <c r="Z160" s="33"/>
      <c r="AA160" s="30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</row>
    <row r="161" ht="15.75" customHeight="1" spans="1:43">
      <c r="A161" s="29"/>
      <c r="B161" s="29"/>
      <c r="C161" s="29"/>
      <c r="D161" s="32"/>
      <c r="E161" s="32"/>
      <c r="F161" s="32"/>
      <c r="G161" s="32"/>
      <c r="H161" s="32"/>
      <c r="I161" s="27" t="str">
        <f t="shared" si="2"/>
        <v/>
      </c>
      <c r="J161" s="32"/>
      <c r="K161" s="32"/>
      <c r="L161" s="33"/>
      <c r="M161" s="32"/>
      <c r="N161" s="32"/>
      <c r="O161" s="32"/>
      <c r="P161" s="32"/>
      <c r="Q161" s="32"/>
      <c r="R161" s="32"/>
      <c r="S161" s="31"/>
      <c r="T161" s="88" t="str">
        <f ca="1" t="shared" si="1"/>
        <v/>
      </c>
      <c r="U161" s="27"/>
      <c r="V161" s="27"/>
      <c r="W161" s="27"/>
      <c r="X161" s="33"/>
      <c r="Y161" s="30"/>
      <c r="Z161" s="33"/>
      <c r="AA161" s="30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</row>
    <row r="162" ht="15.75" customHeight="1" spans="1:43">
      <c r="A162" s="29"/>
      <c r="B162" s="29"/>
      <c r="C162" s="29"/>
      <c r="D162" s="32"/>
      <c r="E162" s="32"/>
      <c r="F162" s="32"/>
      <c r="G162" s="32"/>
      <c r="H162" s="32"/>
      <c r="I162" s="27" t="str">
        <f t="shared" si="2"/>
        <v/>
      </c>
      <c r="J162" s="32"/>
      <c r="K162" s="32"/>
      <c r="L162" s="33"/>
      <c r="M162" s="32"/>
      <c r="N162" s="32"/>
      <c r="O162" s="32"/>
      <c r="P162" s="32"/>
      <c r="Q162" s="32"/>
      <c r="R162" s="32"/>
      <c r="S162" s="31"/>
      <c r="T162" s="88" t="str">
        <f ca="1" t="shared" si="1"/>
        <v/>
      </c>
      <c r="U162" s="27"/>
      <c r="V162" s="27"/>
      <c r="W162" s="27"/>
      <c r="X162" s="33"/>
      <c r="Y162" s="30"/>
      <c r="Z162" s="33"/>
      <c r="AA162" s="30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</row>
    <row r="163" ht="15.75" customHeight="1" spans="1:43">
      <c r="A163" s="29"/>
      <c r="B163" s="29"/>
      <c r="C163" s="29"/>
      <c r="D163" s="32"/>
      <c r="E163" s="32"/>
      <c r="F163" s="32"/>
      <c r="G163" s="32"/>
      <c r="H163" s="32"/>
      <c r="I163" s="27" t="str">
        <f t="shared" si="2"/>
        <v/>
      </c>
      <c r="J163" s="32"/>
      <c r="K163" s="32"/>
      <c r="L163" s="33"/>
      <c r="M163" s="32"/>
      <c r="N163" s="32"/>
      <c r="O163" s="32"/>
      <c r="P163" s="32"/>
      <c r="Q163" s="32"/>
      <c r="R163" s="32"/>
      <c r="S163" s="31"/>
      <c r="T163" s="88" t="str">
        <f ca="1" t="shared" si="1"/>
        <v/>
      </c>
      <c r="U163" s="27"/>
      <c r="V163" s="27"/>
      <c r="W163" s="27"/>
      <c r="X163" s="33"/>
      <c r="Y163" s="30"/>
      <c r="Z163" s="33"/>
      <c r="AA163" s="30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</row>
    <row r="164" ht="15.75" customHeight="1" spans="1:43">
      <c r="A164" s="29"/>
      <c r="B164" s="29"/>
      <c r="C164" s="29"/>
      <c r="D164" s="32"/>
      <c r="E164" s="32"/>
      <c r="F164" s="32"/>
      <c r="G164" s="32"/>
      <c r="H164" s="32"/>
      <c r="I164" s="27" t="str">
        <f t="shared" si="2"/>
        <v/>
      </c>
      <c r="J164" s="32"/>
      <c r="K164" s="32"/>
      <c r="L164" s="33"/>
      <c r="M164" s="32"/>
      <c r="N164" s="32"/>
      <c r="O164" s="32"/>
      <c r="P164" s="32"/>
      <c r="Q164" s="32"/>
      <c r="R164" s="32"/>
      <c r="S164" s="31"/>
      <c r="T164" s="88" t="str">
        <f ca="1" t="shared" si="1"/>
        <v/>
      </c>
      <c r="U164" s="27"/>
      <c r="V164" s="27"/>
      <c r="W164" s="27"/>
      <c r="X164" s="33"/>
      <c r="Y164" s="30"/>
      <c r="Z164" s="33"/>
      <c r="AA164" s="30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</row>
    <row r="165" ht="15.75" customHeight="1" spans="1:43">
      <c r="A165" s="29"/>
      <c r="B165" s="29"/>
      <c r="C165" s="29"/>
      <c r="D165" s="32"/>
      <c r="E165" s="32"/>
      <c r="F165" s="32"/>
      <c r="G165" s="32"/>
      <c r="H165" s="32"/>
      <c r="I165" s="27" t="str">
        <f t="shared" si="2"/>
        <v/>
      </c>
      <c r="J165" s="32"/>
      <c r="K165" s="32"/>
      <c r="L165" s="33"/>
      <c r="M165" s="32"/>
      <c r="N165" s="32"/>
      <c r="O165" s="32"/>
      <c r="P165" s="32"/>
      <c r="Q165" s="32"/>
      <c r="R165" s="32"/>
      <c r="S165" s="31"/>
      <c r="T165" s="88" t="str">
        <f ca="1" t="shared" si="1"/>
        <v/>
      </c>
      <c r="U165" s="27"/>
      <c r="V165" s="27"/>
      <c r="W165" s="27"/>
      <c r="X165" s="33"/>
      <c r="Y165" s="30"/>
      <c r="Z165" s="33"/>
      <c r="AA165" s="30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</row>
    <row r="166" ht="15.75" customHeight="1" spans="1:43">
      <c r="A166" s="29"/>
      <c r="B166" s="29"/>
      <c r="C166" s="29"/>
      <c r="D166" s="32"/>
      <c r="E166" s="32"/>
      <c r="F166" s="32"/>
      <c r="G166" s="32"/>
      <c r="H166" s="32"/>
      <c r="I166" s="27" t="str">
        <f t="shared" si="2"/>
        <v/>
      </c>
      <c r="J166" s="32"/>
      <c r="K166" s="32"/>
      <c r="L166" s="33"/>
      <c r="M166" s="32"/>
      <c r="N166" s="32"/>
      <c r="O166" s="32"/>
      <c r="P166" s="32"/>
      <c r="Q166" s="32"/>
      <c r="R166" s="32"/>
      <c r="S166" s="31"/>
      <c r="T166" s="88" t="str">
        <f ca="1" t="shared" si="1"/>
        <v/>
      </c>
      <c r="U166" s="27"/>
      <c r="V166" s="27"/>
      <c r="W166" s="27"/>
      <c r="X166" s="33"/>
      <c r="Y166" s="30"/>
      <c r="Z166" s="33"/>
      <c r="AA166" s="30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</row>
    <row r="167" ht="15.75" customHeight="1" spans="1:43">
      <c r="A167" s="29"/>
      <c r="B167" s="29"/>
      <c r="C167" s="29"/>
      <c r="D167" s="32"/>
      <c r="E167" s="32"/>
      <c r="F167" s="32"/>
      <c r="G167" s="32"/>
      <c r="H167" s="32"/>
      <c r="I167" s="27" t="str">
        <f t="shared" si="2"/>
        <v/>
      </c>
      <c r="J167" s="32"/>
      <c r="K167" s="32"/>
      <c r="L167" s="33"/>
      <c r="M167" s="32"/>
      <c r="N167" s="32"/>
      <c r="O167" s="32"/>
      <c r="P167" s="32"/>
      <c r="Q167" s="32"/>
      <c r="R167" s="32"/>
      <c r="S167" s="31"/>
      <c r="T167" s="88" t="str">
        <f ca="1" t="shared" si="1"/>
        <v/>
      </c>
      <c r="U167" s="27"/>
      <c r="V167" s="27"/>
      <c r="W167" s="27"/>
      <c r="X167" s="33"/>
      <c r="Y167" s="30"/>
      <c r="Z167" s="33"/>
      <c r="AA167" s="30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</row>
    <row r="168" ht="15.75" customHeight="1" spans="1:43">
      <c r="A168" s="29"/>
      <c r="B168" s="29"/>
      <c r="C168" s="29"/>
      <c r="D168" s="32"/>
      <c r="E168" s="32"/>
      <c r="F168" s="32"/>
      <c r="G168" s="32"/>
      <c r="H168" s="32"/>
      <c r="I168" s="27" t="str">
        <f t="shared" si="2"/>
        <v/>
      </c>
      <c r="J168" s="32"/>
      <c r="K168" s="32"/>
      <c r="L168" s="33"/>
      <c r="M168" s="32"/>
      <c r="N168" s="32"/>
      <c r="O168" s="32"/>
      <c r="P168" s="32"/>
      <c r="Q168" s="32"/>
      <c r="R168" s="32"/>
      <c r="S168" s="31"/>
      <c r="T168" s="88" t="str">
        <f ca="1" t="shared" si="1"/>
        <v/>
      </c>
      <c r="U168" s="27"/>
      <c r="V168" s="27"/>
      <c r="W168" s="27"/>
      <c r="X168" s="33"/>
      <c r="Y168" s="30"/>
      <c r="Z168" s="33"/>
      <c r="AA168" s="30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</row>
    <row r="169" ht="15.75" customHeight="1" spans="1:43">
      <c r="A169" s="29"/>
      <c r="B169" s="29"/>
      <c r="C169" s="29"/>
      <c r="D169" s="32"/>
      <c r="E169" s="32"/>
      <c r="F169" s="32"/>
      <c r="G169" s="32"/>
      <c r="H169" s="32"/>
      <c r="I169" s="27" t="str">
        <f t="shared" si="2"/>
        <v/>
      </c>
      <c r="J169" s="32"/>
      <c r="K169" s="32"/>
      <c r="L169" s="33"/>
      <c r="M169" s="32"/>
      <c r="N169" s="32"/>
      <c r="O169" s="32"/>
      <c r="P169" s="32"/>
      <c r="Q169" s="32"/>
      <c r="R169" s="32"/>
      <c r="S169" s="31"/>
      <c r="T169" s="88" t="str">
        <f ca="1" t="shared" si="1"/>
        <v/>
      </c>
      <c r="U169" s="27"/>
      <c r="V169" s="27"/>
      <c r="W169" s="27"/>
      <c r="X169" s="33"/>
      <c r="Y169" s="30"/>
      <c r="Z169" s="33"/>
      <c r="AA169" s="30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</row>
    <row r="170" ht="15.75" customHeight="1" spans="1:43">
      <c r="A170" s="29"/>
      <c r="B170" s="29"/>
      <c r="C170" s="29"/>
      <c r="D170" s="32"/>
      <c r="E170" s="32"/>
      <c r="F170" s="32"/>
      <c r="G170" s="32"/>
      <c r="H170" s="32"/>
      <c r="I170" s="27" t="str">
        <f t="shared" si="2"/>
        <v/>
      </c>
      <c r="J170" s="32"/>
      <c r="K170" s="32"/>
      <c r="L170" s="33"/>
      <c r="M170" s="32"/>
      <c r="N170" s="32"/>
      <c r="O170" s="32"/>
      <c r="P170" s="32"/>
      <c r="Q170" s="32"/>
      <c r="R170" s="32"/>
      <c r="S170" s="31"/>
      <c r="T170" s="88" t="str">
        <f ca="1" t="shared" si="1"/>
        <v/>
      </c>
      <c r="U170" s="27"/>
      <c r="V170" s="27"/>
      <c r="W170" s="27"/>
      <c r="X170" s="33"/>
      <c r="Y170" s="30"/>
      <c r="Z170" s="33"/>
      <c r="AA170" s="30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</row>
    <row r="171" ht="15.75" customHeight="1" spans="1:43">
      <c r="A171" s="29"/>
      <c r="B171" s="29"/>
      <c r="C171" s="29"/>
      <c r="D171" s="32"/>
      <c r="E171" s="32"/>
      <c r="F171" s="32"/>
      <c r="G171" s="32"/>
      <c r="H171" s="32"/>
      <c r="I171" s="27" t="str">
        <f t="shared" si="2"/>
        <v/>
      </c>
      <c r="J171" s="32"/>
      <c r="K171" s="32"/>
      <c r="L171" s="33"/>
      <c r="M171" s="32"/>
      <c r="N171" s="32"/>
      <c r="O171" s="32"/>
      <c r="P171" s="32"/>
      <c r="Q171" s="32"/>
      <c r="R171" s="32"/>
      <c r="S171" s="31"/>
      <c r="T171" s="88" t="str">
        <f ca="1" t="shared" si="1"/>
        <v/>
      </c>
      <c r="U171" s="27"/>
      <c r="V171" s="27"/>
      <c r="W171" s="27"/>
      <c r="X171" s="33"/>
      <c r="Y171" s="30"/>
      <c r="Z171" s="33"/>
      <c r="AA171" s="30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</row>
    <row r="172" ht="15.75" customHeight="1" spans="1:43">
      <c r="A172" s="29"/>
      <c r="B172" s="29"/>
      <c r="C172" s="29"/>
      <c r="D172" s="32"/>
      <c r="E172" s="32"/>
      <c r="F172" s="32"/>
      <c r="G172" s="32"/>
      <c r="H172" s="32"/>
      <c r="I172" s="27" t="str">
        <f t="shared" si="2"/>
        <v/>
      </c>
      <c r="J172" s="32"/>
      <c r="K172" s="32"/>
      <c r="L172" s="33"/>
      <c r="M172" s="32"/>
      <c r="N172" s="32"/>
      <c r="O172" s="32"/>
      <c r="P172" s="32"/>
      <c r="Q172" s="32"/>
      <c r="R172" s="32"/>
      <c r="S172" s="31"/>
      <c r="T172" s="88" t="str">
        <f ca="1" t="shared" si="1"/>
        <v/>
      </c>
      <c r="U172" s="27"/>
      <c r="V172" s="27"/>
      <c r="W172" s="27"/>
      <c r="X172" s="33"/>
      <c r="Y172" s="30"/>
      <c r="Z172" s="33"/>
      <c r="AA172" s="30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</row>
    <row r="173" ht="15.75" customHeight="1" spans="1:43">
      <c r="A173" s="29"/>
      <c r="B173" s="29"/>
      <c r="C173" s="29"/>
      <c r="D173" s="32"/>
      <c r="E173" s="32"/>
      <c r="F173" s="32"/>
      <c r="G173" s="32"/>
      <c r="H173" s="32"/>
      <c r="I173" s="27" t="str">
        <f t="shared" si="2"/>
        <v/>
      </c>
      <c r="J173" s="32"/>
      <c r="K173" s="32"/>
      <c r="L173" s="33"/>
      <c r="M173" s="32"/>
      <c r="N173" s="32"/>
      <c r="O173" s="32"/>
      <c r="P173" s="32"/>
      <c r="Q173" s="32"/>
      <c r="R173" s="32"/>
      <c r="S173" s="31"/>
      <c r="T173" s="88" t="str">
        <f ca="1" t="shared" si="1"/>
        <v/>
      </c>
      <c r="U173" s="27"/>
      <c r="V173" s="27"/>
      <c r="W173" s="27"/>
      <c r="X173" s="33"/>
      <c r="Y173" s="30"/>
      <c r="Z173" s="33"/>
      <c r="AA173" s="30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</row>
    <row r="174" ht="15.75" customHeight="1" spans="1:43">
      <c r="A174" s="29"/>
      <c r="B174" s="29"/>
      <c r="C174" s="29"/>
      <c r="D174" s="32"/>
      <c r="E174" s="32"/>
      <c r="F174" s="32"/>
      <c r="G174" s="32"/>
      <c r="H174" s="32"/>
      <c r="I174" s="27" t="str">
        <f t="shared" si="2"/>
        <v/>
      </c>
      <c r="J174" s="32"/>
      <c r="K174" s="32"/>
      <c r="L174" s="33"/>
      <c r="M174" s="32"/>
      <c r="N174" s="32"/>
      <c r="O174" s="32"/>
      <c r="P174" s="32"/>
      <c r="Q174" s="32"/>
      <c r="R174" s="32"/>
      <c r="S174" s="31"/>
      <c r="T174" s="88" t="str">
        <f ca="1" t="shared" si="1"/>
        <v/>
      </c>
      <c r="U174" s="27"/>
      <c r="V174" s="27"/>
      <c r="W174" s="27"/>
      <c r="X174" s="33"/>
      <c r="Y174" s="30"/>
      <c r="Z174" s="33"/>
      <c r="AA174" s="30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</row>
    <row r="175" ht="15.75" customHeight="1" spans="1:43">
      <c r="A175" s="29"/>
      <c r="B175" s="29"/>
      <c r="C175" s="29"/>
      <c r="D175" s="32"/>
      <c r="E175" s="32"/>
      <c r="F175" s="32"/>
      <c r="G175" s="32"/>
      <c r="H175" s="32"/>
      <c r="I175" s="27" t="str">
        <f t="shared" si="2"/>
        <v/>
      </c>
      <c r="J175" s="32"/>
      <c r="K175" s="32"/>
      <c r="L175" s="33"/>
      <c r="M175" s="32"/>
      <c r="N175" s="32"/>
      <c r="O175" s="32"/>
      <c r="P175" s="32"/>
      <c r="Q175" s="32"/>
      <c r="R175" s="32"/>
      <c r="S175" s="31"/>
      <c r="T175" s="88" t="str">
        <f ca="1" t="shared" si="1"/>
        <v/>
      </c>
      <c r="U175" s="27"/>
      <c r="V175" s="27"/>
      <c r="W175" s="27"/>
      <c r="X175" s="33"/>
      <c r="Y175" s="30"/>
      <c r="Z175" s="33"/>
      <c r="AA175" s="30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</row>
    <row r="176" ht="15.75" customHeight="1" spans="1:43">
      <c r="A176" s="29"/>
      <c r="B176" s="29"/>
      <c r="C176" s="29"/>
      <c r="D176" s="32"/>
      <c r="E176" s="32"/>
      <c r="F176" s="32"/>
      <c r="G176" s="32"/>
      <c r="H176" s="32"/>
      <c r="I176" s="27" t="str">
        <f t="shared" si="2"/>
        <v/>
      </c>
      <c r="J176" s="32"/>
      <c r="K176" s="32"/>
      <c r="L176" s="33"/>
      <c r="M176" s="32"/>
      <c r="N176" s="32"/>
      <c r="O176" s="32"/>
      <c r="P176" s="32"/>
      <c r="Q176" s="32"/>
      <c r="R176" s="32"/>
      <c r="S176" s="31"/>
      <c r="T176" s="88" t="str">
        <f ca="1" t="shared" si="1"/>
        <v/>
      </c>
      <c r="U176" s="27"/>
      <c r="V176" s="27"/>
      <c r="W176" s="27"/>
      <c r="X176" s="33"/>
      <c r="Y176" s="30"/>
      <c r="Z176" s="33"/>
      <c r="AA176" s="30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</row>
    <row r="177" ht="15.75" customHeight="1" spans="1:43">
      <c r="A177" s="29"/>
      <c r="B177" s="29"/>
      <c r="C177" s="29"/>
      <c r="D177" s="32"/>
      <c r="E177" s="32"/>
      <c r="F177" s="32"/>
      <c r="G177" s="32"/>
      <c r="H177" s="32"/>
      <c r="I177" s="27" t="str">
        <f t="shared" si="2"/>
        <v/>
      </c>
      <c r="J177" s="32"/>
      <c r="K177" s="32"/>
      <c r="L177" s="33"/>
      <c r="M177" s="32"/>
      <c r="N177" s="32"/>
      <c r="O177" s="32"/>
      <c r="P177" s="32"/>
      <c r="Q177" s="32"/>
      <c r="R177" s="32"/>
      <c r="S177" s="31"/>
      <c r="T177" s="88" t="str">
        <f ca="1" t="shared" si="1"/>
        <v/>
      </c>
      <c r="U177" s="27"/>
      <c r="V177" s="27"/>
      <c r="W177" s="27"/>
      <c r="X177" s="33"/>
      <c r="Y177" s="30"/>
      <c r="Z177" s="33"/>
      <c r="AA177" s="30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</row>
    <row r="178" ht="15.75" customHeight="1" spans="1:43">
      <c r="A178" s="29"/>
      <c r="B178" s="29"/>
      <c r="C178" s="29"/>
      <c r="D178" s="32"/>
      <c r="E178" s="32"/>
      <c r="F178" s="32"/>
      <c r="G178" s="32"/>
      <c r="H178" s="32"/>
      <c r="I178" s="27" t="str">
        <f t="shared" si="2"/>
        <v/>
      </c>
      <c r="J178" s="32"/>
      <c r="K178" s="32"/>
      <c r="L178" s="33"/>
      <c r="M178" s="32"/>
      <c r="N178" s="32"/>
      <c r="O178" s="32"/>
      <c r="P178" s="32"/>
      <c r="Q178" s="32"/>
      <c r="R178" s="32"/>
      <c r="S178" s="31"/>
      <c r="T178" s="88" t="str">
        <f ca="1" t="shared" si="1"/>
        <v/>
      </c>
      <c r="U178" s="27"/>
      <c r="V178" s="27"/>
      <c r="W178" s="27"/>
      <c r="X178" s="33"/>
      <c r="Y178" s="30"/>
      <c r="Z178" s="33"/>
      <c r="AA178" s="30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</row>
    <row r="179" ht="15.75" customHeight="1" spans="1:43">
      <c r="A179" s="29"/>
      <c r="B179" s="29"/>
      <c r="C179" s="29"/>
      <c r="D179" s="32"/>
      <c r="E179" s="32"/>
      <c r="F179" s="32"/>
      <c r="G179" s="32"/>
      <c r="H179" s="32"/>
      <c r="I179" s="27" t="str">
        <f t="shared" si="2"/>
        <v/>
      </c>
      <c r="J179" s="32"/>
      <c r="K179" s="32"/>
      <c r="L179" s="33"/>
      <c r="M179" s="32"/>
      <c r="N179" s="32"/>
      <c r="O179" s="32"/>
      <c r="P179" s="32"/>
      <c r="Q179" s="32"/>
      <c r="R179" s="32"/>
      <c r="S179" s="31"/>
      <c r="T179" s="88" t="str">
        <f ca="1" t="shared" si="1"/>
        <v/>
      </c>
      <c r="U179" s="27"/>
      <c r="V179" s="27"/>
      <c r="W179" s="27"/>
      <c r="X179" s="33"/>
      <c r="Y179" s="30"/>
      <c r="Z179" s="33"/>
      <c r="AA179" s="30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</row>
    <row r="180" ht="15.75" customHeight="1" spans="1:43">
      <c r="A180" s="29"/>
      <c r="B180" s="29"/>
      <c r="C180" s="29"/>
      <c r="D180" s="32"/>
      <c r="E180" s="32"/>
      <c r="F180" s="32"/>
      <c r="G180" s="32"/>
      <c r="H180" s="32"/>
      <c r="I180" s="27" t="str">
        <f t="shared" si="2"/>
        <v/>
      </c>
      <c r="J180" s="32"/>
      <c r="K180" s="32"/>
      <c r="L180" s="33"/>
      <c r="M180" s="32"/>
      <c r="N180" s="32"/>
      <c r="O180" s="32"/>
      <c r="P180" s="32"/>
      <c r="Q180" s="32"/>
      <c r="R180" s="32"/>
      <c r="S180" s="31"/>
      <c r="T180" s="88" t="str">
        <f ca="1" t="shared" si="1"/>
        <v/>
      </c>
      <c r="U180" s="27"/>
      <c r="V180" s="27"/>
      <c r="W180" s="27"/>
      <c r="X180" s="33"/>
      <c r="Y180" s="30"/>
      <c r="Z180" s="33"/>
      <c r="AA180" s="30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</row>
    <row r="181" ht="15.75" customHeight="1" spans="1:43">
      <c r="A181" s="29"/>
      <c r="B181" s="29"/>
      <c r="C181" s="29"/>
      <c r="D181" s="32"/>
      <c r="E181" s="32"/>
      <c r="F181" s="32"/>
      <c r="G181" s="32"/>
      <c r="H181" s="32"/>
      <c r="I181" s="27" t="str">
        <f t="shared" si="2"/>
        <v/>
      </c>
      <c r="J181" s="32"/>
      <c r="K181" s="32"/>
      <c r="L181" s="33"/>
      <c r="M181" s="32"/>
      <c r="N181" s="32"/>
      <c r="O181" s="32"/>
      <c r="P181" s="32"/>
      <c r="Q181" s="32"/>
      <c r="R181" s="32"/>
      <c r="S181" s="31"/>
      <c r="T181" s="88" t="str">
        <f ca="1" t="shared" si="1"/>
        <v/>
      </c>
      <c r="U181" s="27"/>
      <c r="V181" s="27"/>
      <c r="W181" s="27"/>
      <c r="X181" s="33"/>
      <c r="Y181" s="30"/>
      <c r="Z181" s="33"/>
      <c r="AA181" s="30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</row>
    <row r="182" ht="15.75" customHeight="1" spans="1:43">
      <c r="A182" s="29"/>
      <c r="B182" s="29"/>
      <c r="C182" s="29"/>
      <c r="D182" s="32"/>
      <c r="E182" s="32"/>
      <c r="F182" s="32"/>
      <c r="G182" s="32"/>
      <c r="H182" s="32"/>
      <c r="I182" s="27" t="str">
        <f t="shared" si="2"/>
        <v/>
      </c>
      <c r="J182" s="32"/>
      <c r="K182" s="32"/>
      <c r="L182" s="33"/>
      <c r="M182" s="32"/>
      <c r="N182" s="32"/>
      <c r="O182" s="32"/>
      <c r="P182" s="32"/>
      <c r="Q182" s="32"/>
      <c r="R182" s="32"/>
      <c r="S182" s="31"/>
      <c r="T182" s="88" t="str">
        <f ca="1" t="shared" si="1"/>
        <v/>
      </c>
      <c r="U182" s="27"/>
      <c r="V182" s="27"/>
      <c r="W182" s="27"/>
      <c r="X182" s="33"/>
      <c r="Y182" s="30"/>
      <c r="Z182" s="33"/>
      <c r="AA182" s="30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</row>
    <row r="183" ht="15.75" customHeight="1" spans="1:43">
      <c r="A183" s="29"/>
      <c r="B183" s="29"/>
      <c r="C183" s="29"/>
      <c r="D183" s="32"/>
      <c r="E183" s="32"/>
      <c r="F183" s="32"/>
      <c r="G183" s="32"/>
      <c r="H183" s="32"/>
      <c r="I183" s="27" t="str">
        <f t="shared" si="2"/>
        <v/>
      </c>
      <c r="J183" s="32"/>
      <c r="K183" s="32"/>
      <c r="L183" s="33"/>
      <c r="M183" s="32"/>
      <c r="N183" s="32"/>
      <c r="O183" s="32"/>
      <c r="P183" s="32"/>
      <c r="Q183" s="32"/>
      <c r="R183" s="32"/>
      <c r="S183" s="31"/>
      <c r="T183" s="88" t="str">
        <f ca="1" t="shared" si="1"/>
        <v/>
      </c>
      <c r="U183" s="27"/>
      <c r="V183" s="27"/>
      <c r="W183" s="27"/>
      <c r="X183" s="33"/>
      <c r="Y183" s="30"/>
      <c r="Z183" s="33"/>
      <c r="AA183" s="30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</row>
    <row r="184" ht="15.75" customHeight="1" spans="1:43">
      <c r="A184" s="29"/>
      <c r="B184" s="29"/>
      <c r="C184" s="29"/>
      <c r="D184" s="32"/>
      <c r="E184" s="32"/>
      <c r="F184" s="32"/>
      <c r="G184" s="32"/>
      <c r="H184" s="32"/>
      <c r="I184" s="27" t="str">
        <f t="shared" si="2"/>
        <v/>
      </c>
      <c r="J184" s="32"/>
      <c r="K184" s="32"/>
      <c r="L184" s="33"/>
      <c r="M184" s="32"/>
      <c r="N184" s="32"/>
      <c r="O184" s="32"/>
      <c r="P184" s="32"/>
      <c r="Q184" s="32"/>
      <c r="R184" s="32"/>
      <c r="S184" s="31"/>
      <c r="T184" s="88" t="str">
        <f ca="1" t="shared" si="1"/>
        <v/>
      </c>
      <c r="U184" s="27"/>
      <c r="V184" s="27"/>
      <c r="W184" s="27"/>
      <c r="X184" s="33"/>
      <c r="Y184" s="30"/>
      <c r="Z184" s="33"/>
      <c r="AA184" s="30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</row>
    <row r="185" ht="15.75" customHeight="1" spans="1:43">
      <c r="A185" s="29"/>
      <c r="B185" s="29"/>
      <c r="C185" s="29"/>
      <c r="D185" s="32"/>
      <c r="E185" s="32"/>
      <c r="F185" s="32"/>
      <c r="G185" s="32"/>
      <c r="H185" s="32"/>
      <c r="I185" s="27" t="str">
        <f t="shared" si="2"/>
        <v/>
      </c>
      <c r="J185" s="32"/>
      <c r="K185" s="32"/>
      <c r="L185" s="33"/>
      <c r="M185" s="32"/>
      <c r="N185" s="32"/>
      <c r="O185" s="32"/>
      <c r="P185" s="32"/>
      <c r="Q185" s="32"/>
      <c r="R185" s="32"/>
      <c r="S185" s="31"/>
      <c r="T185" s="88" t="str">
        <f ca="1" t="shared" si="1"/>
        <v/>
      </c>
      <c r="U185" s="27"/>
      <c r="V185" s="27"/>
      <c r="W185" s="27"/>
      <c r="X185" s="33"/>
      <c r="Y185" s="30"/>
      <c r="Z185" s="33"/>
      <c r="AA185" s="30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</row>
    <row r="186" ht="15.75" customHeight="1" spans="1:43">
      <c r="A186" s="29"/>
      <c r="B186" s="29"/>
      <c r="C186" s="29"/>
      <c r="D186" s="32"/>
      <c r="E186" s="32"/>
      <c r="F186" s="32"/>
      <c r="G186" s="32"/>
      <c r="H186" s="32"/>
      <c r="I186" s="27" t="str">
        <f t="shared" si="2"/>
        <v/>
      </c>
      <c r="J186" s="32"/>
      <c r="K186" s="32"/>
      <c r="L186" s="33"/>
      <c r="M186" s="32"/>
      <c r="N186" s="32"/>
      <c r="O186" s="32"/>
      <c r="P186" s="32"/>
      <c r="Q186" s="32"/>
      <c r="R186" s="32"/>
      <c r="S186" s="31"/>
      <c r="T186" s="88" t="str">
        <f ca="1" t="shared" si="1"/>
        <v/>
      </c>
      <c r="U186" s="27"/>
      <c r="V186" s="27"/>
      <c r="W186" s="27"/>
      <c r="X186" s="33"/>
      <c r="Y186" s="30"/>
      <c r="Z186" s="33"/>
      <c r="AA186" s="30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</row>
    <row r="187" ht="15.75" customHeight="1" spans="1:43">
      <c r="A187" s="29"/>
      <c r="B187" s="29"/>
      <c r="C187" s="29"/>
      <c r="D187" s="32"/>
      <c r="E187" s="32"/>
      <c r="F187" s="32"/>
      <c r="G187" s="32"/>
      <c r="H187" s="32"/>
      <c r="I187" s="27" t="str">
        <f t="shared" si="2"/>
        <v/>
      </c>
      <c r="J187" s="32"/>
      <c r="K187" s="32"/>
      <c r="L187" s="33"/>
      <c r="M187" s="32"/>
      <c r="N187" s="32"/>
      <c r="O187" s="32"/>
      <c r="P187" s="32"/>
      <c r="Q187" s="32"/>
      <c r="R187" s="32"/>
      <c r="S187" s="31"/>
      <c r="T187" s="88" t="str">
        <f ca="1" t="shared" si="1"/>
        <v/>
      </c>
      <c r="U187" s="27"/>
      <c r="V187" s="27"/>
      <c r="W187" s="27"/>
      <c r="X187" s="33"/>
      <c r="Y187" s="30"/>
      <c r="Z187" s="33"/>
      <c r="AA187" s="30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</row>
    <row r="188" ht="15.75" customHeight="1" spans="1:43">
      <c r="A188" s="29"/>
      <c r="B188" s="29"/>
      <c r="C188" s="29"/>
      <c r="D188" s="32"/>
      <c r="E188" s="32"/>
      <c r="F188" s="32"/>
      <c r="G188" s="32"/>
      <c r="H188" s="32"/>
      <c r="I188" s="27" t="str">
        <f t="shared" si="2"/>
        <v/>
      </c>
      <c r="J188" s="32"/>
      <c r="K188" s="32"/>
      <c r="L188" s="33"/>
      <c r="M188" s="32"/>
      <c r="N188" s="32"/>
      <c r="O188" s="32"/>
      <c r="P188" s="32"/>
      <c r="Q188" s="32"/>
      <c r="R188" s="32"/>
      <c r="S188" s="31"/>
      <c r="T188" s="88" t="str">
        <f ca="1" t="shared" si="1"/>
        <v/>
      </c>
      <c r="U188" s="27"/>
      <c r="V188" s="27"/>
      <c r="W188" s="27"/>
      <c r="X188" s="33"/>
      <c r="Y188" s="30"/>
      <c r="Z188" s="33"/>
      <c r="AA188" s="30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</row>
    <row r="189" ht="15.75" customHeight="1" spans="1:43">
      <c r="A189" s="29"/>
      <c r="B189" s="29"/>
      <c r="C189" s="29"/>
      <c r="D189" s="32"/>
      <c r="E189" s="32"/>
      <c r="F189" s="32"/>
      <c r="G189" s="32"/>
      <c r="H189" s="32"/>
      <c r="I189" s="27" t="str">
        <f t="shared" si="2"/>
        <v/>
      </c>
      <c r="J189" s="32"/>
      <c r="K189" s="32"/>
      <c r="L189" s="33"/>
      <c r="M189" s="32"/>
      <c r="N189" s="32"/>
      <c r="O189" s="32"/>
      <c r="P189" s="32"/>
      <c r="Q189" s="32"/>
      <c r="R189" s="32"/>
      <c r="S189" s="31"/>
      <c r="T189" s="88" t="str">
        <f ca="1" t="shared" si="1"/>
        <v/>
      </c>
      <c r="U189" s="27"/>
      <c r="V189" s="27"/>
      <c r="W189" s="27"/>
      <c r="X189" s="33"/>
      <c r="Y189" s="30"/>
      <c r="Z189" s="33"/>
      <c r="AA189" s="30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</row>
    <row r="190" ht="15.75" customHeight="1" spans="1:43">
      <c r="A190" s="29"/>
      <c r="B190" s="29"/>
      <c r="C190" s="29"/>
      <c r="D190" s="32"/>
      <c r="E190" s="32"/>
      <c r="F190" s="32"/>
      <c r="G190" s="32"/>
      <c r="H190" s="32"/>
      <c r="I190" s="27" t="str">
        <f t="shared" si="2"/>
        <v/>
      </c>
      <c r="J190" s="32"/>
      <c r="K190" s="32"/>
      <c r="L190" s="33"/>
      <c r="M190" s="32"/>
      <c r="N190" s="32"/>
      <c r="O190" s="32"/>
      <c r="P190" s="32"/>
      <c r="Q190" s="32"/>
      <c r="R190" s="32"/>
      <c r="S190" s="31"/>
      <c r="T190" s="88" t="str">
        <f ca="1" t="shared" si="1"/>
        <v/>
      </c>
      <c r="U190" s="27"/>
      <c r="V190" s="27"/>
      <c r="W190" s="27"/>
      <c r="X190" s="33"/>
      <c r="Y190" s="30"/>
      <c r="Z190" s="33"/>
      <c r="AA190" s="30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</row>
    <row r="191" ht="15.75" customHeight="1" spans="1:43">
      <c r="A191" s="29"/>
      <c r="B191" s="29"/>
      <c r="C191" s="29"/>
      <c r="D191" s="32"/>
      <c r="E191" s="32"/>
      <c r="F191" s="32"/>
      <c r="G191" s="32"/>
      <c r="H191" s="32"/>
      <c r="I191" s="27" t="str">
        <f t="shared" si="2"/>
        <v/>
      </c>
      <c r="J191" s="32"/>
      <c r="K191" s="32"/>
      <c r="L191" s="33"/>
      <c r="M191" s="32"/>
      <c r="N191" s="32"/>
      <c r="O191" s="32"/>
      <c r="P191" s="32"/>
      <c r="Q191" s="32"/>
      <c r="R191" s="32"/>
      <c r="S191" s="31"/>
      <c r="T191" s="88" t="str">
        <f ca="1" t="shared" si="1"/>
        <v/>
      </c>
      <c r="U191" s="27"/>
      <c r="V191" s="27"/>
      <c r="W191" s="27"/>
      <c r="X191" s="33"/>
      <c r="Y191" s="30"/>
      <c r="Z191" s="33"/>
      <c r="AA191" s="30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</row>
    <row r="192" ht="15.75" customHeight="1" spans="1:43">
      <c r="A192" s="29"/>
      <c r="B192" s="29"/>
      <c r="C192" s="29"/>
      <c r="D192" s="32"/>
      <c r="E192" s="32"/>
      <c r="F192" s="32"/>
      <c r="G192" s="32"/>
      <c r="H192" s="32"/>
      <c r="I192" s="27" t="str">
        <f t="shared" si="2"/>
        <v/>
      </c>
      <c r="J192" s="32"/>
      <c r="K192" s="32"/>
      <c r="L192" s="33"/>
      <c r="M192" s="32"/>
      <c r="N192" s="32"/>
      <c r="O192" s="32"/>
      <c r="P192" s="32"/>
      <c r="Q192" s="32"/>
      <c r="R192" s="32"/>
      <c r="S192" s="31"/>
      <c r="T192" s="88" t="str">
        <f ca="1" t="shared" si="1"/>
        <v/>
      </c>
      <c r="U192" s="27"/>
      <c r="V192" s="27"/>
      <c r="W192" s="27"/>
      <c r="X192" s="33"/>
      <c r="Y192" s="30"/>
      <c r="Z192" s="33"/>
      <c r="AA192" s="30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</row>
    <row r="193" ht="15.75" customHeight="1" spans="1:43">
      <c r="A193" s="29"/>
      <c r="B193" s="29"/>
      <c r="C193" s="29"/>
      <c r="D193" s="32"/>
      <c r="E193" s="32"/>
      <c r="F193" s="32"/>
      <c r="G193" s="32"/>
      <c r="H193" s="32"/>
      <c r="I193" s="27" t="str">
        <f t="shared" si="2"/>
        <v/>
      </c>
      <c r="J193" s="32"/>
      <c r="K193" s="32"/>
      <c r="L193" s="33"/>
      <c r="M193" s="32"/>
      <c r="N193" s="32"/>
      <c r="O193" s="32"/>
      <c r="P193" s="32"/>
      <c r="Q193" s="32"/>
      <c r="R193" s="32"/>
      <c r="S193" s="31"/>
      <c r="T193" s="88" t="str">
        <f ca="1" t="shared" si="1"/>
        <v/>
      </c>
      <c r="U193" s="27"/>
      <c r="V193" s="27"/>
      <c r="W193" s="27"/>
      <c r="X193" s="33"/>
      <c r="Y193" s="30"/>
      <c r="Z193" s="33"/>
      <c r="AA193" s="30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</row>
    <row r="194" ht="15.75" customHeight="1" spans="1:43">
      <c r="A194" s="29"/>
      <c r="B194" s="29"/>
      <c r="C194" s="29"/>
      <c r="D194" s="32"/>
      <c r="E194" s="32"/>
      <c r="F194" s="32"/>
      <c r="G194" s="32"/>
      <c r="H194" s="32"/>
      <c r="I194" s="27" t="str">
        <f t="shared" si="2"/>
        <v/>
      </c>
      <c r="J194" s="32"/>
      <c r="K194" s="32"/>
      <c r="L194" s="33"/>
      <c r="M194" s="32"/>
      <c r="N194" s="32"/>
      <c r="O194" s="32"/>
      <c r="P194" s="32"/>
      <c r="Q194" s="32"/>
      <c r="R194" s="32"/>
      <c r="S194" s="31"/>
      <c r="T194" s="88" t="str">
        <f ca="1" t="shared" si="1"/>
        <v/>
      </c>
      <c r="U194" s="27"/>
      <c r="V194" s="27"/>
      <c r="W194" s="27"/>
      <c r="X194" s="33"/>
      <c r="Y194" s="30"/>
      <c r="Z194" s="33"/>
      <c r="AA194" s="30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</row>
    <row r="195" ht="15.75" customHeight="1" spans="1:43">
      <c r="A195" s="29"/>
      <c r="B195" s="29"/>
      <c r="C195" s="29"/>
      <c r="D195" s="32"/>
      <c r="E195" s="32"/>
      <c r="F195" s="32"/>
      <c r="G195" s="32"/>
      <c r="H195" s="32"/>
      <c r="I195" s="27" t="str">
        <f t="shared" si="2"/>
        <v/>
      </c>
      <c r="J195" s="32"/>
      <c r="K195" s="32"/>
      <c r="L195" s="33"/>
      <c r="M195" s="32"/>
      <c r="N195" s="32"/>
      <c r="O195" s="32"/>
      <c r="P195" s="32"/>
      <c r="Q195" s="32"/>
      <c r="R195" s="32"/>
      <c r="S195" s="31"/>
      <c r="T195" s="88" t="str">
        <f ca="1" t="shared" si="1"/>
        <v/>
      </c>
      <c r="U195" s="27"/>
      <c r="V195" s="27"/>
      <c r="W195" s="27"/>
      <c r="X195" s="33"/>
      <c r="Y195" s="30"/>
      <c r="Z195" s="33"/>
      <c r="AA195" s="30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</row>
    <row r="196" ht="15.75" customHeight="1" spans="1:43">
      <c r="A196" s="29"/>
      <c r="B196" s="29"/>
      <c r="C196" s="29"/>
      <c r="D196" s="32"/>
      <c r="E196" s="32"/>
      <c r="F196" s="32"/>
      <c r="G196" s="32"/>
      <c r="H196" s="32"/>
      <c r="I196" s="27" t="str">
        <f t="shared" si="2"/>
        <v/>
      </c>
      <c r="J196" s="32"/>
      <c r="K196" s="32"/>
      <c r="L196" s="33"/>
      <c r="M196" s="32"/>
      <c r="N196" s="32"/>
      <c r="O196" s="32"/>
      <c r="P196" s="32"/>
      <c r="Q196" s="32"/>
      <c r="R196" s="32"/>
      <c r="S196" s="31"/>
      <c r="T196" s="88" t="str">
        <f ca="1" t="shared" si="1"/>
        <v/>
      </c>
      <c r="U196" s="27"/>
      <c r="V196" s="27"/>
      <c r="W196" s="27"/>
      <c r="X196" s="33"/>
      <c r="Y196" s="30"/>
      <c r="Z196" s="33"/>
      <c r="AA196" s="30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</row>
    <row r="197" ht="15.75" customHeight="1" spans="1:43">
      <c r="A197" s="29"/>
      <c r="B197" s="29"/>
      <c r="C197" s="29"/>
      <c r="D197" s="32"/>
      <c r="E197" s="32"/>
      <c r="F197" s="32"/>
      <c r="G197" s="32"/>
      <c r="H197" s="32"/>
      <c r="I197" s="27" t="str">
        <f t="shared" si="2"/>
        <v/>
      </c>
      <c r="J197" s="32"/>
      <c r="K197" s="32"/>
      <c r="L197" s="33"/>
      <c r="M197" s="32"/>
      <c r="N197" s="32"/>
      <c r="O197" s="32"/>
      <c r="P197" s="32"/>
      <c r="Q197" s="32"/>
      <c r="R197" s="32"/>
      <c r="S197" s="31"/>
      <c r="T197" s="88" t="str">
        <f ca="1" t="shared" si="1"/>
        <v/>
      </c>
      <c r="U197" s="27"/>
      <c r="V197" s="27"/>
      <c r="W197" s="27"/>
      <c r="X197" s="33"/>
      <c r="Y197" s="30"/>
      <c r="Z197" s="33"/>
      <c r="AA197" s="30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</row>
    <row r="198" ht="15.75" customHeight="1" spans="1:43">
      <c r="A198" s="29"/>
      <c r="B198" s="29"/>
      <c r="C198" s="29"/>
      <c r="D198" s="32"/>
      <c r="E198" s="32"/>
      <c r="F198" s="32"/>
      <c r="G198" s="32"/>
      <c r="H198" s="32"/>
      <c r="I198" s="27" t="str">
        <f t="shared" si="2"/>
        <v/>
      </c>
      <c r="J198" s="32"/>
      <c r="K198" s="32"/>
      <c r="L198" s="33"/>
      <c r="M198" s="32"/>
      <c r="N198" s="32"/>
      <c r="O198" s="32"/>
      <c r="P198" s="32"/>
      <c r="Q198" s="32"/>
      <c r="R198" s="32"/>
      <c r="S198" s="31"/>
      <c r="T198" s="88" t="str">
        <f ca="1" t="shared" si="1"/>
        <v/>
      </c>
      <c r="U198" s="27"/>
      <c r="V198" s="27"/>
      <c r="W198" s="27"/>
      <c r="X198" s="33"/>
      <c r="Y198" s="30"/>
      <c r="Z198" s="33"/>
      <c r="AA198" s="30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</row>
    <row r="199" ht="15.75" customHeight="1" spans="1:43">
      <c r="A199" s="29"/>
      <c r="B199" s="29"/>
      <c r="C199" s="29"/>
      <c r="D199" s="32"/>
      <c r="E199" s="32"/>
      <c r="F199" s="32"/>
      <c r="G199" s="32"/>
      <c r="H199" s="32"/>
      <c r="I199" s="27" t="str">
        <f t="shared" si="2"/>
        <v/>
      </c>
      <c r="J199" s="32"/>
      <c r="K199" s="32"/>
      <c r="L199" s="33"/>
      <c r="M199" s="32"/>
      <c r="N199" s="32"/>
      <c r="O199" s="32"/>
      <c r="P199" s="32"/>
      <c r="Q199" s="32"/>
      <c r="R199" s="32"/>
      <c r="S199" s="31"/>
      <c r="T199" s="88" t="str">
        <f ca="1" t="shared" si="1"/>
        <v/>
      </c>
      <c r="U199" s="27"/>
      <c r="V199" s="27"/>
      <c r="W199" s="27"/>
      <c r="X199" s="33"/>
      <c r="Y199" s="30"/>
      <c r="Z199" s="33"/>
      <c r="AA199" s="30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</row>
    <row r="200" ht="15.75" customHeight="1" spans="1:43">
      <c r="A200" s="29"/>
      <c r="B200" s="29"/>
      <c r="C200" s="29"/>
      <c r="D200" s="32"/>
      <c r="E200" s="32"/>
      <c r="F200" s="32"/>
      <c r="G200" s="32"/>
      <c r="H200" s="32"/>
      <c r="I200" s="27" t="str">
        <f t="shared" si="2"/>
        <v/>
      </c>
      <c r="J200" s="32"/>
      <c r="K200" s="32"/>
      <c r="L200" s="33"/>
      <c r="M200" s="32"/>
      <c r="N200" s="32"/>
      <c r="O200" s="32"/>
      <c r="P200" s="32"/>
      <c r="Q200" s="32"/>
      <c r="R200" s="32"/>
      <c r="S200" s="31"/>
      <c r="T200" s="88" t="str">
        <f ca="1" t="shared" si="1"/>
        <v/>
      </c>
      <c r="U200" s="27"/>
      <c r="V200" s="27"/>
      <c r="W200" s="27"/>
      <c r="X200" s="33"/>
      <c r="Y200" s="30"/>
      <c r="Z200" s="33"/>
      <c r="AA200" s="30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</row>
    <row r="201" ht="15.75" customHeight="1" spans="1:43">
      <c r="A201" s="29"/>
      <c r="B201" s="29"/>
      <c r="C201" s="29"/>
      <c r="D201" s="32"/>
      <c r="E201" s="32"/>
      <c r="F201" s="32"/>
      <c r="G201" s="32"/>
      <c r="H201" s="32"/>
      <c r="I201" s="27" t="str">
        <f t="shared" si="2"/>
        <v/>
      </c>
      <c r="J201" s="32"/>
      <c r="K201" s="32"/>
      <c r="L201" s="33"/>
      <c r="M201" s="32"/>
      <c r="N201" s="32"/>
      <c r="O201" s="32"/>
      <c r="P201" s="32"/>
      <c r="Q201" s="32"/>
      <c r="R201" s="32"/>
      <c r="S201" s="31"/>
      <c r="T201" s="88" t="str">
        <f ca="1" t="shared" si="1"/>
        <v/>
      </c>
      <c r="U201" s="27"/>
      <c r="V201" s="27"/>
      <c r="W201" s="27"/>
      <c r="X201" s="33"/>
      <c r="Y201" s="30"/>
      <c r="Z201" s="33"/>
      <c r="AA201" s="30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</row>
    <row r="202" ht="15.75" customHeight="1" spans="1:43">
      <c r="A202" s="29"/>
      <c r="B202" s="29"/>
      <c r="C202" s="29"/>
      <c r="D202" s="32"/>
      <c r="E202" s="32"/>
      <c r="F202" s="32"/>
      <c r="G202" s="32"/>
      <c r="H202" s="32"/>
      <c r="I202" s="27" t="str">
        <f t="shared" si="2"/>
        <v/>
      </c>
      <c r="J202" s="32"/>
      <c r="K202" s="32"/>
      <c r="L202" s="33"/>
      <c r="M202" s="32"/>
      <c r="N202" s="32"/>
      <c r="O202" s="32"/>
      <c r="P202" s="32"/>
      <c r="Q202" s="32"/>
      <c r="R202" s="32"/>
      <c r="S202" s="31"/>
      <c r="T202" s="88" t="str">
        <f ca="1" t="shared" si="1"/>
        <v/>
      </c>
      <c r="U202" s="27"/>
      <c r="V202" s="27"/>
      <c r="W202" s="27"/>
      <c r="X202" s="33"/>
      <c r="Y202" s="30"/>
      <c r="Z202" s="33"/>
      <c r="AA202" s="30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</row>
    <row r="203" ht="15.75" customHeight="1" spans="1:43">
      <c r="A203" s="29"/>
      <c r="B203" s="29"/>
      <c r="C203" s="29"/>
      <c r="D203" s="32"/>
      <c r="E203" s="32"/>
      <c r="F203" s="32"/>
      <c r="G203" s="32"/>
      <c r="H203" s="32"/>
      <c r="I203" s="27" t="str">
        <f t="shared" si="2"/>
        <v/>
      </c>
      <c r="J203" s="32"/>
      <c r="K203" s="32"/>
      <c r="L203" s="33"/>
      <c r="M203" s="32"/>
      <c r="N203" s="32"/>
      <c r="O203" s="32"/>
      <c r="P203" s="32"/>
      <c r="Q203" s="32"/>
      <c r="R203" s="32"/>
      <c r="S203" s="31"/>
      <c r="T203" s="88" t="str">
        <f ca="1" t="shared" si="1"/>
        <v/>
      </c>
      <c r="U203" s="27"/>
      <c r="V203" s="27"/>
      <c r="W203" s="27"/>
      <c r="X203" s="33"/>
      <c r="Y203" s="30"/>
      <c r="Z203" s="33"/>
      <c r="AA203" s="30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</row>
    <row r="204" ht="15.75" customHeight="1" spans="1:43">
      <c r="A204" s="29"/>
      <c r="B204" s="29"/>
      <c r="C204" s="29"/>
      <c r="D204" s="32"/>
      <c r="E204" s="32"/>
      <c r="F204" s="32"/>
      <c r="G204" s="32"/>
      <c r="H204" s="32"/>
      <c r="I204" s="27" t="str">
        <f t="shared" si="2"/>
        <v/>
      </c>
      <c r="J204" s="32"/>
      <c r="K204" s="32"/>
      <c r="L204" s="33"/>
      <c r="M204" s="32"/>
      <c r="N204" s="32"/>
      <c r="O204" s="32"/>
      <c r="P204" s="32"/>
      <c r="Q204" s="32"/>
      <c r="R204" s="32"/>
      <c r="S204" s="31"/>
      <c r="T204" s="88" t="str">
        <f ca="1" t="shared" si="1"/>
        <v/>
      </c>
      <c r="U204" s="27"/>
      <c r="V204" s="27"/>
      <c r="W204" s="27"/>
      <c r="X204" s="33"/>
      <c r="Y204" s="30"/>
      <c r="Z204" s="33"/>
      <c r="AA204" s="30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</row>
    <row r="205" ht="15.75" customHeight="1" spans="1:43">
      <c r="A205" s="29"/>
      <c r="B205" s="29"/>
      <c r="C205" s="29"/>
      <c r="D205" s="32"/>
      <c r="E205" s="32"/>
      <c r="F205" s="32"/>
      <c r="G205" s="32"/>
      <c r="H205" s="32"/>
      <c r="I205" s="27" t="str">
        <f t="shared" si="2"/>
        <v/>
      </c>
      <c r="J205" s="32"/>
      <c r="K205" s="32"/>
      <c r="L205" s="33"/>
      <c r="M205" s="32"/>
      <c r="N205" s="32"/>
      <c r="O205" s="32"/>
      <c r="P205" s="32"/>
      <c r="Q205" s="32"/>
      <c r="R205" s="32"/>
      <c r="S205" s="31"/>
      <c r="T205" s="88" t="str">
        <f ca="1" t="shared" si="1"/>
        <v/>
      </c>
      <c r="U205" s="27"/>
      <c r="V205" s="27"/>
      <c r="W205" s="27"/>
      <c r="X205" s="33"/>
      <c r="Y205" s="30"/>
      <c r="Z205" s="33"/>
      <c r="AA205" s="30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</row>
    <row r="206" ht="15.75" customHeight="1" spans="1:43">
      <c r="A206" s="29"/>
      <c r="B206" s="29"/>
      <c r="C206" s="29"/>
      <c r="D206" s="32"/>
      <c r="E206" s="32"/>
      <c r="F206" s="32"/>
      <c r="G206" s="32"/>
      <c r="H206" s="32"/>
      <c r="I206" s="27" t="str">
        <f t="shared" si="2"/>
        <v/>
      </c>
      <c r="J206" s="32"/>
      <c r="K206" s="32"/>
      <c r="L206" s="33"/>
      <c r="M206" s="32"/>
      <c r="N206" s="32"/>
      <c r="O206" s="32"/>
      <c r="P206" s="32"/>
      <c r="Q206" s="32"/>
      <c r="R206" s="32"/>
      <c r="S206" s="31"/>
      <c r="T206" s="88" t="str">
        <f ca="1" t="shared" si="1"/>
        <v/>
      </c>
      <c r="U206" s="27"/>
      <c r="V206" s="27"/>
      <c r="W206" s="27"/>
      <c r="X206" s="33"/>
      <c r="Y206" s="30"/>
      <c r="Z206" s="33"/>
      <c r="AA206" s="30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</row>
    <row r="207" ht="15.75" customHeight="1" spans="1:43">
      <c r="A207" s="29"/>
      <c r="B207" s="29"/>
      <c r="C207" s="29"/>
      <c r="D207" s="32"/>
      <c r="E207" s="32"/>
      <c r="F207" s="32"/>
      <c r="G207" s="32"/>
      <c r="H207" s="32"/>
      <c r="I207" s="27" t="str">
        <f t="shared" si="2"/>
        <v/>
      </c>
      <c r="J207" s="32"/>
      <c r="K207" s="32"/>
      <c r="L207" s="33"/>
      <c r="M207" s="32"/>
      <c r="N207" s="32"/>
      <c r="O207" s="32"/>
      <c r="P207" s="32"/>
      <c r="Q207" s="32"/>
      <c r="R207" s="32"/>
      <c r="S207" s="31"/>
      <c r="T207" s="88" t="str">
        <f ca="1" t="shared" si="1"/>
        <v/>
      </c>
      <c r="U207" s="27"/>
      <c r="V207" s="27"/>
      <c r="W207" s="27"/>
      <c r="X207" s="33"/>
      <c r="Y207" s="30"/>
      <c r="Z207" s="33"/>
      <c r="AA207" s="30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</row>
    <row r="208" ht="15.75" customHeight="1" spans="1:43">
      <c r="A208" s="29"/>
      <c r="B208" s="29"/>
      <c r="C208" s="29"/>
      <c r="D208" s="32"/>
      <c r="E208" s="32"/>
      <c r="F208" s="32"/>
      <c r="G208" s="32"/>
      <c r="H208" s="32"/>
      <c r="I208" s="27" t="str">
        <f t="shared" si="2"/>
        <v/>
      </c>
      <c r="J208" s="32"/>
      <c r="K208" s="32"/>
      <c r="L208" s="33"/>
      <c r="M208" s="32"/>
      <c r="N208" s="32"/>
      <c r="O208" s="32"/>
      <c r="P208" s="32"/>
      <c r="Q208" s="32"/>
      <c r="R208" s="32"/>
      <c r="S208" s="31"/>
      <c r="T208" s="88" t="str">
        <f ca="1" t="shared" si="1"/>
        <v/>
      </c>
      <c r="U208" s="27"/>
      <c r="V208" s="27"/>
      <c r="W208" s="27"/>
      <c r="X208" s="33"/>
      <c r="Y208" s="30"/>
      <c r="Z208" s="33"/>
      <c r="AA208" s="30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</row>
    <row r="209" ht="15.75" customHeight="1" spans="1:43">
      <c r="A209" s="29"/>
      <c r="B209" s="29"/>
      <c r="C209" s="29"/>
      <c r="D209" s="32"/>
      <c r="E209" s="32"/>
      <c r="F209" s="32"/>
      <c r="G209" s="32"/>
      <c r="H209" s="32"/>
      <c r="I209" s="27" t="str">
        <f t="shared" si="2"/>
        <v/>
      </c>
      <c r="J209" s="32"/>
      <c r="K209" s="32"/>
      <c r="L209" s="33"/>
      <c r="M209" s="32"/>
      <c r="N209" s="32"/>
      <c r="O209" s="32"/>
      <c r="P209" s="32"/>
      <c r="Q209" s="32"/>
      <c r="R209" s="32"/>
      <c r="S209" s="31"/>
      <c r="T209" s="88" t="str">
        <f ca="1" t="shared" si="1"/>
        <v/>
      </c>
      <c r="U209" s="27"/>
      <c r="V209" s="27"/>
      <c r="W209" s="27"/>
      <c r="X209" s="33"/>
      <c r="Y209" s="30"/>
      <c r="Z209" s="33"/>
      <c r="AA209" s="30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</row>
    <row r="210" ht="15.75" customHeight="1" spans="1:43">
      <c r="A210" s="29"/>
      <c r="B210" s="29"/>
      <c r="C210" s="29"/>
      <c r="D210" s="32"/>
      <c r="E210" s="32"/>
      <c r="F210" s="32"/>
      <c r="G210" s="32"/>
      <c r="H210" s="32"/>
      <c r="I210" s="27" t="str">
        <f t="shared" si="2"/>
        <v/>
      </c>
      <c r="J210" s="32"/>
      <c r="K210" s="32"/>
      <c r="L210" s="33"/>
      <c r="M210" s="32"/>
      <c r="N210" s="32"/>
      <c r="O210" s="32"/>
      <c r="P210" s="32"/>
      <c r="Q210" s="32"/>
      <c r="R210" s="32"/>
      <c r="S210" s="31"/>
      <c r="T210" s="88" t="str">
        <f ca="1" t="shared" si="1"/>
        <v/>
      </c>
      <c r="U210" s="27"/>
      <c r="V210" s="27"/>
      <c r="W210" s="27"/>
      <c r="X210" s="33"/>
      <c r="Y210" s="30"/>
      <c r="Z210" s="33"/>
      <c r="AA210" s="30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</row>
    <row r="211" ht="15.75" customHeight="1" spans="1:43">
      <c r="A211" s="29"/>
      <c r="B211" s="29"/>
      <c r="C211" s="29"/>
      <c r="D211" s="32"/>
      <c r="E211" s="32"/>
      <c r="F211" s="32"/>
      <c r="G211" s="32"/>
      <c r="H211" s="32"/>
      <c r="I211" s="27" t="str">
        <f t="shared" si="2"/>
        <v/>
      </c>
      <c r="J211" s="32"/>
      <c r="K211" s="32"/>
      <c r="L211" s="33"/>
      <c r="M211" s="32"/>
      <c r="N211" s="32"/>
      <c r="O211" s="32"/>
      <c r="P211" s="32"/>
      <c r="Q211" s="32"/>
      <c r="R211" s="32"/>
      <c r="S211" s="31"/>
      <c r="T211" s="88" t="str">
        <f ca="1" t="shared" si="1"/>
        <v/>
      </c>
      <c r="U211" s="27"/>
      <c r="V211" s="27"/>
      <c r="W211" s="27"/>
      <c r="X211" s="33"/>
      <c r="Y211" s="30"/>
      <c r="Z211" s="33"/>
      <c r="AA211" s="30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</row>
    <row r="212" ht="15.75" customHeight="1" spans="1:43">
      <c r="A212" s="29"/>
      <c r="B212" s="29"/>
      <c r="C212" s="29"/>
      <c r="D212" s="32"/>
      <c r="E212" s="32"/>
      <c r="F212" s="32"/>
      <c r="G212" s="32"/>
      <c r="H212" s="32"/>
      <c r="I212" s="27" t="str">
        <f t="shared" si="2"/>
        <v/>
      </c>
      <c r="J212" s="32"/>
      <c r="K212" s="32"/>
      <c r="L212" s="33"/>
      <c r="M212" s="32"/>
      <c r="N212" s="32"/>
      <c r="O212" s="32"/>
      <c r="P212" s="32"/>
      <c r="Q212" s="32"/>
      <c r="R212" s="32"/>
      <c r="S212" s="31"/>
      <c r="T212" s="88" t="str">
        <f ca="1" t="shared" si="1"/>
        <v/>
      </c>
      <c r="U212" s="27"/>
      <c r="V212" s="27"/>
      <c r="W212" s="27"/>
      <c r="X212" s="33"/>
      <c r="Y212" s="30"/>
      <c r="Z212" s="33"/>
      <c r="AA212" s="30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</row>
    <row r="213" ht="15.75" customHeight="1" spans="1:43">
      <c r="A213" s="29"/>
      <c r="B213" s="29"/>
      <c r="C213" s="29"/>
      <c r="D213" s="32"/>
      <c r="E213" s="32"/>
      <c r="F213" s="32"/>
      <c r="G213" s="32"/>
      <c r="H213" s="32"/>
      <c r="I213" s="27" t="str">
        <f t="shared" si="2"/>
        <v/>
      </c>
      <c r="J213" s="32"/>
      <c r="K213" s="32"/>
      <c r="L213" s="33"/>
      <c r="M213" s="32"/>
      <c r="N213" s="32"/>
      <c r="O213" s="32"/>
      <c r="P213" s="32"/>
      <c r="Q213" s="32"/>
      <c r="R213" s="32"/>
      <c r="S213" s="31"/>
      <c r="T213" s="88" t="str">
        <f ca="1" t="shared" si="1"/>
        <v/>
      </c>
      <c r="U213" s="27"/>
      <c r="V213" s="27"/>
      <c r="W213" s="27"/>
      <c r="X213" s="33"/>
      <c r="Y213" s="30"/>
      <c r="Z213" s="33"/>
      <c r="AA213" s="30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</row>
    <row r="214" ht="15.75" customHeight="1" spans="1:43">
      <c r="A214" s="29"/>
      <c r="B214" s="29"/>
      <c r="C214" s="29"/>
      <c r="D214" s="32"/>
      <c r="E214" s="32"/>
      <c r="F214" s="32"/>
      <c r="G214" s="32"/>
      <c r="H214" s="32"/>
      <c r="I214" s="27" t="str">
        <f t="shared" si="2"/>
        <v/>
      </c>
      <c r="J214" s="32"/>
      <c r="K214" s="32"/>
      <c r="L214" s="33"/>
      <c r="M214" s="32"/>
      <c r="N214" s="32"/>
      <c r="O214" s="32"/>
      <c r="P214" s="32"/>
      <c r="Q214" s="32"/>
      <c r="R214" s="32"/>
      <c r="S214" s="31"/>
      <c r="T214" s="88" t="str">
        <f ca="1" t="shared" si="1"/>
        <v/>
      </c>
      <c r="U214" s="27"/>
      <c r="V214" s="27"/>
      <c r="W214" s="27"/>
      <c r="X214" s="33"/>
      <c r="Y214" s="30"/>
      <c r="Z214" s="33"/>
      <c r="AA214" s="30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</row>
    <row r="215" ht="15.75" customHeight="1" spans="1:43">
      <c r="A215" s="29"/>
      <c r="B215" s="29"/>
      <c r="C215" s="29"/>
      <c r="D215" s="32"/>
      <c r="E215" s="32"/>
      <c r="F215" s="32"/>
      <c r="G215" s="32"/>
      <c r="H215" s="32"/>
      <c r="I215" s="27" t="str">
        <f t="shared" si="2"/>
        <v/>
      </c>
      <c r="J215" s="32"/>
      <c r="K215" s="32"/>
      <c r="L215" s="33"/>
      <c r="M215" s="32"/>
      <c r="N215" s="32"/>
      <c r="O215" s="32"/>
      <c r="P215" s="32"/>
      <c r="Q215" s="32"/>
      <c r="R215" s="32"/>
      <c r="S215" s="31"/>
      <c r="T215" s="88" t="str">
        <f ca="1" t="shared" si="1"/>
        <v/>
      </c>
      <c r="U215" s="27"/>
      <c r="V215" s="27"/>
      <c r="W215" s="27"/>
      <c r="X215" s="33"/>
      <c r="Y215" s="30"/>
      <c r="Z215" s="33"/>
      <c r="AA215" s="30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</row>
    <row r="216" ht="15.75" customHeight="1" spans="1:43">
      <c r="A216" s="29"/>
      <c r="B216" s="29"/>
      <c r="C216" s="29"/>
      <c r="D216" s="32"/>
      <c r="E216" s="32"/>
      <c r="F216" s="32"/>
      <c r="G216" s="32"/>
      <c r="H216" s="32"/>
      <c r="I216" s="27" t="str">
        <f t="shared" si="2"/>
        <v/>
      </c>
      <c r="J216" s="32"/>
      <c r="K216" s="32"/>
      <c r="L216" s="33"/>
      <c r="M216" s="32"/>
      <c r="N216" s="32"/>
      <c r="O216" s="32"/>
      <c r="P216" s="32"/>
      <c r="Q216" s="32"/>
      <c r="R216" s="32"/>
      <c r="S216" s="31"/>
      <c r="T216" s="88" t="str">
        <f ca="1" t="shared" si="1"/>
        <v/>
      </c>
      <c r="U216" s="27"/>
      <c r="V216" s="27"/>
      <c r="W216" s="27"/>
      <c r="X216" s="33"/>
      <c r="Y216" s="30"/>
      <c r="Z216" s="33"/>
      <c r="AA216" s="30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</row>
    <row r="217" ht="15.75" customHeight="1" spans="1:43">
      <c r="A217" s="29"/>
      <c r="B217" s="29"/>
      <c r="C217" s="29"/>
      <c r="D217" s="32"/>
      <c r="E217" s="32"/>
      <c r="F217" s="32"/>
      <c r="G217" s="32"/>
      <c r="H217" s="32"/>
      <c r="I217" s="27" t="str">
        <f t="shared" si="2"/>
        <v/>
      </c>
      <c r="J217" s="32"/>
      <c r="K217" s="32"/>
      <c r="L217" s="33"/>
      <c r="M217" s="32"/>
      <c r="N217" s="32"/>
      <c r="O217" s="32"/>
      <c r="P217" s="32"/>
      <c r="Q217" s="32"/>
      <c r="R217" s="32"/>
      <c r="S217" s="31"/>
      <c r="T217" s="88" t="str">
        <f ca="1" t="shared" si="1"/>
        <v/>
      </c>
      <c r="U217" s="27"/>
      <c r="V217" s="27"/>
      <c r="W217" s="27"/>
      <c r="X217" s="33"/>
      <c r="Y217" s="30"/>
      <c r="Z217" s="33"/>
      <c r="AA217" s="30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</row>
    <row r="218" ht="15.75" customHeight="1" spans="1:43">
      <c r="A218" s="29"/>
      <c r="B218" s="29"/>
      <c r="C218" s="29"/>
      <c r="D218" s="32"/>
      <c r="E218" s="32"/>
      <c r="F218" s="32"/>
      <c r="G218" s="32"/>
      <c r="H218" s="32"/>
      <c r="I218" s="27" t="str">
        <f t="shared" si="2"/>
        <v/>
      </c>
      <c r="J218" s="32"/>
      <c r="K218" s="32"/>
      <c r="L218" s="33"/>
      <c r="M218" s="32"/>
      <c r="N218" s="32"/>
      <c r="O218" s="32"/>
      <c r="P218" s="32"/>
      <c r="Q218" s="32"/>
      <c r="R218" s="32"/>
      <c r="S218" s="31"/>
      <c r="T218" s="88" t="str">
        <f ca="1" t="shared" si="1"/>
        <v/>
      </c>
      <c r="U218" s="27"/>
      <c r="V218" s="27"/>
      <c r="W218" s="27"/>
      <c r="X218" s="33"/>
      <c r="Y218" s="30"/>
      <c r="Z218" s="33"/>
      <c r="AA218" s="30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</row>
    <row r="219" ht="15.75" customHeight="1" spans="1:43">
      <c r="A219" s="29"/>
      <c r="B219" s="29"/>
      <c r="C219" s="29"/>
      <c r="D219" s="32"/>
      <c r="E219" s="32"/>
      <c r="F219" s="32"/>
      <c r="G219" s="32"/>
      <c r="H219" s="32"/>
      <c r="I219" s="27" t="str">
        <f t="shared" si="2"/>
        <v/>
      </c>
      <c r="J219" s="32"/>
      <c r="K219" s="32"/>
      <c r="L219" s="33"/>
      <c r="M219" s="32"/>
      <c r="N219" s="32"/>
      <c r="O219" s="32"/>
      <c r="P219" s="32"/>
      <c r="Q219" s="32"/>
      <c r="R219" s="32"/>
      <c r="S219" s="31"/>
      <c r="T219" s="88" t="str">
        <f ca="1" t="shared" si="1"/>
        <v/>
      </c>
      <c r="U219" s="27"/>
      <c r="V219" s="27"/>
      <c r="W219" s="27"/>
      <c r="X219" s="33"/>
      <c r="Y219" s="30"/>
      <c r="Z219" s="33"/>
      <c r="AA219" s="30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</row>
    <row r="220" ht="15.75" customHeight="1" spans="1:43">
      <c r="A220" s="29"/>
      <c r="B220" s="29"/>
      <c r="C220" s="29"/>
      <c r="D220" s="32"/>
      <c r="E220" s="32"/>
      <c r="F220" s="32"/>
      <c r="G220" s="32"/>
      <c r="H220" s="32"/>
      <c r="I220" s="27" t="str">
        <f t="shared" si="2"/>
        <v/>
      </c>
      <c r="J220" s="32"/>
      <c r="K220" s="32"/>
      <c r="L220" s="33"/>
      <c r="M220" s="32"/>
      <c r="N220" s="32"/>
      <c r="O220" s="32"/>
      <c r="P220" s="32"/>
      <c r="Q220" s="32"/>
      <c r="R220" s="32"/>
      <c r="S220" s="31"/>
      <c r="T220" s="88" t="str">
        <f ca="1" t="shared" si="1"/>
        <v/>
      </c>
      <c r="U220" s="27"/>
      <c r="V220" s="27"/>
      <c r="W220" s="27"/>
      <c r="X220" s="33"/>
      <c r="Y220" s="30"/>
      <c r="Z220" s="33"/>
      <c r="AA220" s="30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</row>
    <row r="221" ht="15.75" customHeight="1" spans="1:43">
      <c r="A221" s="29"/>
      <c r="B221" s="29"/>
      <c r="C221" s="29"/>
      <c r="D221" s="32"/>
      <c r="E221" s="32"/>
      <c r="F221" s="32"/>
      <c r="G221" s="32"/>
      <c r="H221" s="32"/>
      <c r="I221" s="27" t="str">
        <f t="shared" si="2"/>
        <v/>
      </c>
      <c r="J221" s="32"/>
      <c r="K221" s="32"/>
      <c r="L221" s="33"/>
      <c r="M221" s="32"/>
      <c r="N221" s="32"/>
      <c r="O221" s="32"/>
      <c r="P221" s="32"/>
      <c r="Q221" s="32"/>
      <c r="R221" s="32"/>
      <c r="S221" s="31"/>
      <c r="T221" s="88" t="str">
        <f ca="1" t="shared" si="1"/>
        <v/>
      </c>
      <c r="U221" s="27"/>
      <c r="V221" s="27"/>
      <c r="W221" s="27"/>
      <c r="X221" s="33"/>
      <c r="Y221" s="30"/>
      <c r="Z221" s="33"/>
      <c r="AA221" s="30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</row>
    <row r="222" ht="15.75" customHeight="1" spans="1:43">
      <c r="A222" s="29"/>
      <c r="B222" s="29"/>
      <c r="C222" s="29"/>
      <c r="D222" s="32"/>
      <c r="E222" s="32"/>
      <c r="F222" s="32"/>
      <c r="G222" s="32"/>
      <c r="H222" s="32"/>
      <c r="I222" s="27" t="str">
        <f t="shared" si="2"/>
        <v/>
      </c>
      <c r="J222" s="32"/>
      <c r="K222" s="32"/>
      <c r="L222" s="33"/>
      <c r="M222" s="32"/>
      <c r="N222" s="32"/>
      <c r="O222" s="32"/>
      <c r="P222" s="32"/>
      <c r="Q222" s="32"/>
      <c r="R222" s="32"/>
      <c r="S222" s="31"/>
      <c r="T222" s="88" t="str">
        <f ca="1" t="shared" si="1"/>
        <v/>
      </c>
      <c r="U222" s="27"/>
      <c r="V222" s="27"/>
      <c r="W222" s="27"/>
      <c r="X222" s="33"/>
      <c r="Y222" s="30"/>
      <c r="Z222" s="33"/>
      <c r="AA222" s="30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</row>
    <row r="223" ht="15.75" customHeight="1" spans="1:43">
      <c r="A223" s="29"/>
      <c r="B223" s="29"/>
      <c r="C223" s="29"/>
      <c r="D223" s="32"/>
      <c r="E223" s="32"/>
      <c r="F223" s="32"/>
      <c r="G223" s="32"/>
      <c r="H223" s="32"/>
      <c r="I223" s="27" t="str">
        <f t="shared" si="2"/>
        <v/>
      </c>
      <c r="J223" s="32"/>
      <c r="K223" s="32"/>
      <c r="L223" s="33"/>
      <c r="M223" s="32"/>
      <c r="N223" s="32"/>
      <c r="O223" s="32"/>
      <c r="P223" s="32"/>
      <c r="Q223" s="32"/>
      <c r="R223" s="32"/>
      <c r="S223" s="31"/>
      <c r="T223" s="88" t="str">
        <f ca="1" t="shared" si="1"/>
        <v/>
      </c>
      <c r="U223" s="27"/>
      <c r="V223" s="27"/>
      <c r="W223" s="27"/>
      <c r="X223" s="33"/>
      <c r="Y223" s="30"/>
      <c r="Z223" s="33"/>
      <c r="AA223" s="30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</row>
    <row r="224" ht="15.75" customHeight="1" spans="1:43">
      <c r="A224" s="29"/>
      <c r="B224" s="29"/>
      <c r="C224" s="29"/>
      <c r="D224" s="32"/>
      <c r="E224" s="32"/>
      <c r="F224" s="32"/>
      <c r="G224" s="32"/>
      <c r="H224" s="32"/>
      <c r="I224" s="27" t="str">
        <f t="shared" si="2"/>
        <v/>
      </c>
      <c r="J224" s="32"/>
      <c r="K224" s="32"/>
      <c r="L224" s="33"/>
      <c r="M224" s="32"/>
      <c r="N224" s="32"/>
      <c r="O224" s="32"/>
      <c r="P224" s="32"/>
      <c r="Q224" s="32"/>
      <c r="R224" s="32"/>
      <c r="S224" s="31"/>
      <c r="T224" s="88" t="str">
        <f ca="1" t="shared" si="1"/>
        <v/>
      </c>
      <c r="U224" s="27"/>
      <c r="V224" s="27"/>
      <c r="W224" s="27"/>
      <c r="X224" s="33"/>
      <c r="Y224" s="30"/>
      <c r="Z224" s="33"/>
      <c r="AA224" s="30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</row>
    <row r="225" ht="15.75" customHeight="1" spans="1:43">
      <c r="A225" s="29"/>
      <c r="B225" s="29"/>
      <c r="C225" s="29"/>
      <c r="D225" s="32"/>
      <c r="E225" s="32"/>
      <c r="F225" s="32"/>
      <c r="G225" s="32"/>
      <c r="H225" s="32"/>
      <c r="I225" s="27" t="str">
        <f t="shared" si="2"/>
        <v/>
      </c>
      <c r="J225" s="32"/>
      <c r="K225" s="32"/>
      <c r="L225" s="33"/>
      <c r="M225" s="32"/>
      <c r="N225" s="32"/>
      <c r="O225" s="32"/>
      <c r="P225" s="32"/>
      <c r="Q225" s="32"/>
      <c r="R225" s="32"/>
      <c r="S225" s="31"/>
      <c r="T225" s="88" t="str">
        <f ca="1" t="shared" si="1"/>
        <v/>
      </c>
      <c r="U225" s="27"/>
      <c r="V225" s="27"/>
      <c r="W225" s="27"/>
      <c r="X225" s="33"/>
      <c r="Y225" s="30"/>
      <c r="Z225" s="33"/>
      <c r="AA225" s="30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</row>
    <row r="226" ht="15.75" customHeight="1" spans="1:43">
      <c r="A226" s="29"/>
      <c r="B226" s="29"/>
      <c r="C226" s="29"/>
      <c r="D226" s="32"/>
      <c r="E226" s="32"/>
      <c r="F226" s="32"/>
      <c r="G226" s="32"/>
      <c r="H226" s="32"/>
      <c r="I226" s="27" t="str">
        <f t="shared" si="2"/>
        <v/>
      </c>
      <c r="J226" s="32"/>
      <c r="K226" s="32"/>
      <c r="L226" s="33"/>
      <c r="M226" s="32"/>
      <c r="N226" s="32"/>
      <c r="O226" s="32"/>
      <c r="P226" s="32"/>
      <c r="Q226" s="32"/>
      <c r="R226" s="32"/>
      <c r="S226" s="31"/>
      <c r="T226" s="88" t="str">
        <f ca="1" t="shared" si="1"/>
        <v/>
      </c>
      <c r="U226" s="27"/>
      <c r="V226" s="27"/>
      <c r="W226" s="27"/>
      <c r="X226" s="33"/>
      <c r="Y226" s="30"/>
      <c r="Z226" s="33"/>
      <c r="AA226" s="30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</row>
    <row r="227" ht="15.75" customHeight="1" spans="1:43">
      <c r="A227" s="29"/>
      <c r="B227" s="29"/>
      <c r="C227" s="29"/>
      <c r="D227" s="32"/>
      <c r="E227" s="32"/>
      <c r="F227" s="32"/>
      <c r="G227" s="32"/>
      <c r="H227" s="32"/>
      <c r="I227" s="27" t="str">
        <f t="shared" si="2"/>
        <v/>
      </c>
      <c r="J227" s="32"/>
      <c r="K227" s="32"/>
      <c r="L227" s="33"/>
      <c r="M227" s="32"/>
      <c r="N227" s="32"/>
      <c r="O227" s="32"/>
      <c r="P227" s="32"/>
      <c r="Q227" s="32"/>
      <c r="R227" s="32"/>
      <c r="S227" s="31"/>
      <c r="T227" s="88" t="str">
        <f ca="1" t="shared" si="1"/>
        <v/>
      </c>
      <c r="U227" s="27"/>
      <c r="V227" s="27"/>
      <c r="W227" s="27"/>
      <c r="X227" s="33"/>
      <c r="Y227" s="30"/>
      <c r="Z227" s="33"/>
      <c r="AA227" s="30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</row>
    <row r="228" ht="15.75" customHeight="1" spans="1:43">
      <c r="A228" s="29"/>
      <c r="B228" s="29"/>
      <c r="C228" s="29"/>
      <c r="D228" s="32"/>
      <c r="E228" s="32"/>
      <c r="F228" s="32"/>
      <c r="G228" s="32"/>
      <c r="H228" s="32"/>
      <c r="I228" s="27" t="str">
        <f t="shared" si="2"/>
        <v/>
      </c>
      <c r="J228" s="32"/>
      <c r="K228" s="32"/>
      <c r="L228" s="33"/>
      <c r="M228" s="32"/>
      <c r="N228" s="32"/>
      <c r="O228" s="32"/>
      <c r="P228" s="32"/>
      <c r="Q228" s="32"/>
      <c r="R228" s="32"/>
      <c r="S228" s="31"/>
      <c r="T228" s="88" t="str">
        <f ca="1" t="shared" si="1"/>
        <v/>
      </c>
      <c r="U228" s="27"/>
      <c r="V228" s="27"/>
      <c r="W228" s="27"/>
      <c r="X228" s="33"/>
      <c r="Y228" s="30"/>
      <c r="Z228" s="33"/>
      <c r="AA228" s="30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</row>
    <row r="229" ht="15.75" customHeight="1" spans="1:43">
      <c r="A229" s="29"/>
      <c r="B229" s="29"/>
      <c r="C229" s="29"/>
      <c r="D229" s="32"/>
      <c r="E229" s="32"/>
      <c r="F229" s="32"/>
      <c r="G229" s="32"/>
      <c r="H229" s="32"/>
      <c r="I229" s="27" t="str">
        <f t="shared" si="2"/>
        <v/>
      </c>
      <c r="J229" s="32"/>
      <c r="K229" s="32"/>
      <c r="L229" s="33"/>
      <c r="M229" s="32"/>
      <c r="N229" s="32"/>
      <c r="O229" s="32"/>
      <c r="P229" s="32"/>
      <c r="Q229" s="32"/>
      <c r="R229" s="32"/>
      <c r="S229" s="31"/>
      <c r="T229" s="88" t="str">
        <f ca="1" t="shared" si="1"/>
        <v/>
      </c>
      <c r="U229" s="27"/>
      <c r="V229" s="27"/>
      <c r="W229" s="27"/>
      <c r="X229" s="33"/>
      <c r="Y229" s="30"/>
      <c r="Z229" s="33"/>
      <c r="AA229" s="30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</row>
    <row r="230" ht="15.75" customHeight="1" spans="1:43">
      <c r="A230" s="29"/>
      <c r="B230" s="29"/>
      <c r="C230" s="29"/>
      <c r="D230" s="32"/>
      <c r="E230" s="32"/>
      <c r="F230" s="32"/>
      <c r="G230" s="32"/>
      <c r="H230" s="32"/>
      <c r="I230" s="27" t="str">
        <f t="shared" si="2"/>
        <v/>
      </c>
      <c r="J230" s="32"/>
      <c r="K230" s="32"/>
      <c r="L230" s="33"/>
      <c r="M230" s="32"/>
      <c r="N230" s="32"/>
      <c r="O230" s="32"/>
      <c r="P230" s="32"/>
      <c r="Q230" s="32"/>
      <c r="R230" s="32"/>
      <c r="S230" s="31"/>
      <c r="T230" s="88" t="str">
        <f ca="1" t="shared" si="1"/>
        <v/>
      </c>
      <c r="U230" s="27"/>
      <c r="V230" s="27"/>
      <c r="W230" s="27"/>
      <c r="X230" s="33"/>
      <c r="Y230" s="30"/>
      <c r="Z230" s="33"/>
      <c r="AA230" s="30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</row>
    <row r="231" ht="15.75" customHeight="1" spans="1:43">
      <c r="A231" s="29"/>
      <c r="B231" s="29"/>
      <c r="C231" s="29"/>
      <c r="D231" s="32"/>
      <c r="E231" s="32"/>
      <c r="F231" s="32"/>
      <c r="G231" s="32"/>
      <c r="H231" s="32"/>
      <c r="I231" s="27" t="str">
        <f t="shared" si="2"/>
        <v/>
      </c>
      <c r="J231" s="32"/>
      <c r="K231" s="32"/>
      <c r="L231" s="33"/>
      <c r="M231" s="32"/>
      <c r="N231" s="32"/>
      <c r="O231" s="32"/>
      <c r="P231" s="32"/>
      <c r="Q231" s="32"/>
      <c r="R231" s="32"/>
      <c r="S231" s="31"/>
      <c r="T231" s="88" t="str">
        <f ca="1" t="shared" si="1"/>
        <v/>
      </c>
      <c r="U231" s="27"/>
      <c r="V231" s="27"/>
      <c r="W231" s="27"/>
      <c r="X231" s="33"/>
      <c r="Y231" s="30"/>
      <c r="Z231" s="33"/>
      <c r="AA231" s="30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</row>
    <row r="232" ht="15.75" customHeight="1" spans="1:43">
      <c r="A232" s="29"/>
      <c r="B232" s="29"/>
      <c r="C232" s="29"/>
      <c r="D232" s="32"/>
      <c r="E232" s="32"/>
      <c r="F232" s="32"/>
      <c r="G232" s="32"/>
      <c r="H232" s="32"/>
      <c r="I232" s="27" t="str">
        <f t="shared" si="2"/>
        <v/>
      </c>
      <c r="J232" s="32"/>
      <c r="K232" s="32"/>
      <c r="L232" s="33"/>
      <c r="M232" s="32"/>
      <c r="N232" s="32"/>
      <c r="O232" s="32"/>
      <c r="P232" s="32"/>
      <c r="Q232" s="32"/>
      <c r="R232" s="32"/>
      <c r="S232" s="31"/>
      <c r="T232" s="88" t="str">
        <f ca="1" t="shared" si="1"/>
        <v/>
      </c>
      <c r="U232" s="27"/>
      <c r="V232" s="27"/>
      <c r="W232" s="27"/>
      <c r="X232" s="33"/>
      <c r="Y232" s="30"/>
      <c r="Z232" s="33"/>
      <c r="AA232" s="30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</row>
    <row r="233" ht="15.75" customHeight="1" spans="1:43">
      <c r="A233" s="29"/>
      <c r="B233" s="29"/>
      <c r="C233" s="29"/>
      <c r="D233" s="32"/>
      <c r="E233" s="32"/>
      <c r="F233" s="32"/>
      <c r="G233" s="32"/>
      <c r="H233" s="32"/>
      <c r="I233" s="27" t="str">
        <f t="shared" si="2"/>
        <v/>
      </c>
      <c r="J233" s="32"/>
      <c r="K233" s="32"/>
      <c r="L233" s="33"/>
      <c r="M233" s="32"/>
      <c r="N233" s="32"/>
      <c r="O233" s="32"/>
      <c r="P233" s="32"/>
      <c r="Q233" s="32"/>
      <c r="R233" s="32"/>
      <c r="S233" s="31"/>
      <c r="T233" s="88" t="str">
        <f ca="1" t="shared" si="1"/>
        <v/>
      </c>
      <c r="U233" s="27"/>
      <c r="V233" s="27"/>
      <c r="W233" s="27"/>
      <c r="X233" s="33"/>
      <c r="Y233" s="30"/>
      <c r="Z233" s="33"/>
      <c r="AA233" s="30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</row>
    <row r="234" ht="15.75" customHeight="1" spans="1:43">
      <c r="A234" s="29"/>
      <c r="B234" s="29"/>
      <c r="C234" s="29"/>
      <c r="D234" s="32"/>
      <c r="E234" s="32"/>
      <c r="F234" s="32"/>
      <c r="G234" s="32"/>
      <c r="H234" s="32"/>
      <c r="I234" s="27" t="str">
        <f t="shared" si="2"/>
        <v/>
      </c>
      <c r="J234" s="32"/>
      <c r="K234" s="32"/>
      <c r="L234" s="33"/>
      <c r="M234" s="32"/>
      <c r="N234" s="32"/>
      <c r="O234" s="32"/>
      <c r="P234" s="32"/>
      <c r="Q234" s="32"/>
      <c r="R234" s="32"/>
      <c r="S234" s="31"/>
      <c r="T234" s="88" t="str">
        <f ca="1" t="shared" si="1"/>
        <v/>
      </c>
      <c r="U234" s="27"/>
      <c r="V234" s="27"/>
      <c r="W234" s="27"/>
      <c r="X234" s="33"/>
      <c r="Y234" s="30"/>
      <c r="Z234" s="33"/>
      <c r="AA234" s="30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</row>
    <row r="235" ht="15.75" customHeight="1" spans="1:43">
      <c r="A235" s="29"/>
      <c r="B235" s="29"/>
      <c r="C235" s="29"/>
      <c r="D235" s="32"/>
      <c r="E235" s="32"/>
      <c r="F235" s="32"/>
      <c r="G235" s="32"/>
      <c r="H235" s="32"/>
      <c r="I235" s="27" t="str">
        <f t="shared" si="2"/>
        <v/>
      </c>
      <c r="J235" s="32"/>
      <c r="K235" s="32"/>
      <c r="L235" s="33"/>
      <c r="M235" s="32"/>
      <c r="N235" s="32"/>
      <c r="O235" s="32"/>
      <c r="P235" s="32"/>
      <c r="Q235" s="32"/>
      <c r="R235" s="32"/>
      <c r="S235" s="31"/>
      <c r="T235" s="88" t="str">
        <f ca="1" t="shared" si="1"/>
        <v/>
      </c>
      <c r="U235" s="27"/>
      <c r="V235" s="27"/>
      <c r="W235" s="27"/>
      <c r="X235" s="33"/>
      <c r="Y235" s="30"/>
      <c r="Z235" s="33"/>
      <c r="AA235" s="30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</row>
    <row r="236" ht="15.75" customHeight="1" spans="1:43">
      <c r="A236" s="29"/>
      <c r="B236" s="29"/>
      <c r="C236" s="29"/>
      <c r="D236" s="32"/>
      <c r="E236" s="32"/>
      <c r="F236" s="32"/>
      <c r="G236" s="32"/>
      <c r="H236" s="32"/>
      <c r="I236" s="27" t="str">
        <f t="shared" si="2"/>
        <v/>
      </c>
      <c r="J236" s="32"/>
      <c r="K236" s="32"/>
      <c r="L236" s="33"/>
      <c r="M236" s="32"/>
      <c r="N236" s="32"/>
      <c r="O236" s="32"/>
      <c r="P236" s="32"/>
      <c r="Q236" s="32"/>
      <c r="R236" s="32"/>
      <c r="S236" s="31"/>
      <c r="T236" s="88" t="str">
        <f ca="1" t="shared" si="1"/>
        <v/>
      </c>
      <c r="U236" s="27"/>
      <c r="V236" s="27"/>
      <c r="W236" s="27"/>
      <c r="X236" s="33"/>
      <c r="Y236" s="30"/>
      <c r="Z236" s="33"/>
      <c r="AA236" s="30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</row>
    <row r="237" ht="15.75" customHeight="1" spans="1:43">
      <c r="A237" s="29"/>
      <c r="B237" s="29"/>
      <c r="C237" s="29"/>
      <c r="D237" s="32"/>
      <c r="E237" s="32"/>
      <c r="F237" s="32"/>
      <c r="G237" s="32"/>
      <c r="H237" s="32"/>
      <c r="I237" s="27" t="str">
        <f t="shared" si="2"/>
        <v/>
      </c>
      <c r="J237" s="32"/>
      <c r="K237" s="32"/>
      <c r="L237" s="33"/>
      <c r="M237" s="32"/>
      <c r="N237" s="32"/>
      <c r="O237" s="32"/>
      <c r="P237" s="32"/>
      <c r="Q237" s="32"/>
      <c r="R237" s="32"/>
      <c r="S237" s="31"/>
      <c r="T237" s="88" t="str">
        <f ca="1" t="shared" si="1"/>
        <v/>
      </c>
      <c r="U237" s="27"/>
      <c r="V237" s="27"/>
      <c r="W237" s="27"/>
      <c r="X237" s="33"/>
      <c r="Y237" s="30"/>
      <c r="Z237" s="33"/>
      <c r="AA237" s="30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</row>
    <row r="238" ht="15.75" customHeight="1" spans="1:43">
      <c r="A238" s="29"/>
      <c r="B238" s="29"/>
      <c r="C238" s="29"/>
      <c r="D238" s="32"/>
      <c r="E238" s="32"/>
      <c r="F238" s="32"/>
      <c r="G238" s="32"/>
      <c r="H238" s="32"/>
      <c r="I238" s="27" t="str">
        <f t="shared" si="2"/>
        <v/>
      </c>
      <c r="J238" s="32"/>
      <c r="K238" s="32"/>
      <c r="L238" s="33"/>
      <c r="M238" s="32"/>
      <c r="N238" s="32"/>
      <c r="O238" s="32"/>
      <c r="P238" s="32"/>
      <c r="Q238" s="32"/>
      <c r="R238" s="32"/>
      <c r="S238" s="31"/>
      <c r="T238" s="88" t="str">
        <f ca="1" t="shared" si="1"/>
        <v/>
      </c>
      <c r="U238" s="27"/>
      <c r="V238" s="27"/>
      <c r="W238" s="27"/>
      <c r="X238" s="33"/>
      <c r="Y238" s="30"/>
      <c r="Z238" s="33"/>
      <c r="AA238" s="30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</row>
    <row r="239" ht="15.75" customHeight="1" spans="1:43">
      <c r="A239" s="29"/>
      <c r="B239" s="29"/>
      <c r="C239" s="29"/>
      <c r="D239" s="32"/>
      <c r="E239" s="32"/>
      <c r="F239" s="32"/>
      <c r="G239" s="32"/>
      <c r="H239" s="32"/>
      <c r="I239" s="27" t="str">
        <f t="shared" si="2"/>
        <v/>
      </c>
      <c r="J239" s="32"/>
      <c r="K239" s="32"/>
      <c r="L239" s="33"/>
      <c r="M239" s="32"/>
      <c r="N239" s="32"/>
      <c r="O239" s="32"/>
      <c r="P239" s="32"/>
      <c r="Q239" s="32"/>
      <c r="R239" s="32"/>
      <c r="S239" s="31"/>
      <c r="T239" s="88" t="str">
        <f ca="1" t="shared" si="1"/>
        <v/>
      </c>
      <c r="U239" s="27"/>
      <c r="V239" s="27"/>
      <c r="W239" s="27"/>
      <c r="X239" s="33"/>
      <c r="Y239" s="30"/>
      <c r="Z239" s="33"/>
      <c r="AA239" s="30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</row>
    <row r="240" ht="15.75" customHeight="1" spans="1:43">
      <c r="A240" s="29"/>
      <c r="B240" s="29"/>
      <c r="C240" s="29"/>
      <c r="D240" s="32"/>
      <c r="E240" s="32"/>
      <c r="F240" s="32"/>
      <c r="G240" s="32"/>
      <c r="H240" s="32"/>
      <c r="I240" s="27" t="str">
        <f t="shared" si="2"/>
        <v/>
      </c>
      <c r="J240" s="32"/>
      <c r="K240" s="32"/>
      <c r="L240" s="33"/>
      <c r="M240" s="32"/>
      <c r="N240" s="32"/>
      <c r="O240" s="32"/>
      <c r="P240" s="32"/>
      <c r="Q240" s="32"/>
      <c r="R240" s="32"/>
      <c r="S240" s="31"/>
      <c r="T240" s="88" t="str">
        <f ca="1" t="shared" si="1"/>
        <v/>
      </c>
      <c r="U240" s="27"/>
      <c r="V240" s="27"/>
      <c r="W240" s="27"/>
      <c r="X240" s="33"/>
      <c r="Y240" s="30"/>
      <c r="Z240" s="33"/>
      <c r="AA240" s="30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</row>
    <row r="241" ht="15.75" customHeight="1" spans="1:43">
      <c r="A241" s="29"/>
      <c r="B241" s="29"/>
      <c r="C241" s="29"/>
      <c r="D241" s="32"/>
      <c r="E241" s="32"/>
      <c r="F241" s="32"/>
      <c r="G241" s="32"/>
      <c r="H241" s="32"/>
      <c r="I241" s="27" t="str">
        <f t="shared" si="2"/>
        <v/>
      </c>
      <c r="J241" s="32"/>
      <c r="K241" s="32"/>
      <c r="L241" s="33"/>
      <c r="M241" s="32"/>
      <c r="N241" s="32"/>
      <c r="O241" s="32"/>
      <c r="P241" s="32"/>
      <c r="Q241" s="32"/>
      <c r="R241" s="32"/>
      <c r="S241" s="31"/>
      <c r="T241" s="88" t="str">
        <f ca="1" t="shared" si="1"/>
        <v/>
      </c>
      <c r="U241" s="27"/>
      <c r="V241" s="27"/>
      <c r="W241" s="27"/>
      <c r="X241" s="33"/>
      <c r="Y241" s="30"/>
      <c r="Z241" s="33"/>
      <c r="AA241" s="30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</row>
    <row r="242" ht="15.75" customHeight="1" spans="1:43">
      <c r="A242" s="29"/>
      <c r="B242" s="29"/>
      <c r="C242" s="29"/>
      <c r="D242" s="32"/>
      <c r="E242" s="32"/>
      <c r="F242" s="32"/>
      <c r="G242" s="32"/>
      <c r="H242" s="32"/>
      <c r="I242" s="27" t="str">
        <f t="shared" si="2"/>
        <v/>
      </c>
      <c r="J242" s="32"/>
      <c r="K242" s="32"/>
      <c r="L242" s="33"/>
      <c r="M242" s="32"/>
      <c r="N242" s="32"/>
      <c r="O242" s="32"/>
      <c r="P242" s="32"/>
      <c r="Q242" s="32"/>
      <c r="R242" s="32"/>
      <c r="S242" s="31"/>
      <c r="T242" s="88" t="str">
        <f ca="1" t="shared" si="1"/>
        <v/>
      </c>
      <c r="U242" s="27"/>
      <c r="V242" s="27"/>
      <c r="W242" s="27"/>
      <c r="X242" s="33"/>
      <c r="Y242" s="30"/>
      <c r="Z242" s="33"/>
      <c r="AA242" s="30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</row>
    <row r="243" ht="15.75" customHeight="1" spans="1:43">
      <c r="A243" s="29"/>
      <c r="B243" s="29"/>
      <c r="C243" s="29"/>
      <c r="D243" s="32"/>
      <c r="E243" s="32"/>
      <c r="F243" s="32"/>
      <c r="G243" s="32"/>
      <c r="H243" s="32"/>
      <c r="I243" s="27" t="str">
        <f t="shared" si="2"/>
        <v/>
      </c>
      <c r="J243" s="32"/>
      <c r="K243" s="32"/>
      <c r="L243" s="33"/>
      <c r="M243" s="32"/>
      <c r="N243" s="32"/>
      <c r="O243" s="32"/>
      <c r="P243" s="32"/>
      <c r="Q243" s="32"/>
      <c r="R243" s="32"/>
      <c r="S243" s="31"/>
      <c r="T243" s="88" t="str">
        <f ca="1" t="shared" si="1"/>
        <v/>
      </c>
      <c r="U243" s="27"/>
      <c r="V243" s="27"/>
      <c r="W243" s="27"/>
      <c r="X243" s="33"/>
      <c r="Y243" s="30"/>
      <c r="Z243" s="33"/>
      <c r="AA243" s="30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</row>
    <row r="244" ht="15.75" customHeight="1" spans="1:43">
      <c r="A244" s="29"/>
      <c r="B244" s="29"/>
      <c r="C244" s="29"/>
      <c r="D244" s="32"/>
      <c r="E244" s="32"/>
      <c r="F244" s="32"/>
      <c r="G244" s="32"/>
      <c r="H244" s="32"/>
      <c r="I244" s="27" t="str">
        <f t="shared" si="2"/>
        <v/>
      </c>
      <c r="J244" s="32"/>
      <c r="K244" s="32"/>
      <c r="L244" s="33"/>
      <c r="M244" s="32"/>
      <c r="N244" s="32"/>
      <c r="O244" s="32"/>
      <c r="P244" s="32"/>
      <c r="Q244" s="32"/>
      <c r="R244" s="32"/>
      <c r="S244" s="31"/>
      <c r="T244" s="88" t="str">
        <f ca="1" t="shared" si="1"/>
        <v/>
      </c>
      <c r="U244" s="27"/>
      <c r="V244" s="27"/>
      <c r="W244" s="27"/>
      <c r="X244" s="33"/>
      <c r="Y244" s="30"/>
      <c r="Z244" s="33"/>
      <c r="AA244" s="30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</row>
    <row r="245" ht="15.75" customHeight="1" spans="1:43">
      <c r="A245" s="29"/>
      <c r="B245" s="29"/>
      <c r="C245" s="29"/>
      <c r="D245" s="32"/>
      <c r="E245" s="32"/>
      <c r="F245" s="32"/>
      <c r="G245" s="32"/>
      <c r="H245" s="32"/>
      <c r="I245" s="27" t="str">
        <f t="shared" si="2"/>
        <v/>
      </c>
      <c r="J245" s="32"/>
      <c r="K245" s="32"/>
      <c r="L245" s="33"/>
      <c r="M245" s="32"/>
      <c r="N245" s="32"/>
      <c r="O245" s="32"/>
      <c r="P245" s="32"/>
      <c r="Q245" s="32"/>
      <c r="R245" s="32"/>
      <c r="S245" s="31"/>
      <c r="T245" s="88" t="str">
        <f ca="1" t="shared" si="1"/>
        <v/>
      </c>
      <c r="U245" s="27"/>
      <c r="V245" s="27"/>
      <c r="W245" s="27"/>
      <c r="X245" s="33"/>
      <c r="Y245" s="30"/>
      <c r="Z245" s="33"/>
      <c r="AA245" s="30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</row>
    <row r="246" ht="15.75" customHeight="1" spans="1:43">
      <c r="A246" s="29"/>
      <c r="B246" s="29"/>
      <c r="C246" s="29"/>
      <c r="D246" s="32"/>
      <c r="E246" s="32"/>
      <c r="F246" s="32"/>
      <c r="G246" s="32"/>
      <c r="H246" s="32"/>
      <c r="I246" s="27" t="str">
        <f t="shared" si="2"/>
        <v/>
      </c>
      <c r="J246" s="32"/>
      <c r="K246" s="32"/>
      <c r="L246" s="33"/>
      <c r="M246" s="32"/>
      <c r="N246" s="32"/>
      <c r="O246" s="32"/>
      <c r="P246" s="32"/>
      <c r="Q246" s="32"/>
      <c r="R246" s="32"/>
      <c r="S246" s="31"/>
      <c r="T246" s="88" t="str">
        <f ca="1" t="shared" si="1"/>
        <v/>
      </c>
      <c r="U246" s="27"/>
      <c r="V246" s="27"/>
      <c r="W246" s="27"/>
      <c r="X246" s="33"/>
      <c r="Y246" s="30"/>
      <c r="Z246" s="33"/>
      <c r="AA246" s="30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</row>
    <row r="247" ht="15.75" customHeight="1" spans="1:43">
      <c r="A247" s="29"/>
      <c r="B247" s="29"/>
      <c r="C247" s="29"/>
      <c r="D247" s="32"/>
      <c r="E247" s="32"/>
      <c r="F247" s="32"/>
      <c r="G247" s="32"/>
      <c r="H247" s="32"/>
      <c r="I247" s="27" t="str">
        <f t="shared" si="2"/>
        <v/>
      </c>
      <c r="J247" s="32"/>
      <c r="K247" s="32"/>
      <c r="L247" s="33"/>
      <c r="M247" s="32"/>
      <c r="N247" s="32"/>
      <c r="O247" s="32"/>
      <c r="P247" s="32"/>
      <c r="Q247" s="32"/>
      <c r="R247" s="32"/>
      <c r="S247" s="31"/>
      <c r="T247" s="88" t="str">
        <f ca="1" t="shared" si="1"/>
        <v/>
      </c>
      <c r="U247" s="27"/>
      <c r="V247" s="27"/>
      <c r="W247" s="27"/>
      <c r="X247" s="33"/>
      <c r="Y247" s="30"/>
      <c r="Z247" s="33"/>
      <c r="AA247" s="30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</row>
    <row r="248" ht="15.75" customHeight="1" spans="1:43">
      <c r="A248" s="29"/>
      <c r="B248" s="29"/>
      <c r="C248" s="29"/>
      <c r="D248" s="32"/>
      <c r="E248" s="32"/>
      <c r="F248" s="32"/>
      <c r="G248" s="32"/>
      <c r="H248" s="32"/>
      <c r="I248" s="27" t="str">
        <f t="shared" si="2"/>
        <v/>
      </c>
      <c r="J248" s="32"/>
      <c r="K248" s="32"/>
      <c r="L248" s="33"/>
      <c r="M248" s="32"/>
      <c r="N248" s="32"/>
      <c r="O248" s="32"/>
      <c r="P248" s="32"/>
      <c r="Q248" s="32"/>
      <c r="R248" s="32"/>
      <c r="S248" s="31"/>
      <c r="T248" s="88" t="str">
        <f ca="1" t="shared" si="1"/>
        <v/>
      </c>
      <c r="U248" s="27"/>
      <c r="V248" s="27"/>
      <c r="W248" s="27"/>
      <c r="X248" s="33"/>
      <c r="Y248" s="30"/>
      <c r="Z248" s="33"/>
      <c r="AA248" s="30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</row>
    <row r="249" ht="15.75" customHeight="1" spans="1:43">
      <c r="A249" s="29"/>
      <c r="B249" s="29"/>
      <c r="C249" s="29"/>
      <c r="D249" s="32"/>
      <c r="E249" s="32"/>
      <c r="F249" s="32"/>
      <c r="G249" s="32"/>
      <c r="H249" s="32"/>
      <c r="I249" s="27" t="str">
        <f t="shared" si="2"/>
        <v/>
      </c>
      <c r="J249" s="32"/>
      <c r="K249" s="32"/>
      <c r="L249" s="33"/>
      <c r="M249" s="32"/>
      <c r="N249" s="32"/>
      <c r="O249" s="32"/>
      <c r="P249" s="32"/>
      <c r="Q249" s="32"/>
      <c r="R249" s="32"/>
      <c r="S249" s="31"/>
      <c r="T249" s="88" t="str">
        <f ca="1" t="shared" si="1"/>
        <v/>
      </c>
      <c r="U249" s="27"/>
      <c r="V249" s="27"/>
      <c r="W249" s="27"/>
      <c r="X249" s="33"/>
      <c r="Y249" s="30"/>
      <c r="Z249" s="33"/>
      <c r="AA249" s="30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</row>
    <row r="250" ht="15.75" customHeight="1" spans="1:43">
      <c r="A250" s="29"/>
      <c r="B250" s="29"/>
      <c r="C250" s="29"/>
      <c r="D250" s="32"/>
      <c r="E250" s="32"/>
      <c r="F250" s="32"/>
      <c r="G250" s="32"/>
      <c r="H250" s="32"/>
      <c r="I250" s="27" t="str">
        <f t="shared" si="2"/>
        <v/>
      </c>
      <c r="J250" s="32"/>
      <c r="K250" s="32"/>
      <c r="L250" s="33"/>
      <c r="M250" s="32"/>
      <c r="N250" s="32"/>
      <c r="O250" s="32"/>
      <c r="P250" s="32"/>
      <c r="Q250" s="32"/>
      <c r="R250" s="32"/>
      <c r="S250" s="31"/>
      <c r="T250" s="88" t="str">
        <f ca="1" t="shared" si="1"/>
        <v/>
      </c>
      <c r="U250" s="27"/>
      <c r="V250" s="27"/>
      <c r="W250" s="27"/>
      <c r="X250" s="33"/>
      <c r="Y250" s="30"/>
      <c r="Z250" s="33"/>
      <c r="AA250" s="30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</row>
    <row r="251" ht="15.75" customHeight="1" spans="1:43">
      <c r="A251" s="29"/>
      <c r="B251" s="29"/>
      <c r="C251" s="29"/>
      <c r="D251" s="32"/>
      <c r="E251" s="32"/>
      <c r="F251" s="32"/>
      <c r="G251" s="32"/>
      <c r="H251" s="32"/>
      <c r="I251" s="27" t="str">
        <f t="shared" si="2"/>
        <v/>
      </c>
      <c r="J251" s="32"/>
      <c r="K251" s="32"/>
      <c r="L251" s="33"/>
      <c r="M251" s="32"/>
      <c r="N251" s="32"/>
      <c r="O251" s="32"/>
      <c r="P251" s="32"/>
      <c r="Q251" s="32"/>
      <c r="R251" s="32"/>
      <c r="S251" s="31"/>
      <c r="T251" s="88" t="str">
        <f ca="1" t="shared" si="1"/>
        <v/>
      </c>
      <c r="U251" s="27"/>
      <c r="V251" s="27"/>
      <c r="W251" s="27"/>
      <c r="X251" s="33"/>
      <c r="Y251" s="30"/>
      <c r="Z251" s="33"/>
      <c r="AA251" s="30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</row>
    <row r="252" ht="15.75" customHeight="1" spans="1:43">
      <c r="A252" s="29"/>
      <c r="B252" s="29"/>
      <c r="C252" s="29"/>
      <c r="D252" s="32"/>
      <c r="E252" s="32"/>
      <c r="F252" s="32"/>
      <c r="G252" s="32"/>
      <c r="H252" s="32"/>
      <c r="I252" s="27" t="str">
        <f t="shared" si="2"/>
        <v/>
      </c>
      <c r="J252" s="32"/>
      <c r="K252" s="32"/>
      <c r="L252" s="33"/>
      <c r="M252" s="32"/>
      <c r="N252" s="32"/>
      <c r="O252" s="32"/>
      <c r="P252" s="32"/>
      <c r="Q252" s="32"/>
      <c r="R252" s="32"/>
      <c r="S252" s="31"/>
      <c r="T252" s="88" t="str">
        <f ca="1" t="shared" si="1"/>
        <v/>
      </c>
      <c r="U252" s="27"/>
      <c r="V252" s="27"/>
      <c r="W252" s="27"/>
      <c r="X252" s="33"/>
      <c r="Y252" s="30"/>
      <c r="Z252" s="33"/>
      <c r="AA252" s="30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</row>
    <row r="253" ht="15.75" customHeight="1" spans="1:43">
      <c r="A253" s="29"/>
      <c r="B253" s="29"/>
      <c r="C253" s="29"/>
      <c r="D253" s="32"/>
      <c r="E253" s="32"/>
      <c r="F253" s="32"/>
      <c r="G253" s="32"/>
      <c r="H253" s="32"/>
      <c r="I253" s="27" t="str">
        <f t="shared" si="2"/>
        <v/>
      </c>
      <c r="J253" s="32"/>
      <c r="K253" s="32"/>
      <c r="L253" s="33"/>
      <c r="M253" s="32"/>
      <c r="N253" s="32"/>
      <c r="O253" s="32"/>
      <c r="P253" s="32"/>
      <c r="Q253" s="32"/>
      <c r="R253" s="32"/>
      <c r="S253" s="31"/>
      <c r="T253" s="88" t="str">
        <f ca="1" t="shared" si="1"/>
        <v/>
      </c>
      <c r="U253" s="27"/>
      <c r="V253" s="27"/>
      <c r="W253" s="27"/>
      <c r="X253" s="33"/>
      <c r="Y253" s="30"/>
      <c r="Z253" s="33"/>
      <c r="AA253" s="30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</row>
    <row r="254" ht="15.75" customHeight="1" spans="1:43">
      <c r="A254" s="29"/>
      <c r="B254" s="29"/>
      <c r="C254" s="29"/>
      <c r="D254" s="32"/>
      <c r="E254" s="32"/>
      <c r="F254" s="32"/>
      <c r="G254" s="32"/>
      <c r="H254" s="32"/>
      <c r="I254" s="27" t="str">
        <f t="shared" si="2"/>
        <v/>
      </c>
      <c r="J254" s="32"/>
      <c r="K254" s="32"/>
      <c r="L254" s="33"/>
      <c r="M254" s="32"/>
      <c r="N254" s="32"/>
      <c r="O254" s="32"/>
      <c r="P254" s="32"/>
      <c r="Q254" s="32"/>
      <c r="R254" s="32"/>
      <c r="S254" s="31"/>
      <c r="T254" s="88" t="str">
        <f ca="1" t="shared" si="1"/>
        <v/>
      </c>
      <c r="U254" s="27"/>
      <c r="V254" s="27"/>
      <c r="W254" s="27"/>
      <c r="X254" s="33"/>
      <c r="Y254" s="30"/>
      <c r="Z254" s="33"/>
      <c r="AA254" s="30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</row>
    <row r="255" ht="15.75" customHeight="1" spans="1:43">
      <c r="A255" s="29"/>
      <c r="B255" s="29"/>
      <c r="C255" s="29"/>
      <c r="D255" s="32"/>
      <c r="E255" s="32"/>
      <c r="F255" s="32"/>
      <c r="G255" s="32"/>
      <c r="H255" s="32"/>
      <c r="I255" s="27" t="str">
        <f t="shared" si="2"/>
        <v/>
      </c>
      <c r="J255" s="32"/>
      <c r="K255" s="32"/>
      <c r="L255" s="33"/>
      <c r="M255" s="32"/>
      <c r="N255" s="32"/>
      <c r="O255" s="32"/>
      <c r="P255" s="32"/>
      <c r="Q255" s="32"/>
      <c r="R255" s="32"/>
      <c r="S255" s="31"/>
      <c r="T255" s="88" t="str">
        <f ca="1" t="shared" si="1"/>
        <v/>
      </c>
      <c r="U255" s="27"/>
      <c r="V255" s="27"/>
      <c r="W255" s="27"/>
      <c r="X255" s="33"/>
      <c r="Y255" s="30"/>
      <c r="Z255" s="33"/>
      <c r="AA255" s="30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</row>
    <row r="256" ht="15.75" customHeight="1" spans="1:43">
      <c r="A256" s="29"/>
      <c r="B256" s="29"/>
      <c r="C256" s="29"/>
      <c r="D256" s="32"/>
      <c r="E256" s="32"/>
      <c r="F256" s="32"/>
      <c r="G256" s="32"/>
      <c r="H256" s="32"/>
      <c r="I256" s="27" t="str">
        <f t="shared" si="2"/>
        <v/>
      </c>
      <c r="J256" s="32"/>
      <c r="K256" s="32"/>
      <c r="L256" s="33"/>
      <c r="M256" s="32"/>
      <c r="N256" s="32"/>
      <c r="O256" s="32"/>
      <c r="P256" s="32"/>
      <c r="Q256" s="32"/>
      <c r="R256" s="32"/>
      <c r="S256" s="31"/>
      <c r="T256" s="88" t="str">
        <f ca="1" t="shared" si="1"/>
        <v/>
      </c>
      <c r="U256" s="27"/>
      <c r="V256" s="27"/>
      <c r="W256" s="27"/>
      <c r="X256" s="33"/>
      <c r="Y256" s="30"/>
      <c r="Z256" s="33"/>
      <c r="AA256" s="30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</row>
    <row r="257" ht="15.75" customHeight="1" spans="1:43">
      <c r="A257" s="29"/>
      <c r="B257" s="29"/>
      <c r="C257" s="29"/>
      <c r="D257" s="32"/>
      <c r="E257" s="32"/>
      <c r="F257" s="32"/>
      <c r="G257" s="32"/>
      <c r="H257" s="32"/>
      <c r="I257" s="27" t="str">
        <f t="shared" si="2"/>
        <v/>
      </c>
      <c r="J257" s="32"/>
      <c r="K257" s="32"/>
      <c r="L257" s="33"/>
      <c r="M257" s="32"/>
      <c r="N257" s="32"/>
      <c r="O257" s="32"/>
      <c r="P257" s="32"/>
      <c r="Q257" s="32"/>
      <c r="R257" s="32"/>
      <c r="S257" s="31"/>
      <c r="T257" s="88" t="str">
        <f ca="1" t="shared" si="1"/>
        <v/>
      </c>
      <c r="U257" s="27"/>
      <c r="V257" s="27"/>
      <c r="W257" s="27"/>
      <c r="X257" s="33"/>
      <c r="Y257" s="30"/>
      <c r="Z257" s="33"/>
      <c r="AA257" s="30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</row>
    <row r="258" ht="15.75" customHeight="1" spans="1:43">
      <c r="A258" s="29"/>
      <c r="B258" s="29"/>
      <c r="C258" s="29"/>
      <c r="D258" s="32"/>
      <c r="E258" s="32"/>
      <c r="F258" s="32"/>
      <c r="G258" s="32"/>
      <c r="H258" s="32"/>
      <c r="I258" s="27" t="str">
        <f t="shared" si="2"/>
        <v/>
      </c>
      <c r="J258" s="32"/>
      <c r="K258" s="32"/>
      <c r="L258" s="33"/>
      <c r="M258" s="32"/>
      <c r="N258" s="32"/>
      <c r="O258" s="32"/>
      <c r="P258" s="32"/>
      <c r="Q258" s="32"/>
      <c r="R258" s="32"/>
      <c r="S258" s="31"/>
      <c r="T258" s="88" t="str">
        <f ca="1" t="shared" si="1"/>
        <v/>
      </c>
      <c r="U258" s="27"/>
      <c r="V258" s="27"/>
      <c r="W258" s="27"/>
      <c r="X258" s="33"/>
      <c r="Y258" s="30"/>
      <c r="Z258" s="33"/>
      <c r="AA258" s="30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</row>
    <row r="259" ht="15.75" customHeight="1" spans="1:43">
      <c r="A259" s="29"/>
      <c r="B259" s="29"/>
      <c r="C259" s="29"/>
      <c r="D259" s="32"/>
      <c r="E259" s="32"/>
      <c r="F259" s="32"/>
      <c r="G259" s="32"/>
      <c r="H259" s="32"/>
      <c r="I259" s="27" t="str">
        <f t="shared" si="2"/>
        <v/>
      </c>
      <c r="J259" s="32"/>
      <c r="K259" s="32"/>
      <c r="L259" s="33"/>
      <c r="M259" s="32"/>
      <c r="N259" s="32"/>
      <c r="O259" s="32"/>
      <c r="P259" s="32"/>
      <c r="Q259" s="32"/>
      <c r="R259" s="32"/>
      <c r="S259" s="31"/>
      <c r="T259" s="88" t="str">
        <f ca="1" t="shared" si="1"/>
        <v/>
      </c>
      <c r="U259" s="27"/>
      <c r="V259" s="27"/>
      <c r="W259" s="27"/>
      <c r="X259" s="33"/>
      <c r="Y259" s="30"/>
      <c r="Z259" s="33"/>
      <c r="AA259" s="30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</row>
    <row r="260" ht="15.75" customHeight="1" spans="1:43">
      <c r="A260" s="29"/>
      <c r="B260" s="29"/>
      <c r="C260" s="29"/>
      <c r="D260" s="32"/>
      <c r="E260" s="32"/>
      <c r="F260" s="32"/>
      <c r="G260" s="32"/>
      <c r="H260" s="32"/>
      <c r="I260" s="27" t="str">
        <f t="shared" si="2"/>
        <v/>
      </c>
      <c r="J260" s="32"/>
      <c r="K260" s="32"/>
      <c r="L260" s="33"/>
      <c r="M260" s="32"/>
      <c r="N260" s="32"/>
      <c r="O260" s="32"/>
      <c r="P260" s="32"/>
      <c r="Q260" s="32"/>
      <c r="R260" s="32"/>
      <c r="S260" s="31"/>
      <c r="T260" s="88" t="str">
        <f ca="1" t="shared" si="1"/>
        <v/>
      </c>
      <c r="U260" s="27"/>
      <c r="V260" s="27"/>
      <c r="W260" s="27"/>
      <c r="X260" s="33"/>
      <c r="Y260" s="30"/>
      <c r="Z260" s="33"/>
      <c r="AA260" s="30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</row>
    <row r="261" ht="15.75" customHeight="1" spans="1:43">
      <c r="A261" s="29"/>
      <c r="B261" s="29"/>
      <c r="C261" s="29"/>
      <c r="D261" s="32"/>
      <c r="E261" s="32"/>
      <c r="F261" s="32"/>
      <c r="G261" s="32"/>
      <c r="H261" s="32"/>
      <c r="I261" s="27" t="str">
        <f t="shared" si="2"/>
        <v/>
      </c>
      <c r="J261" s="32"/>
      <c r="K261" s="32"/>
      <c r="L261" s="33"/>
      <c r="M261" s="32"/>
      <c r="N261" s="32"/>
      <c r="O261" s="32"/>
      <c r="P261" s="32"/>
      <c r="Q261" s="32"/>
      <c r="R261" s="32"/>
      <c r="S261" s="31"/>
      <c r="T261" s="88" t="str">
        <f ca="1" t="shared" si="1"/>
        <v/>
      </c>
      <c r="U261" s="27"/>
      <c r="V261" s="27"/>
      <c r="W261" s="27"/>
      <c r="X261" s="33"/>
      <c r="Y261" s="30"/>
      <c r="Z261" s="33"/>
      <c r="AA261" s="30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</row>
    <row r="262" ht="15.75" customHeight="1" spans="1:43">
      <c r="A262" s="29"/>
      <c r="B262" s="29"/>
      <c r="C262" s="29"/>
      <c r="D262" s="32"/>
      <c r="E262" s="32"/>
      <c r="F262" s="32"/>
      <c r="G262" s="32"/>
      <c r="H262" s="32"/>
      <c r="I262" s="27" t="str">
        <f t="shared" si="2"/>
        <v/>
      </c>
      <c r="J262" s="32"/>
      <c r="K262" s="32"/>
      <c r="L262" s="33"/>
      <c r="M262" s="32"/>
      <c r="N262" s="32"/>
      <c r="O262" s="32"/>
      <c r="P262" s="32"/>
      <c r="Q262" s="32"/>
      <c r="R262" s="32"/>
      <c r="S262" s="31"/>
      <c r="T262" s="88" t="str">
        <f ca="1" t="shared" si="1"/>
        <v/>
      </c>
      <c r="U262" s="27"/>
      <c r="V262" s="27"/>
      <c r="W262" s="27"/>
      <c r="X262" s="33"/>
      <c r="Y262" s="30"/>
      <c r="Z262" s="33"/>
      <c r="AA262" s="30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</row>
    <row r="263" ht="15.75" customHeight="1" spans="1:43">
      <c r="A263" s="29"/>
      <c r="B263" s="29"/>
      <c r="C263" s="29"/>
      <c r="D263" s="32"/>
      <c r="E263" s="32"/>
      <c r="F263" s="32"/>
      <c r="G263" s="32"/>
      <c r="H263" s="32"/>
      <c r="I263" s="27" t="str">
        <f t="shared" si="2"/>
        <v/>
      </c>
      <c r="J263" s="32"/>
      <c r="K263" s="32"/>
      <c r="L263" s="33"/>
      <c r="M263" s="32"/>
      <c r="N263" s="32"/>
      <c r="O263" s="32"/>
      <c r="P263" s="32"/>
      <c r="Q263" s="32"/>
      <c r="R263" s="32"/>
      <c r="S263" s="31"/>
      <c r="T263" s="88" t="str">
        <f ca="1" t="shared" si="1"/>
        <v/>
      </c>
      <c r="U263" s="27"/>
      <c r="V263" s="27"/>
      <c r="W263" s="27"/>
      <c r="X263" s="33"/>
      <c r="Y263" s="30"/>
      <c r="Z263" s="33"/>
      <c r="AA263" s="30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</row>
    <row r="264" ht="15.75" customHeight="1" spans="1:43">
      <c r="A264" s="29"/>
      <c r="B264" s="29"/>
      <c r="C264" s="29"/>
      <c r="D264" s="32"/>
      <c r="E264" s="32"/>
      <c r="F264" s="32"/>
      <c r="G264" s="32"/>
      <c r="H264" s="32"/>
      <c r="I264" s="27" t="str">
        <f t="shared" si="2"/>
        <v/>
      </c>
      <c r="J264" s="32"/>
      <c r="K264" s="32"/>
      <c r="L264" s="33"/>
      <c r="M264" s="32"/>
      <c r="N264" s="32"/>
      <c r="O264" s="32"/>
      <c r="P264" s="32"/>
      <c r="Q264" s="32"/>
      <c r="R264" s="32"/>
      <c r="S264" s="31"/>
      <c r="T264" s="88" t="str">
        <f ca="1" t="shared" si="1"/>
        <v/>
      </c>
      <c r="U264" s="27"/>
      <c r="V264" s="27"/>
      <c r="W264" s="27"/>
      <c r="X264" s="33"/>
      <c r="Y264" s="30"/>
      <c r="Z264" s="33"/>
      <c r="AA264" s="30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</row>
    <row r="265" ht="15.75" customHeight="1" spans="1:43">
      <c r="A265" s="29"/>
      <c r="B265" s="29"/>
      <c r="C265" s="29"/>
      <c r="D265" s="32"/>
      <c r="E265" s="32"/>
      <c r="F265" s="32"/>
      <c r="G265" s="32"/>
      <c r="H265" s="32"/>
      <c r="I265" s="27" t="str">
        <f t="shared" si="2"/>
        <v/>
      </c>
      <c r="J265" s="32"/>
      <c r="K265" s="32"/>
      <c r="L265" s="33"/>
      <c r="M265" s="32"/>
      <c r="N265" s="32"/>
      <c r="O265" s="32"/>
      <c r="P265" s="32"/>
      <c r="Q265" s="32"/>
      <c r="R265" s="32"/>
      <c r="S265" s="31"/>
      <c r="T265" s="88" t="str">
        <f ca="1" t="shared" si="1"/>
        <v/>
      </c>
      <c r="U265" s="27"/>
      <c r="V265" s="27"/>
      <c r="W265" s="27"/>
      <c r="X265" s="33"/>
      <c r="Y265" s="30"/>
      <c r="Z265" s="33"/>
      <c r="AA265" s="30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</row>
    <row r="266" ht="15.75" customHeight="1" spans="1:43">
      <c r="A266" s="29"/>
      <c r="B266" s="29"/>
      <c r="C266" s="29"/>
      <c r="D266" s="32"/>
      <c r="E266" s="32"/>
      <c r="F266" s="32"/>
      <c r="G266" s="32"/>
      <c r="H266" s="32"/>
      <c r="I266" s="27" t="str">
        <f t="shared" si="2"/>
        <v/>
      </c>
      <c r="J266" s="32"/>
      <c r="K266" s="32"/>
      <c r="L266" s="33"/>
      <c r="M266" s="32"/>
      <c r="N266" s="32"/>
      <c r="O266" s="32"/>
      <c r="P266" s="32"/>
      <c r="Q266" s="32"/>
      <c r="R266" s="32"/>
      <c r="S266" s="31"/>
      <c r="T266" s="88" t="str">
        <f ca="1" t="shared" si="1"/>
        <v/>
      </c>
      <c r="U266" s="27"/>
      <c r="V266" s="27"/>
      <c r="W266" s="27"/>
      <c r="X266" s="33"/>
      <c r="Y266" s="30"/>
      <c r="Z266" s="33"/>
      <c r="AA266" s="30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</row>
    <row r="267" ht="15.75" customHeight="1" spans="1:43">
      <c r="A267" s="29"/>
      <c r="B267" s="29"/>
      <c r="C267" s="29"/>
      <c r="D267" s="32"/>
      <c r="E267" s="32"/>
      <c r="F267" s="32"/>
      <c r="G267" s="32"/>
      <c r="H267" s="32"/>
      <c r="I267" s="27" t="str">
        <f t="shared" si="2"/>
        <v/>
      </c>
      <c r="J267" s="32"/>
      <c r="K267" s="32"/>
      <c r="L267" s="33"/>
      <c r="M267" s="32"/>
      <c r="N267" s="32"/>
      <c r="O267" s="32"/>
      <c r="P267" s="32"/>
      <c r="Q267" s="32"/>
      <c r="R267" s="32"/>
      <c r="S267" s="31"/>
      <c r="T267" s="88" t="str">
        <f ca="1" t="shared" si="1"/>
        <v/>
      </c>
      <c r="U267" s="27"/>
      <c r="V267" s="27"/>
      <c r="W267" s="27"/>
      <c r="X267" s="33"/>
      <c r="Y267" s="30"/>
      <c r="Z267" s="33"/>
      <c r="AA267" s="30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</row>
    <row r="268" ht="15.75" customHeight="1" spans="1:43">
      <c r="A268" s="29"/>
      <c r="B268" s="29"/>
      <c r="C268" s="29"/>
      <c r="D268" s="32"/>
      <c r="E268" s="32"/>
      <c r="F268" s="32"/>
      <c r="G268" s="32"/>
      <c r="H268" s="32"/>
      <c r="I268" s="27" t="str">
        <f t="shared" si="2"/>
        <v/>
      </c>
      <c r="J268" s="32"/>
      <c r="K268" s="32"/>
      <c r="L268" s="33"/>
      <c r="M268" s="32"/>
      <c r="N268" s="32"/>
      <c r="O268" s="32"/>
      <c r="P268" s="32"/>
      <c r="Q268" s="32"/>
      <c r="R268" s="32"/>
      <c r="S268" s="31"/>
      <c r="T268" s="88" t="str">
        <f ca="1" t="shared" si="1"/>
        <v/>
      </c>
      <c r="U268" s="27"/>
      <c r="V268" s="27"/>
      <c r="W268" s="27"/>
      <c r="X268" s="33"/>
      <c r="Y268" s="30"/>
      <c r="Z268" s="33"/>
      <c r="AA268" s="30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</row>
    <row r="269" ht="15.75" customHeight="1" spans="1:43">
      <c r="A269" s="29"/>
      <c r="B269" s="29"/>
      <c r="C269" s="29"/>
      <c r="D269" s="32"/>
      <c r="E269" s="32"/>
      <c r="F269" s="32"/>
      <c r="G269" s="32"/>
      <c r="H269" s="32"/>
      <c r="I269" s="27" t="str">
        <f t="shared" si="2"/>
        <v/>
      </c>
      <c r="J269" s="32"/>
      <c r="K269" s="32"/>
      <c r="L269" s="33"/>
      <c r="M269" s="32"/>
      <c r="N269" s="32"/>
      <c r="O269" s="32"/>
      <c r="P269" s="32"/>
      <c r="Q269" s="32"/>
      <c r="R269" s="32"/>
      <c r="S269" s="31"/>
      <c r="T269" s="88" t="str">
        <f ca="1" t="shared" si="1"/>
        <v/>
      </c>
      <c r="U269" s="27"/>
      <c r="V269" s="27"/>
      <c r="W269" s="27"/>
      <c r="X269" s="33"/>
      <c r="Y269" s="30"/>
      <c r="Z269" s="33"/>
      <c r="AA269" s="30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</row>
    <row r="270" ht="15.75" customHeight="1" spans="1:43">
      <c r="A270" s="29"/>
      <c r="B270" s="29"/>
      <c r="C270" s="29"/>
      <c r="D270" s="32"/>
      <c r="E270" s="32"/>
      <c r="F270" s="32"/>
      <c r="G270" s="32"/>
      <c r="H270" s="32"/>
      <c r="I270" s="27" t="str">
        <f t="shared" si="2"/>
        <v/>
      </c>
      <c r="J270" s="32"/>
      <c r="K270" s="32"/>
      <c r="L270" s="33"/>
      <c r="M270" s="32"/>
      <c r="N270" s="32"/>
      <c r="O270" s="32"/>
      <c r="P270" s="32"/>
      <c r="Q270" s="32"/>
      <c r="R270" s="32"/>
      <c r="S270" s="31"/>
      <c r="T270" s="88" t="str">
        <f ca="1" t="shared" si="1"/>
        <v/>
      </c>
      <c r="U270" s="27"/>
      <c r="V270" s="27"/>
      <c r="W270" s="27"/>
      <c r="X270" s="33"/>
      <c r="Y270" s="30"/>
      <c r="Z270" s="33"/>
      <c r="AA270" s="30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</row>
    <row r="271" ht="15.75" customHeight="1" spans="1:43">
      <c r="A271" s="29"/>
      <c r="B271" s="29"/>
      <c r="C271" s="29"/>
      <c r="D271" s="32"/>
      <c r="E271" s="32"/>
      <c r="F271" s="32"/>
      <c r="G271" s="32"/>
      <c r="H271" s="32"/>
      <c r="I271" s="27" t="str">
        <f t="shared" si="2"/>
        <v/>
      </c>
      <c r="J271" s="32"/>
      <c r="K271" s="32"/>
      <c r="L271" s="33"/>
      <c r="M271" s="32"/>
      <c r="N271" s="32"/>
      <c r="O271" s="32"/>
      <c r="P271" s="32"/>
      <c r="Q271" s="32"/>
      <c r="R271" s="32"/>
      <c r="S271" s="31"/>
      <c r="T271" s="88" t="str">
        <f ca="1" t="shared" si="1"/>
        <v/>
      </c>
      <c r="U271" s="27"/>
      <c r="V271" s="27"/>
      <c r="W271" s="27"/>
      <c r="X271" s="33"/>
      <c r="Y271" s="30"/>
      <c r="Z271" s="33"/>
      <c r="AA271" s="30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</row>
    <row r="272" ht="15.75" customHeight="1" spans="1:43">
      <c r="A272" s="29"/>
      <c r="B272" s="29"/>
      <c r="C272" s="29"/>
      <c r="D272" s="32"/>
      <c r="E272" s="32"/>
      <c r="F272" s="32"/>
      <c r="G272" s="32"/>
      <c r="H272" s="32"/>
      <c r="I272" s="27" t="str">
        <f t="shared" si="2"/>
        <v/>
      </c>
      <c r="J272" s="32"/>
      <c r="K272" s="32"/>
      <c r="L272" s="33"/>
      <c r="M272" s="32"/>
      <c r="N272" s="32"/>
      <c r="O272" s="32"/>
      <c r="P272" s="32"/>
      <c r="Q272" s="32"/>
      <c r="R272" s="32"/>
      <c r="S272" s="31"/>
      <c r="T272" s="88" t="str">
        <f ca="1" t="shared" si="1"/>
        <v/>
      </c>
      <c r="U272" s="27"/>
      <c r="V272" s="27"/>
      <c r="W272" s="27"/>
      <c r="X272" s="33"/>
      <c r="Y272" s="30"/>
      <c r="Z272" s="33"/>
      <c r="AA272" s="30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</row>
    <row r="273" ht="15.75" customHeight="1" spans="1:43">
      <c r="A273" s="29"/>
      <c r="B273" s="29"/>
      <c r="C273" s="29"/>
      <c r="D273" s="32"/>
      <c r="E273" s="32"/>
      <c r="F273" s="32"/>
      <c r="G273" s="32"/>
      <c r="H273" s="32"/>
      <c r="I273" s="27" t="str">
        <f t="shared" si="2"/>
        <v/>
      </c>
      <c r="J273" s="32"/>
      <c r="K273" s="32"/>
      <c r="L273" s="33"/>
      <c r="M273" s="32"/>
      <c r="N273" s="32"/>
      <c r="O273" s="32"/>
      <c r="P273" s="32"/>
      <c r="Q273" s="32"/>
      <c r="R273" s="32"/>
      <c r="S273" s="31"/>
      <c r="T273" s="88" t="str">
        <f ca="1" t="shared" si="1"/>
        <v/>
      </c>
      <c r="U273" s="27"/>
      <c r="V273" s="27"/>
      <c r="W273" s="27"/>
      <c r="X273" s="33"/>
      <c r="Y273" s="30"/>
      <c r="Z273" s="33"/>
      <c r="AA273" s="30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</row>
    <row r="274" ht="15.75" customHeight="1" spans="1:43">
      <c r="A274" s="29"/>
      <c r="B274" s="29"/>
      <c r="C274" s="29"/>
      <c r="D274" s="32"/>
      <c r="E274" s="32"/>
      <c r="F274" s="32"/>
      <c r="G274" s="32"/>
      <c r="H274" s="32"/>
      <c r="I274" s="27" t="str">
        <f t="shared" si="2"/>
        <v/>
      </c>
      <c r="J274" s="32"/>
      <c r="K274" s="32"/>
      <c r="L274" s="33"/>
      <c r="M274" s="32"/>
      <c r="N274" s="32"/>
      <c r="O274" s="32"/>
      <c r="P274" s="32"/>
      <c r="Q274" s="32"/>
      <c r="R274" s="32"/>
      <c r="S274" s="31"/>
      <c r="T274" s="88" t="str">
        <f ca="1" t="shared" si="1"/>
        <v/>
      </c>
      <c r="U274" s="27"/>
      <c r="V274" s="27"/>
      <c r="W274" s="27"/>
      <c r="X274" s="33"/>
      <c r="Y274" s="30"/>
      <c r="Z274" s="33"/>
      <c r="AA274" s="30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</row>
    <row r="275" ht="15.75" customHeight="1" spans="1:43">
      <c r="A275" s="29"/>
      <c r="B275" s="29"/>
      <c r="C275" s="29"/>
      <c r="D275" s="32"/>
      <c r="E275" s="32"/>
      <c r="F275" s="32"/>
      <c r="G275" s="32"/>
      <c r="H275" s="32"/>
      <c r="I275" s="27" t="str">
        <f t="shared" si="2"/>
        <v/>
      </c>
      <c r="J275" s="32"/>
      <c r="K275" s="32"/>
      <c r="L275" s="33"/>
      <c r="M275" s="32"/>
      <c r="N275" s="32"/>
      <c r="O275" s="32"/>
      <c r="P275" s="32"/>
      <c r="Q275" s="32"/>
      <c r="R275" s="32"/>
      <c r="S275" s="31"/>
      <c r="T275" s="88" t="str">
        <f ca="1" t="shared" si="1"/>
        <v/>
      </c>
      <c r="U275" s="27"/>
      <c r="V275" s="27"/>
      <c r="W275" s="27"/>
      <c r="X275" s="33"/>
      <c r="Y275" s="30"/>
      <c r="Z275" s="33"/>
      <c r="AA275" s="30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</row>
    <row r="276" ht="15.75" customHeight="1" spans="1:43">
      <c r="A276" s="29"/>
      <c r="B276" s="29"/>
      <c r="C276" s="29"/>
      <c r="D276" s="32"/>
      <c r="E276" s="32"/>
      <c r="F276" s="32"/>
      <c r="G276" s="32"/>
      <c r="H276" s="32"/>
      <c r="I276" s="27" t="str">
        <f t="shared" si="2"/>
        <v/>
      </c>
      <c r="J276" s="32"/>
      <c r="K276" s="32"/>
      <c r="L276" s="33"/>
      <c r="M276" s="32"/>
      <c r="N276" s="32"/>
      <c r="O276" s="32"/>
      <c r="P276" s="32"/>
      <c r="Q276" s="32"/>
      <c r="R276" s="32"/>
      <c r="S276" s="31"/>
      <c r="T276" s="88" t="str">
        <f ca="1" t="shared" si="1"/>
        <v/>
      </c>
      <c r="U276" s="27"/>
      <c r="V276" s="27"/>
      <c r="W276" s="27"/>
      <c r="X276" s="33"/>
      <c r="Y276" s="30"/>
      <c r="Z276" s="33"/>
      <c r="AA276" s="30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</row>
    <row r="277" ht="15.75" customHeight="1" spans="1:43">
      <c r="A277" s="29"/>
      <c r="B277" s="29"/>
      <c r="C277" s="29"/>
      <c r="D277" s="32"/>
      <c r="E277" s="32"/>
      <c r="F277" s="32"/>
      <c r="G277" s="32"/>
      <c r="H277" s="32"/>
      <c r="I277" s="27" t="str">
        <f t="shared" si="2"/>
        <v/>
      </c>
      <c r="J277" s="32"/>
      <c r="K277" s="32"/>
      <c r="L277" s="33"/>
      <c r="M277" s="32"/>
      <c r="N277" s="32"/>
      <c r="O277" s="32"/>
      <c r="P277" s="32"/>
      <c r="Q277" s="32"/>
      <c r="R277" s="32"/>
      <c r="S277" s="31"/>
      <c r="T277" s="88" t="str">
        <f ca="1" t="shared" si="1"/>
        <v/>
      </c>
      <c r="U277" s="27"/>
      <c r="V277" s="27"/>
      <c r="W277" s="27"/>
      <c r="X277" s="33"/>
      <c r="Y277" s="30"/>
      <c r="Z277" s="33"/>
      <c r="AA277" s="30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</row>
    <row r="278" ht="15.75" customHeight="1" spans="1:43">
      <c r="A278" s="29"/>
      <c r="B278" s="29"/>
      <c r="C278" s="29"/>
      <c r="D278" s="32"/>
      <c r="E278" s="32"/>
      <c r="F278" s="32"/>
      <c r="G278" s="32"/>
      <c r="H278" s="32"/>
      <c r="I278" s="27" t="str">
        <f t="shared" si="2"/>
        <v/>
      </c>
      <c r="J278" s="32"/>
      <c r="K278" s="32"/>
      <c r="L278" s="33"/>
      <c r="M278" s="32"/>
      <c r="N278" s="32"/>
      <c r="O278" s="32"/>
      <c r="P278" s="32"/>
      <c r="Q278" s="32"/>
      <c r="R278" s="32"/>
      <c r="S278" s="31"/>
      <c r="T278" s="88" t="str">
        <f ca="1" t="shared" si="1"/>
        <v/>
      </c>
      <c r="U278" s="27"/>
      <c r="V278" s="27"/>
      <c r="W278" s="27"/>
      <c r="X278" s="33"/>
      <c r="Y278" s="30"/>
      <c r="Z278" s="33"/>
      <c r="AA278" s="30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</row>
    <row r="279" ht="15.75" customHeight="1" spans="1:43">
      <c r="A279" s="29"/>
      <c r="B279" s="29"/>
      <c r="C279" s="29"/>
      <c r="D279" s="32"/>
      <c r="E279" s="32"/>
      <c r="F279" s="32"/>
      <c r="G279" s="32"/>
      <c r="H279" s="32"/>
      <c r="I279" s="27" t="str">
        <f t="shared" si="2"/>
        <v/>
      </c>
      <c r="J279" s="32"/>
      <c r="K279" s="32"/>
      <c r="L279" s="33"/>
      <c r="M279" s="32"/>
      <c r="N279" s="32"/>
      <c r="O279" s="32"/>
      <c r="P279" s="32"/>
      <c r="Q279" s="32"/>
      <c r="R279" s="32"/>
      <c r="S279" s="31"/>
      <c r="T279" s="88" t="str">
        <f ca="1" t="shared" si="1"/>
        <v/>
      </c>
      <c r="U279" s="27"/>
      <c r="V279" s="27"/>
      <c r="W279" s="27"/>
      <c r="X279" s="33"/>
      <c r="Y279" s="30"/>
      <c r="Z279" s="33"/>
      <c r="AA279" s="30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</row>
    <row r="280" ht="15.75" customHeight="1" spans="1:43">
      <c r="A280" s="29"/>
      <c r="B280" s="29"/>
      <c r="C280" s="29"/>
      <c r="D280" s="32"/>
      <c r="E280" s="32"/>
      <c r="F280" s="32"/>
      <c r="G280" s="32"/>
      <c r="H280" s="32"/>
      <c r="I280" s="27" t="str">
        <f t="shared" si="2"/>
        <v/>
      </c>
      <c r="J280" s="32"/>
      <c r="K280" s="32"/>
      <c r="L280" s="33"/>
      <c r="M280" s="32"/>
      <c r="N280" s="32"/>
      <c r="O280" s="32"/>
      <c r="P280" s="32"/>
      <c r="Q280" s="32"/>
      <c r="R280" s="32"/>
      <c r="S280" s="31"/>
      <c r="T280" s="88" t="str">
        <f ca="1" t="shared" si="1"/>
        <v/>
      </c>
      <c r="U280" s="27"/>
      <c r="V280" s="27"/>
      <c r="W280" s="27"/>
      <c r="X280" s="33"/>
      <c r="Y280" s="30"/>
      <c r="Z280" s="33"/>
      <c r="AA280" s="30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</row>
    <row r="281" ht="15.75" customHeight="1" spans="1:43">
      <c r="A281" s="29"/>
      <c r="B281" s="29"/>
      <c r="C281" s="29"/>
      <c r="D281" s="32"/>
      <c r="E281" s="32"/>
      <c r="F281" s="32"/>
      <c r="G281" s="32"/>
      <c r="H281" s="32"/>
      <c r="I281" s="27" t="str">
        <f t="shared" si="2"/>
        <v/>
      </c>
      <c r="J281" s="32"/>
      <c r="K281" s="32"/>
      <c r="L281" s="33"/>
      <c r="M281" s="32"/>
      <c r="N281" s="32"/>
      <c r="O281" s="32"/>
      <c r="P281" s="32"/>
      <c r="Q281" s="32"/>
      <c r="R281" s="32"/>
      <c r="S281" s="31"/>
      <c r="T281" s="88" t="str">
        <f ca="1" t="shared" si="1"/>
        <v/>
      </c>
      <c r="U281" s="27"/>
      <c r="V281" s="27"/>
      <c r="W281" s="27"/>
      <c r="X281" s="33"/>
      <c r="Y281" s="30"/>
      <c r="Z281" s="33"/>
      <c r="AA281" s="30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</row>
    <row r="282" ht="15.75" customHeight="1" spans="1:43">
      <c r="A282" s="29"/>
      <c r="B282" s="29"/>
      <c r="C282" s="29"/>
      <c r="D282" s="32"/>
      <c r="E282" s="32"/>
      <c r="F282" s="32"/>
      <c r="G282" s="32"/>
      <c r="H282" s="32"/>
      <c r="I282" s="27" t="str">
        <f t="shared" si="2"/>
        <v/>
      </c>
      <c r="J282" s="32"/>
      <c r="K282" s="32"/>
      <c r="L282" s="33"/>
      <c r="M282" s="32"/>
      <c r="N282" s="32"/>
      <c r="O282" s="32"/>
      <c r="P282" s="32"/>
      <c r="Q282" s="32"/>
      <c r="R282" s="32"/>
      <c r="S282" s="31"/>
      <c r="T282" s="88" t="str">
        <f ca="1" t="shared" si="1"/>
        <v/>
      </c>
      <c r="U282" s="27"/>
      <c r="V282" s="27"/>
      <c r="W282" s="27"/>
      <c r="X282" s="33"/>
      <c r="Y282" s="30"/>
      <c r="Z282" s="33"/>
      <c r="AA282" s="30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</row>
    <row r="283" ht="15.75" customHeight="1" spans="1:43">
      <c r="A283" s="29"/>
      <c r="B283" s="29"/>
      <c r="C283" s="29"/>
      <c r="D283" s="32"/>
      <c r="E283" s="32"/>
      <c r="F283" s="32"/>
      <c r="G283" s="32"/>
      <c r="H283" s="32"/>
      <c r="I283" s="27" t="str">
        <f t="shared" si="2"/>
        <v/>
      </c>
      <c r="J283" s="32"/>
      <c r="K283" s="32"/>
      <c r="L283" s="33"/>
      <c r="M283" s="32"/>
      <c r="N283" s="32"/>
      <c r="O283" s="32"/>
      <c r="P283" s="32"/>
      <c r="Q283" s="32"/>
      <c r="R283" s="32"/>
      <c r="S283" s="31"/>
      <c r="T283" s="88" t="str">
        <f ca="1" t="shared" si="1"/>
        <v/>
      </c>
      <c r="U283" s="27"/>
      <c r="V283" s="27"/>
      <c r="W283" s="27"/>
      <c r="X283" s="33"/>
      <c r="Y283" s="30"/>
      <c r="Z283" s="33"/>
      <c r="AA283" s="30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</row>
    <row r="284" ht="15.75" customHeight="1" spans="1:43">
      <c r="A284" s="29"/>
      <c r="B284" s="29"/>
      <c r="C284" s="29"/>
      <c r="D284" s="32"/>
      <c r="E284" s="32"/>
      <c r="F284" s="32"/>
      <c r="G284" s="32"/>
      <c r="H284" s="32"/>
      <c r="I284" s="27" t="str">
        <f t="shared" si="2"/>
        <v/>
      </c>
      <c r="J284" s="32"/>
      <c r="K284" s="32"/>
      <c r="L284" s="33"/>
      <c r="M284" s="32"/>
      <c r="N284" s="32"/>
      <c r="O284" s="32"/>
      <c r="P284" s="32"/>
      <c r="Q284" s="32"/>
      <c r="R284" s="32"/>
      <c r="S284" s="31"/>
      <c r="T284" s="88" t="str">
        <f ca="1" t="shared" si="1"/>
        <v/>
      </c>
      <c r="U284" s="27"/>
      <c r="V284" s="27"/>
      <c r="W284" s="27"/>
      <c r="X284" s="33"/>
      <c r="Y284" s="30"/>
      <c r="Z284" s="33"/>
      <c r="AA284" s="30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</row>
    <row r="285" ht="15.75" customHeight="1" spans="1:43">
      <c r="A285" s="29"/>
      <c r="B285" s="29"/>
      <c r="C285" s="29"/>
      <c r="D285" s="32"/>
      <c r="E285" s="32"/>
      <c r="F285" s="32"/>
      <c r="G285" s="32"/>
      <c r="H285" s="32"/>
      <c r="I285" s="27" t="str">
        <f t="shared" si="2"/>
        <v/>
      </c>
      <c r="J285" s="32"/>
      <c r="K285" s="32"/>
      <c r="L285" s="33"/>
      <c r="M285" s="32"/>
      <c r="N285" s="32"/>
      <c r="O285" s="32"/>
      <c r="P285" s="32"/>
      <c r="Q285" s="32"/>
      <c r="R285" s="32"/>
      <c r="S285" s="31"/>
      <c r="T285" s="88" t="str">
        <f ca="1" t="shared" si="1"/>
        <v/>
      </c>
      <c r="U285" s="27"/>
      <c r="V285" s="27"/>
      <c r="W285" s="27"/>
      <c r="X285" s="33"/>
      <c r="Y285" s="30"/>
      <c r="Z285" s="33"/>
      <c r="AA285" s="30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</row>
    <row r="286" ht="15.75" customHeight="1" spans="1:43">
      <c r="A286" s="29"/>
      <c r="B286" s="29"/>
      <c r="C286" s="29"/>
      <c r="D286" s="32"/>
      <c r="E286" s="32"/>
      <c r="F286" s="32"/>
      <c r="G286" s="32"/>
      <c r="H286" s="32"/>
      <c r="I286" s="27" t="str">
        <f t="shared" si="2"/>
        <v/>
      </c>
      <c r="J286" s="32"/>
      <c r="K286" s="32"/>
      <c r="L286" s="33"/>
      <c r="M286" s="32"/>
      <c r="N286" s="32"/>
      <c r="O286" s="32"/>
      <c r="P286" s="32"/>
      <c r="Q286" s="32"/>
      <c r="R286" s="32"/>
      <c r="S286" s="31"/>
      <c r="T286" s="88" t="str">
        <f ca="1" t="shared" si="1"/>
        <v/>
      </c>
      <c r="U286" s="27"/>
      <c r="V286" s="27"/>
      <c r="W286" s="27"/>
      <c r="X286" s="33"/>
      <c r="Y286" s="30"/>
      <c r="Z286" s="33"/>
      <c r="AA286" s="30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</row>
    <row r="287" ht="15.75" customHeight="1" spans="1:43">
      <c r="A287" s="29"/>
      <c r="B287" s="29"/>
      <c r="C287" s="29"/>
      <c r="D287" s="32"/>
      <c r="E287" s="32"/>
      <c r="F287" s="32"/>
      <c r="G287" s="32"/>
      <c r="H287" s="32"/>
      <c r="I287" s="27" t="str">
        <f t="shared" si="2"/>
        <v/>
      </c>
      <c r="J287" s="32"/>
      <c r="K287" s="32"/>
      <c r="L287" s="33"/>
      <c r="M287" s="32"/>
      <c r="N287" s="32"/>
      <c r="O287" s="32"/>
      <c r="P287" s="32"/>
      <c r="Q287" s="32"/>
      <c r="R287" s="32"/>
      <c r="S287" s="31"/>
      <c r="T287" s="88" t="str">
        <f ca="1" t="shared" si="1"/>
        <v/>
      </c>
      <c r="U287" s="27"/>
      <c r="V287" s="27"/>
      <c r="W287" s="27"/>
      <c r="X287" s="33"/>
      <c r="Y287" s="30"/>
      <c r="Z287" s="33"/>
      <c r="AA287" s="30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</row>
    <row r="288" ht="15.75" customHeight="1" spans="1:43">
      <c r="A288" s="29"/>
      <c r="B288" s="29"/>
      <c r="C288" s="29"/>
      <c r="D288" s="32"/>
      <c r="E288" s="32"/>
      <c r="F288" s="32"/>
      <c r="G288" s="32"/>
      <c r="H288" s="32"/>
      <c r="I288" s="27" t="str">
        <f t="shared" si="2"/>
        <v/>
      </c>
      <c r="J288" s="32"/>
      <c r="K288" s="32"/>
      <c r="L288" s="33"/>
      <c r="M288" s="32"/>
      <c r="N288" s="32"/>
      <c r="O288" s="32"/>
      <c r="P288" s="32"/>
      <c r="Q288" s="32"/>
      <c r="R288" s="32"/>
      <c r="S288" s="31"/>
      <c r="T288" s="88" t="str">
        <f ca="1" t="shared" si="1"/>
        <v/>
      </c>
      <c r="U288" s="27"/>
      <c r="V288" s="27"/>
      <c r="W288" s="27"/>
      <c r="X288" s="33"/>
      <c r="Y288" s="30"/>
      <c r="Z288" s="33"/>
      <c r="AA288" s="30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</row>
    <row r="289" ht="15.75" customHeight="1" spans="1:43">
      <c r="A289" s="29"/>
      <c r="B289" s="29"/>
      <c r="C289" s="29"/>
      <c r="D289" s="32"/>
      <c r="E289" s="32"/>
      <c r="F289" s="32"/>
      <c r="G289" s="32"/>
      <c r="H289" s="32"/>
      <c r="I289" s="27" t="str">
        <f t="shared" si="2"/>
        <v/>
      </c>
      <c r="J289" s="32"/>
      <c r="K289" s="32"/>
      <c r="L289" s="33"/>
      <c r="M289" s="32"/>
      <c r="N289" s="32"/>
      <c r="O289" s="32"/>
      <c r="P289" s="32"/>
      <c r="Q289" s="32"/>
      <c r="R289" s="32"/>
      <c r="S289" s="31"/>
      <c r="T289" s="88" t="str">
        <f ca="1" t="shared" si="1"/>
        <v/>
      </c>
      <c r="U289" s="27"/>
      <c r="V289" s="27"/>
      <c r="W289" s="27"/>
      <c r="X289" s="33"/>
      <c r="Y289" s="30"/>
      <c r="Z289" s="33"/>
      <c r="AA289" s="30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</row>
    <row r="290" ht="15.75" customHeight="1" spans="1:43">
      <c r="A290" s="29"/>
      <c r="B290" s="29"/>
      <c r="C290" s="29"/>
      <c r="D290" s="32"/>
      <c r="E290" s="32"/>
      <c r="F290" s="32"/>
      <c r="G290" s="32"/>
      <c r="H290" s="32"/>
      <c r="I290" s="27" t="str">
        <f t="shared" si="2"/>
        <v/>
      </c>
      <c r="J290" s="32"/>
      <c r="K290" s="32"/>
      <c r="L290" s="33"/>
      <c r="M290" s="32"/>
      <c r="N290" s="32"/>
      <c r="O290" s="32"/>
      <c r="P290" s="32"/>
      <c r="Q290" s="32"/>
      <c r="R290" s="32"/>
      <c r="S290" s="31"/>
      <c r="T290" s="88" t="str">
        <f ca="1" t="shared" si="1"/>
        <v/>
      </c>
      <c r="U290" s="27"/>
      <c r="V290" s="27"/>
      <c r="W290" s="27"/>
      <c r="X290" s="33"/>
      <c r="Y290" s="30"/>
      <c r="Z290" s="33"/>
      <c r="AA290" s="30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</row>
    <row r="291" ht="15.75" customHeight="1" spans="1:43">
      <c r="A291" s="29"/>
      <c r="B291" s="29"/>
      <c r="C291" s="29"/>
      <c r="D291" s="32"/>
      <c r="E291" s="32"/>
      <c r="F291" s="32"/>
      <c r="G291" s="32"/>
      <c r="H291" s="32"/>
      <c r="I291" s="27" t="str">
        <f t="shared" si="2"/>
        <v/>
      </c>
      <c r="J291" s="32"/>
      <c r="K291" s="32"/>
      <c r="L291" s="33"/>
      <c r="M291" s="32"/>
      <c r="N291" s="32"/>
      <c r="O291" s="32"/>
      <c r="P291" s="32"/>
      <c r="Q291" s="32"/>
      <c r="R291" s="32"/>
      <c r="S291" s="31"/>
      <c r="T291" s="88" t="str">
        <f ca="1" t="shared" si="1"/>
        <v/>
      </c>
      <c r="U291" s="27"/>
      <c r="V291" s="27"/>
      <c r="W291" s="27"/>
      <c r="X291" s="33"/>
      <c r="Y291" s="30"/>
      <c r="Z291" s="33"/>
      <c r="AA291" s="30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</row>
    <row r="292" ht="15.75" customHeight="1" spans="1:43">
      <c r="A292" s="29"/>
      <c r="B292" s="29"/>
      <c r="C292" s="29"/>
      <c r="D292" s="32"/>
      <c r="E292" s="32"/>
      <c r="F292" s="32"/>
      <c r="G292" s="32"/>
      <c r="H292" s="32"/>
      <c r="I292" s="27" t="str">
        <f t="shared" si="2"/>
        <v/>
      </c>
      <c r="J292" s="32"/>
      <c r="K292" s="32"/>
      <c r="L292" s="33"/>
      <c r="M292" s="32"/>
      <c r="N292" s="32"/>
      <c r="O292" s="32"/>
      <c r="P292" s="32"/>
      <c r="Q292" s="32"/>
      <c r="R292" s="32"/>
      <c r="S292" s="31"/>
      <c r="T292" s="88" t="str">
        <f ca="1" t="shared" si="1"/>
        <v/>
      </c>
      <c r="U292" s="27"/>
      <c r="V292" s="27"/>
      <c r="W292" s="27"/>
      <c r="X292" s="33"/>
      <c r="Y292" s="30"/>
      <c r="Z292" s="33"/>
      <c r="AA292" s="30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</row>
    <row r="293" ht="15.75" customHeight="1" spans="1:43">
      <c r="A293" s="29"/>
      <c r="B293" s="29"/>
      <c r="C293" s="29"/>
      <c r="D293" s="32"/>
      <c r="E293" s="32"/>
      <c r="F293" s="32"/>
      <c r="G293" s="32"/>
      <c r="H293" s="32"/>
      <c r="I293" s="27" t="str">
        <f t="shared" si="2"/>
        <v/>
      </c>
      <c r="J293" s="32"/>
      <c r="K293" s="32"/>
      <c r="L293" s="33"/>
      <c r="M293" s="32"/>
      <c r="N293" s="32"/>
      <c r="O293" s="32"/>
      <c r="P293" s="32"/>
      <c r="Q293" s="32"/>
      <c r="R293" s="32"/>
      <c r="S293" s="31"/>
      <c r="T293" s="88" t="str">
        <f ca="1" t="shared" si="1"/>
        <v/>
      </c>
      <c r="U293" s="27"/>
      <c r="V293" s="27"/>
      <c r="W293" s="27"/>
      <c r="X293" s="33"/>
      <c r="Y293" s="30"/>
      <c r="Z293" s="33"/>
      <c r="AA293" s="30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</row>
    <row r="294" ht="15.75" customHeight="1" spans="1:43">
      <c r="A294" s="29"/>
      <c r="B294" s="29"/>
      <c r="C294" s="29"/>
      <c r="D294" s="32"/>
      <c r="E294" s="32"/>
      <c r="F294" s="32"/>
      <c r="G294" s="32"/>
      <c r="H294" s="32"/>
      <c r="I294" s="27" t="str">
        <f t="shared" si="2"/>
        <v/>
      </c>
      <c r="J294" s="32"/>
      <c r="K294" s="32"/>
      <c r="L294" s="33"/>
      <c r="M294" s="32"/>
      <c r="N294" s="32"/>
      <c r="O294" s="32"/>
      <c r="P294" s="32"/>
      <c r="Q294" s="32"/>
      <c r="R294" s="32"/>
      <c r="S294" s="31"/>
      <c r="T294" s="88" t="str">
        <f ca="1" t="shared" si="1"/>
        <v/>
      </c>
      <c r="U294" s="27"/>
      <c r="V294" s="27"/>
      <c r="W294" s="27"/>
      <c r="X294" s="33"/>
      <c r="Y294" s="30"/>
      <c r="Z294" s="33"/>
      <c r="AA294" s="30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</row>
    <row r="295" ht="15.75" customHeight="1" spans="1:43">
      <c r="A295" s="29"/>
      <c r="B295" s="29"/>
      <c r="C295" s="29"/>
      <c r="D295" s="32"/>
      <c r="E295" s="32"/>
      <c r="F295" s="32"/>
      <c r="G295" s="32"/>
      <c r="H295" s="32"/>
      <c r="I295" s="27" t="str">
        <f t="shared" si="2"/>
        <v/>
      </c>
      <c r="J295" s="32"/>
      <c r="K295" s="32"/>
      <c r="L295" s="33"/>
      <c r="M295" s="32"/>
      <c r="N295" s="32"/>
      <c r="O295" s="32"/>
      <c r="P295" s="32"/>
      <c r="Q295" s="32"/>
      <c r="R295" s="32"/>
      <c r="S295" s="31"/>
      <c r="T295" s="88" t="str">
        <f ca="1" t="shared" si="1"/>
        <v/>
      </c>
      <c r="U295" s="27"/>
      <c r="V295" s="27"/>
      <c r="W295" s="27"/>
      <c r="X295" s="33"/>
      <c r="Y295" s="30"/>
      <c r="Z295" s="33"/>
      <c r="AA295" s="30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</row>
    <row r="296" ht="15.75" customHeight="1" spans="1:43">
      <c r="A296" s="29"/>
      <c r="B296" s="29"/>
      <c r="C296" s="29"/>
      <c r="D296" s="32"/>
      <c r="E296" s="32"/>
      <c r="F296" s="32"/>
      <c r="G296" s="32"/>
      <c r="H296" s="32"/>
      <c r="I296" s="27" t="str">
        <f t="shared" si="2"/>
        <v/>
      </c>
      <c r="J296" s="32"/>
      <c r="K296" s="32"/>
      <c r="L296" s="33"/>
      <c r="M296" s="32"/>
      <c r="N296" s="32"/>
      <c r="O296" s="32"/>
      <c r="P296" s="32"/>
      <c r="Q296" s="32"/>
      <c r="R296" s="32"/>
      <c r="S296" s="31"/>
      <c r="T296" s="88" t="str">
        <f ca="1" t="shared" si="1"/>
        <v/>
      </c>
      <c r="U296" s="27"/>
      <c r="V296" s="27"/>
      <c r="W296" s="27"/>
      <c r="X296" s="33"/>
      <c r="Y296" s="30"/>
      <c r="Z296" s="33"/>
      <c r="AA296" s="30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</row>
    <row r="297" ht="15.75" customHeight="1" spans="1:43">
      <c r="A297" s="29"/>
      <c r="B297" s="29"/>
      <c r="C297" s="29"/>
      <c r="D297" s="32"/>
      <c r="E297" s="32"/>
      <c r="F297" s="32"/>
      <c r="G297" s="32"/>
      <c r="H297" s="32"/>
      <c r="I297" s="27" t="str">
        <f t="shared" si="2"/>
        <v/>
      </c>
      <c r="J297" s="32"/>
      <c r="K297" s="32"/>
      <c r="L297" s="33"/>
      <c r="M297" s="32"/>
      <c r="N297" s="32"/>
      <c r="O297" s="32"/>
      <c r="P297" s="32"/>
      <c r="Q297" s="32"/>
      <c r="R297" s="32"/>
      <c r="S297" s="31"/>
      <c r="T297" s="88" t="str">
        <f ca="1" t="shared" si="1"/>
        <v/>
      </c>
      <c r="U297" s="27"/>
      <c r="V297" s="27"/>
      <c r="W297" s="27"/>
      <c r="X297" s="33"/>
      <c r="Y297" s="30"/>
      <c r="Z297" s="33"/>
      <c r="AA297" s="30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</row>
    <row r="298" ht="15.75" customHeight="1" spans="1:43">
      <c r="A298" s="29"/>
      <c r="B298" s="29"/>
      <c r="C298" s="29"/>
      <c r="D298" s="32"/>
      <c r="E298" s="32"/>
      <c r="F298" s="32"/>
      <c r="G298" s="32"/>
      <c r="H298" s="32"/>
      <c r="I298" s="27" t="str">
        <f t="shared" si="2"/>
        <v/>
      </c>
      <c r="J298" s="32"/>
      <c r="K298" s="32"/>
      <c r="L298" s="33"/>
      <c r="M298" s="32"/>
      <c r="N298" s="32"/>
      <c r="O298" s="32"/>
      <c r="P298" s="32"/>
      <c r="Q298" s="32"/>
      <c r="R298" s="32"/>
      <c r="S298" s="31"/>
      <c r="T298" s="88" t="str">
        <f ca="1" t="shared" si="1"/>
        <v/>
      </c>
      <c r="U298" s="27"/>
      <c r="V298" s="27"/>
      <c r="W298" s="27"/>
      <c r="X298" s="33"/>
      <c r="Y298" s="30"/>
      <c r="Z298" s="33"/>
      <c r="AA298" s="30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</row>
    <row r="299" ht="15.75" customHeight="1" spans="1:43">
      <c r="A299" s="29"/>
      <c r="B299" s="29"/>
      <c r="C299" s="29"/>
      <c r="D299" s="32"/>
      <c r="E299" s="32"/>
      <c r="F299" s="32"/>
      <c r="G299" s="32"/>
      <c r="H299" s="32"/>
      <c r="I299" s="27" t="str">
        <f t="shared" si="2"/>
        <v/>
      </c>
      <c r="J299" s="32"/>
      <c r="K299" s="32"/>
      <c r="L299" s="33"/>
      <c r="M299" s="32"/>
      <c r="N299" s="32"/>
      <c r="O299" s="32"/>
      <c r="P299" s="32"/>
      <c r="Q299" s="32"/>
      <c r="R299" s="32"/>
      <c r="S299" s="31"/>
      <c r="T299" s="88" t="str">
        <f ca="1" t="shared" si="1"/>
        <v/>
      </c>
      <c r="U299" s="27"/>
      <c r="V299" s="27"/>
      <c r="W299" s="27"/>
      <c r="X299" s="33"/>
      <c r="Y299" s="30"/>
      <c r="Z299" s="33"/>
      <c r="AA299" s="30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CA4C585-C249-4BB0-8EE7-E4361962E073}" filter="1" showAutoFilter="1">
      <autoFilter ref="D4:AQ299"/>
    </customSheetView>
  </customSheetViews>
  <conditionalFormatting sqref="D5:D299">
    <cfRule type="containsText" dxfId="40" priority="1" operator="between" text="No">
      <formula>NOT(ISERROR(SEARCH("No",D5)))</formula>
    </cfRule>
  </conditionalFormatting>
  <dataValidations count="7">
    <dataValidation type="list" allowBlank="1" showInputMessage="1" showErrorMessage="1" prompt="Add the new address in sheet data under column City Address" sqref="O65:P65 O5:O64 O66:O299">
      <formula1>'dropdown list'!$I$3:$I$107</formula1>
    </dataValidation>
    <dataValidation type="list" allowBlank="1" showErrorMessage="1" sqref="D5:D299">
      <formula1>'dropdown list'!$B$3:$B$4</formula1>
    </dataValidation>
    <dataValidation type="list" allowBlank="1" showErrorMessage="1" sqref="F5:F299">
      <formula1>'dropdown list'!$F$3:$F$9</formula1>
    </dataValidation>
    <dataValidation type="list" allowBlank="1" showErrorMessage="1" sqref="H5:H299">
      <formula1>'dropdown list'!$F$19:$F$21</formula1>
    </dataValidation>
    <dataValidation type="list" allowBlank="1" showErrorMessage="1" sqref="M5:M299">
      <formula1>'dropdown list'!$H$3:$H$4</formula1>
    </dataValidation>
    <dataValidation type="list" allowBlank="1" showErrorMessage="1" sqref="X5:X299 Z5:Z299">
      <formula1>'dropdown list'!$J$3:$J$4</formula1>
    </dataValidation>
    <dataValidation type="list" allowBlank="1" showErrorMessage="1" sqref="AL5:AM299">
      <formula1>"Yes,Not Yet"</formula1>
    </dataValidation>
  </dataValidations>
  <pageMargins left="0.7" right="0.7" top="0.75" bottom="0.75" header="0" footer="0"/>
  <pageSetup paperSize="1" orientation="portrait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F4861"/>
  </sheetPr>
  <dimension ref="A1:AS1000"/>
  <sheetViews>
    <sheetView showGridLines="0" tabSelected="1" zoomScale="70" zoomScaleNormal="70" workbookViewId="0">
      <pane xSplit="9" ySplit="4" topLeftCell="J145" activePane="bottomRight" state="frozen"/>
      <selection/>
      <selection pane="topRight"/>
      <selection pane="bottomLeft"/>
      <selection pane="bottomRight" activeCell="L175" sqref="L175"/>
    </sheetView>
  </sheetViews>
  <sheetFormatPr defaultColWidth="12.6333333333333" defaultRowHeight="15" customHeight="1"/>
  <cols>
    <col min="1" max="1" width="23.3833333333333" customWidth="1"/>
    <col min="2" max="2" width="5.63333333333333" customWidth="1"/>
    <col min="3" max="3" width="3.38333333333333" customWidth="1"/>
    <col min="4" max="4" width="12" customWidth="1"/>
    <col min="5" max="5" width="13.75" customWidth="1"/>
    <col min="6" max="6" width="12.75" customWidth="1"/>
    <col min="7" max="7" width="10.1333333333333" customWidth="1"/>
    <col min="8" max="8" width="17.75" customWidth="1"/>
    <col min="9" max="9" width="25.8833333333333" customWidth="1"/>
    <col min="10" max="10" width="15.1333333333333" customWidth="1"/>
    <col min="11" max="11" width="17.8833333333333" customWidth="1"/>
    <col min="12" max="12" width="12.5" customWidth="1"/>
    <col min="13" max="13" width="9.5" customWidth="1"/>
    <col min="14" max="14" width="22.8833333333333" customWidth="1"/>
    <col min="15" max="15" width="25.5" customWidth="1"/>
    <col min="16" max="16" width="32.6333333333333" customWidth="1"/>
    <col min="17" max="17" width="15.1333333333333" customWidth="1"/>
    <col min="18" max="18" width="25.25" customWidth="1"/>
    <col min="19" max="19" width="20.75" customWidth="1"/>
    <col min="20" max="20" width="5.63333333333333" customWidth="1"/>
    <col min="21" max="21" width="21.8833333333333" customWidth="1"/>
    <col min="22" max="22" width="24.1333333333333" customWidth="1"/>
    <col min="23" max="23" width="24.25" customWidth="1"/>
    <col min="24" max="24" width="9.5" customWidth="1"/>
    <col min="25" max="25" width="18.6333333333333" customWidth="1"/>
    <col min="26" max="26" width="21" customWidth="1"/>
    <col min="27" max="27" width="18.6333333333333" customWidth="1"/>
    <col min="28" max="28" width="18.25" customWidth="1"/>
    <col min="29" max="29" width="17.6333333333333" customWidth="1"/>
    <col min="30" max="30" width="22.3833333333333" customWidth="1"/>
    <col min="31" max="31" width="19.6333333333333" customWidth="1"/>
    <col min="32" max="32" width="29" customWidth="1"/>
    <col min="33" max="33" width="25.8833333333333" customWidth="1"/>
    <col min="34" max="34" width="45" customWidth="1"/>
    <col min="35" max="35" width="27.75" customWidth="1"/>
    <col min="36" max="36" width="22.5" customWidth="1"/>
    <col min="37" max="37" width="64.75" customWidth="1"/>
    <col min="38" max="38" width="49.1333333333333" customWidth="1"/>
    <col min="39" max="39" width="19.8833333333333" customWidth="1"/>
    <col min="40" max="40" width="18.8833333333333" customWidth="1"/>
    <col min="41" max="41" width="22.6333333333333" customWidth="1"/>
    <col min="42" max="42" width="24.1333333333333" customWidth="1"/>
    <col min="43" max="43" width="21.25" customWidth="1"/>
    <col min="44" max="44" width="10.75" customWidth="1"/>
    <col min="45" max="45" width="14.3833333333333" customWidth="1"/>
  </cols>
  <sheetData>
    <row r="1" ht="39" customHeight="1" spans="1:45">
      <c r="A1" s="167" t="s">
        <v>2167</v>
      </c>
      <c r="B1" s="29"/>
      <c r="C1" s="29"/>
      <c r="D1" s="31"/>
      <c r="E1" s="31"/>
      <c r="F1" s="32"/>
      <c r="G1" s="32"/>
      <c r="H1" s="32"/>
      <c r="I1" s="33"/>
      <c r="J1" s="32"/>
      <c r="K1" s="32"/>
      <c r="L1" s="32"/>
      <c r="M1" s="32"/>
      <c r="N1" s="32"/>
      <c r="O1" s="32"/>
      <c r="P1" s="31"/>
      <c r="Q1" s="33"/>
      <c r="R1" s="27"/>
      <c r="S1" s="27"/>
      <c r="T1" s="27"/>
      <c r="U1" s="33"/>
      <c r="V1" s="30"/>
      <c r="W1" s="33"/>
      <c r="X1" s="30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</row>
    <row r="2" ht="15.15" spans="1:4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181"/>
      <c r="T2" s="182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</row>
    <row r="3" ht="15.15" spans="1:45">
      <c r="A3" s="168" t="s">
        <v>10</v>
      </c>
      <c r="B3" s="169">
        <f>SUBTOTAL(3,Youth!$K$5:$K$401)</f>
        <v>192</v>
      </c>
      <c r="C3" s="51"/>
      <c r="D3" s="183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181"/>
      <c r="T3" s="182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</row>
    <row r="4" ht="28.5" customHeight="1" spans="1:45">
      <c r="A4" s="58"/>
      <c r="B4" s="58"/>
      <c r="C4" s="58"/>
      <c r="D4" s="184" t="s">
        <v>11</v>
      </c>
      <c r="E4" s="184" t="s">
        <v>12</v>
      </c>
      <c r="F4" s="184" t="s">
        <v>13</v>
      </c>
      <c r="G4" s="184" t="s">
        <v>14</v>
      </c>
      <c r="H4" s="184" t="s">
        <v>15</v>
      </c>
      <c r="I4" s="61" t="s">
        <v>16</v>
      </c>
      <c r="J4" s="184" t="s">
        <v>17</v>
      </c>
      <c r="K4" s="184" t="s">
        <v>18</v>
      </c>
      <c r="L4" s="184" t="s">
        <v>19</v>
      </c>
      <c r="M4" s="184" t="s">
        <v>20</v>
      </c>
      <c r="N4" s="184" t="s">
        <v>21</v>
      </c>
      <c r="O4" s="184" t="s">
        <v>22</v>
      </c>
      <c r="P4" s="184" t="s">
        <v>23</v>
      </c>
      <c r="Q4" s="184" t="s">
        <v>24</v>
      </c>
      <c r="R4" s="184" t="s">
        <v>25</v>
      </c>
      <c r="S4" s="185" t="s">
        <v>26</v>
      </c>
      <c r="T4" s="186" t="s">
        <v>27</v>
      </c>
      <c r="U4" s="184" t="s">
        <v>28</v>
      </c>
      <c r="V4" s="184" t="s">
        <v>29</v>
      </c>
      <c r="W4" s="184" t="s">
        <v>30</v>
      </c>
      <c r="X4" s="184" t="s">
        <v>31</v>
      </c>
      <c r="Y4" s="184" t="s">
        <v>32</v>
      </c>
      <c r="Z4" s="184" t="s">
        <v>33</v>
      </c>
      <c r="AA4" s="184" t="s">
        <v>34</v>
      </c>
      <c r="AB4" s="172" t="s">
        <v>35</v>
      </c>
      <c r="AC4" s="172" t="s">
        <v>2168</v>
      </c>
      <c r="AD4" s="187" t="s">
        <v>2169</v>
      </c>
      <c r="AE4" s="184" t="s">
        <v>2170</v>
      </c>
      <c r="AF4" s="184" t="s">
        <v>2171</v>
      </c>
      <c r="AG4" s="184" t="s">
        <v>2172</v>
      </c>
      <c r="AH4" s="184" t="s">
        <v>2173</v>
      </c>
      <c r="AI4" s="176" t="s">
        <v>38</v>
      </c>
      <c r="AJ4" s="71" t="s">
        <v>2174</v>
      </c>
      <c r="AK4" s="71" t="s">
        <v>40</v>
      </c>
      <c r="AL4" s="71" t="s">
        <v>41</v>
      </c>
      <c r="AM4" s="71" t="s">
        <v>42</v>
      </c>
      <c r="AN4" s="184" t="s">
        <v>2175</v>
      </c>
      <c r="AO4" s="184" t="s">
        <v>2176</v>
      </c>
      <c r="AP4" s="71" t="s">
        <v>47</v>
      </c>
      <c r="AQ4" s="71" t="s">
        <v>48</v>
      </c>
      <c r="AR4" s="184" t="s">
        <v>49</v>
      </c>
      <c r="AS4" s="184" t="s">
        <v>50</v>
      </c>
    </row>
    <row r="5" ht="14.4" spans="1:45">
      <c r="A5" s="29"/>
      <c r="B5" s="29"/>
      <c r="C5" s="29"/>
      <c r="D5" s="29" t="s">
        <v>79</v>
      </c>
      <c r="E5" s="29" t="s">
        <v>2177</v>
      </c>
      <c r="F5" s="29" t="s">
        <v>2178</v>
      </c>
      <c r="G5" s="29"/>
      <c r="H5" s="29" t="s">
        <v>81</v>
      </c>
      <c r="I5" s="27" t="str">
        <f t="shared" ref="I5:I401" si="0">IF(AND(K5="",J5=""),"",CONCATENATE(J5,", ",K5))</f>
        <v>Agpalo, Charles</v>
      </c>
      <c r="J5" s="29" t="s">
        <v>2179</v>
      </c>
      <c r="K5" s="29" t="s">
        <v>2180</v>
      </c>
      <c r="L5" s="29"/>
      <c r="M5" s="29" t="s">
        <v>1642</v>
      </c>
      <c r="N5" s="29"/>
      <c r="O5" s="29"/>
      <c r="P5" s="29"/>
      <c r="Q5" s="29"/>
      <c r="R5" s="29"/>
      <c r="S5" s="181"/>
      <c r="T5" s="88" t="str">
        <f ca="1" t="shared" ref="T5:T401" si="1">IF(S5="","",DATEDIF(S5,TODAY(),"Y"))</f>
        <v/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</row>
    <row r="6" ht="14.4" spans="1:45">
      <c r="A6" s="29"/>
      <c r="B6" s="29"/>
      <c r="C6" s="29"/>
      <c r="D6" s="29" t="s">
        <v>79</v>
      </c>
      <c r="E6" s="29" t="s">
        <v>2181</v>
      </c>
      <c r="F6" s="29" t="s">
        <v>2182</v>
      </c>
      <c r="G6" s="29"/>
      <c r="H6" s="29" t="s">
        <v>81</v>
      </c>
      <c r="I6" s="27" t="str">
        <f t="shared" si="0"/>
        <v>Akiapat, Femy</v>
      </c>
      <c r="J6" s="29" t="s">
        <v>86</v>
      </c>
      <c r="K6" s="29" t="s">
        <v>2183</v>
      </c>
      <c r="L6" s="29"/>
      <c r="M6" s="29" t="s">
        <v>57</v>
      </c>
      <c r="N6" s="29"/>
      <c r="O6" s="29"/>
      <c r="P6" s="29"/>
      <c r="Q6" s="29"/>
      <c r="R6" s="29"/>
      <c r="S6" s="181"/>
      <c r="T6" s="88" t="str">
        <f ca="1" t="shared" si="1"/>
        <v/>
      </c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</row>
    <row r="7" ht="14.4" spans="1:45">
      <c r="A7" s="29"/>
      <c r="B7" s="29"/>
      <c r="C7" s="29"/>
      <c r="D7" s="29" t="s">
        <v>79</v>
      </c>
      <c r="E7" s="29" t="s">
        <v>2184</v>
      </c>
      <c r="F7" s="29" t="s">
        <v>2185</v>
      </c>
      <c r="G7" s="29" t="s">
        <v>2186</v>
      </c>
      <c r="H7" s="29" t="s">
        <v>81</v>
      </c>
      <c r="I7" s="27" t="str">
        <f t="shared" si="0"/>
        <v>Albing, John Lee</v>
      </c>
      <c r="J7" s="29" t="s">
        <v>2187</v>
      </c>
      <c r="K7" s="188" t="s">
        <v>2188</v>
      </c>
      <c r="L7" s="29"/>
      <c r="M7" s="29" t="s">
        <v>1642</v>
      </c>
      <c r="N7" s="29"/>
      <c r="O7" s="29"/>
      <c r="P7" s="29"/>
      <c r="Q7" s="29"/>
      <c r="R7" s="29"/>
      <c r="S7" s="181"/>
      <c r="T7" s="88" t="str">
        <f ca="1" t="shared" si="1"/>
        <v/>
      </c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</row>
    <row r="8" ht="14.4" spans="1:45">
      <c r="A8" s="29"/>
      <c r="B8" s="29"/>
      <c r="C8" s="29"/>
      <c r="D8" s="29" t="s">
        <v>51</v>
      </c>
      <c r="E8" s="29" t="s">
        <v>2189</v>
      </c>
      <c r="F8" s="29" t="s">
        <v>1742</v>
      </c>
      <c r="G8" s="29"/>
      <c r="H8" s="29" t="s">
        <v>126</v>
      </c>
      <c r="I8" s="27" t="str">
        <f t="shared" si="0"/>
        <v>Albing, Amela Grace</v>
      </c>
      <c r="J8" s="29" t="s">
        <v>2187</v>
      </c>
      <c r="K8" s="29" t="s">
        <v>2190</v>
      </c>
      <c r="L8" s="29" t="s">
        <v>239</v>
      </c>
      <c r="M8" s="29" t="s">
        <v>57</v>
      </c>
      <c r="N8" s="29" t="s">
        <v>1613</v>
      </c>
      <c r="O8" s="29" t="s">
        <v>1222</v>
      </c>
      <c r="P8" s="29" t="s">
        <v>573</v>
      </c>
      <c r="Q8" s="29" t="s">
        <v>2191</v>
      </c>
      <c r="R8" s="29" t="s">
        <v>2192</v>
      </c>
      <c r="S8" s="181">
        <v>36187</v>
      </c>
      <c r="T8" s="88">
        <f ca="1" t="shared" si="1"/>
        <v>27</v>
      </c>
      <c r="U8" s="29" t="s">
        <v>1734</v>
      </c>
      <c r="V8" s="29" t="s">
        <v>2193</v>
      </c>
      <c r="W8" s="29" t="s">
        <v>2194</v>
      </c>
      <c r="X8" s="29" t="s">
        <v>51</v>
      </c>
      <c r="Y8" s="181">
        <v>39726</v>
      </c>
      <c r="Z8" s="29" t="s">
        <v>51</v>
      </c>
      <c r="AA8" s="181">
        <v>39558</v>
      </c>
      <c r="AB8" s="29"/>
      <c r="AC8" s="29"/>
      <c r="AD8" s="29"/>
      <c r="AE8" s="29" t="s">
        <v>188</v>
      </c>
      <c r="AF8" s="29" t="s">
        <v>2195</v>
      </c>
      <c r="AG8" s="29"/>
      <c r="AH8" s="29"/>
      <c r="AI8" s="29" t="s">
        <v>2196</v>
      </c>
      <c r="AJ8" s="29"/>
      <c r="AK8" s="29"/>
      <c r="AL8" s="29"/>
      <c r="AM8" s="29"/>
      <c r="AN8" s="29"/>
      <c r="AO8" s="29"/>
      <c r="AP8" s="29" t="s">
        <v>2197</v>
      </c>
      <c r="AQ8" s="29" t="s">
        <v>625</v>
      </c>
      <c r="AR8" s="29" t="s">
        <v>949</v>
      </c>
      <c r="AS8" s="29" t="s">
        <v>2198</v>
      </c>
    </row>
    <row r="9" ht="14.4" spans="1:45">
      <c r="A9" s="29"/>
      <c r="B9" s="29"/>
      <c r="C9" s="29"/>
      <c r="D9" s="29" t="s">
        <v>51</v>
      </c>
      <c r="E9" s="29" t="s">
        <v>2189</v>
      </c>
      <c r="F9" s="29" t="s">
        <v>2185</v>
      </c>
      <c r="G9" s="29" t="s">
        <v>2186</v>
      </c>
      <c r="H9" s="29" t="s">
        <v>92</v>
      </c>
      <c r="I9" s="27" t="str">
        <f t="shared" si="0"/>
        <v>Albing, Alpha May</v>
      </c>
      <c r="J9" s="29" t="s">
        <v>2187</v>
      </c>
      <c r="K9" s="29" t="s">
        <v>2199</v>
      </c>
      <c r="L9" s="29" t="s">
        <v>239</v>
      </c>
      <c r="M9" s="29" t="s">
        <v>57</v>
      </c>
      <c r="N9" s="29" t="s">
        <v>1613</v>
      </c>
      <c r="O9" s="29" t="s">
        <v>1222</v>
      </c>
      <c r="P9" s="29" t="s">
        <v>573</v>
      </c>
      <c r="Q9" s="29" t="s">
        <v>2200</v>
      </c>
      <c r="R9" s="29" t="s">
        <v>2201</v>
      </c>
      <c r="S9" s="181">
        <v>33888</v>
      </c>
      <c r="T9" s="88">
        <f ca="1" t="shared" si="1"/>
        <v>34</v>
      </c>
      <c r="U9" s="29" t="s">
        <v>1734</v>
      </c>
      <c r="V9" s="29" t="s">
        <v>2193</v>
      </c>
      <c r="W9" s="29" t="s">
        <v>2194</v>
      </c>
      <c r="X9" s="29" t="s">
        <v>51</v>
      </c>
      <c r="Y9" s="29"/>
      <c r="Z9" s="29" t="s">
        <v>51</v>
      </c>
      <c r="AA9" s="29"/>
      <c r="AB9" s="29" t="s">
        <v>121</v>
      </c>
      <c r="AC9" s="29"/>
      <c r="AD9" s="29"/>
      <c r="AE9" s="29" t="s">
        <v>2092</v>
      </c>
      <c r="AF9" s="29" t="s">
        <v>2195</v>
      </c>
      <c r="AG9" s="29"/>
      <c r="AH9" s="29"/>
      <c r="AI9" s="29" t="s">
        <v>2196</v>
      </c>
      <c r="AJ9" s="29"/>
      <c r="AK9" s="29"/>
      <c r="AL9" s="29"/>
      <c r="AM9" s="29"/>
      <c r="AN9" s="29"/>
      <c r="AO9" s="29"/>
      <c r="AP9" s="29" t="s">
        <v>2197</v>
      </c>
      <c r="AQ9" s="29" t="s">
        <v>625</v>
      </c>
      <c r="AR9" s="29" t="s">
        <v>949</v>
      </c>
      <c r="AS9" s="29" t="s">
        <v>2198</v>
      </c>
    </row>
    <row r="10" ht="14.4" spans="1:45">
      <c r="A10" s="29"/>
      <c r="B10" s="29"/>
      <c r="C10" s="29"/>
      <c r="D10" s="29" t="s">
        <v>79</v>
      </c>
      <c r="E10" s="29" t="s">
        <v>2181</v>
      </c>
      <c r="F10" s="29" t="s">
        <v>2182</v>
      </c>
      <c r="G10" s="29"/>
      <c r="H10" s="29" t="s">
        <v>81</v>
      </c>
      <c r="I10" s="27" t="str">
        <f t="shared" si="0"/>
        <v>Alcantara, Axel</v>
      </c>
      <c r="J10" s="29" t="s">
        <v>2202</v>
      </c>
      <c r="K10" s="29" t="s">
        <v>2203</v>
      </c>
      <c r="L10" s="29"/>
      <c r="M10" s="29" t="s">
        <v>1642</v>
      </c>
      <c r="N10" s="29"/>
      <c r="O10" s="29"/>
      <c r="P10" s="29"/>
      <c r="Q10" s="29"/>
      <c r="R10" s="29"/>
      <c r="S10" s="181"/>
      <c r="T10" s="88" t="str">
        <f ca="1" t="shared" si="1"/>
        <v/>
      </c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</row>
    <row r="11" ht="14.4" spans="1:45">
      <c r="A11" s="29"/>
      <c r="B11" s="29"/>
      <c r="C11" s="29"/>
      <c r="D11" s="29" t="s">
        <v>79</v>
      </c>
      <c r="E11" s="29" t="s">
        <v>2184</v>
      </c>
      <c r="F11" s="29" t="s">
        <v>2185</v>
      </c>
      <c r="G11" s="29"/>
      <c r="H11" s="29" t="s">
        <v>81</v>
      </c>
      <c r="I11" s="27" t="str">
        <f t="shared" si="0"/>
        <v>Alcoriza, Renalyn</v>
      </c>
      <c r="J11" s="29" t="s">
        <v>127</v>
      </c>
      <c r="K11" s="29" t="s">
        <v>2204</v>
      </c>
      <c r="L11" s="29"/>
      <c r="M11" s="29" t="s">
        <v>57</v>
      </c>
      <c r="N11" s="29"/>
      <c r="O11" s="29"/>
      <c r="P11" s="29"/>
      <c r="Q11" s="29"/>
      <c r="R11" s="29"/>
      <c r="S11" s="181"/>
      <c r="T11" s="88" t="str">
        <f ca="1" t="shared" si="1"/>
        <v/>
      </c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</row>
    <row r="12" ht="14.4" spans="1:45">
      <c r="A12" s="29"/>
      <c r="B12" s="29"/>
      <c r="C12" s="29"/>
      <c r="D12" s="29" t="s">
        <v>79</v>
      </c>
      <c r="E12" s="29" t="s">
        <v>2184</v>
      </c>
      <c r="F12" s="29" t="s">
        <v>2205</v>
      </c>
      <c r="G12" s="29"/>
      <c r="H12" s="29" t="s">
        <v>81</v>
      </c>
      <c r="I12" s="27" t="str">
        <f t="shared" si="0"/>
        <v>Alister, Jun</v>
      </c>
      <c r="J12" s="29" t="s">
        <v>2206</v>
      </c>
      <c r="K12" s="29" t="s">
        <v>2207</v>
      </c>
      <c r="L12" s="29"/>
      <c r="M12" s="29" t="s">
        <v>1642</v>
      </c>
      <c r="N12" s="29"/>
      <c r="O12" s="29"/>
      <c r="P12" s="29"/>
      <c r="Q12" s="29"/>
      <c r="R12" s="29"/>
      <c r="S12" s="181"/>
      <c r="T12" s="88" t="str">
        <f ca="1" t="shared" si="1"/>
        <v/>
      </c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</row>
    <row r="13" ht="14.4" spans="1:45">
      <c r="A13" s="29"/>
      <c r="B13" s="29"/>
      <c r="C13" s="29"/>
      <c r="D13" s="29" t="s">
        <v>79</v>
      </c>
      <c r="E13" s="29" t="s">
        <v>2181</v>
      </c>
      <c r="F13" s="29" t="s">
        <v>1742</v>
      </c>
      <c r="G13" s="29"/>
      <c r="H13" s="29" t="s">
        <v>81</v>
      </c>
      <c r="I13" s="27" t="str">
        <f t="shared" si="0"/>
        <v>Amplogio, Zhoilo</v>
      </c>
      <c r="J13" s="29" t="s">
        <v>179</v>
      </c>
      <c r="K13" s="29" t="s">
        <v>2208</v>
      </c>
      <c r="L13" s="29"/>
      <c r="M13" s="29" t="s">
        <v>1642</v>
      </c>
      <c r="N13" s="29"/>
      <c r="O13" s="29"/>
      <c r="P13" s="29"/>
      <c r="Q13" s="29"/>
      <c r="R13" s="29"/>
      <c r="S13" s="181"/>
      <c r="T13" s="88" t="str">
        <f ca="1" t="shared" si="1"/>
        <v/>
      </c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</row>
    <row r="14" ht="14.4" spans="1:45">
      <c r="A14" s="29"/>
      <c r="B14" s="29"/>
      <c r="C14" s="29"/>
      <c r="D14" s="29" t="s">
        <v>79</v>
      </c>
      <c r="E14" s="29" t="s">
        <v>2181</v>
      </c>
      <c r="F14" s="29" t="s">
        <v>1742</v>
      </c>
      <c r="G14" s="29"/>
      <c r="H14" s="29" t="s">
        <v>81</v>
      </c>
      <c r="I14" s="27" t="str">
        <f t="shared" si="0"/>
        <v>Amplogio, Harvey</v>
      </c>
      <c r="J14" s="29" t="s">
        <v>179</v>
      </c>
      <c r="K14" s="29" t="s">
        <v>2004</v>
      </c>
      <c r="L14" s="29"/>
      <c r="M14" s="29" t="s">
        <v>1642</v>
      </c>
      <c r="N14" s="29"/>
      <c r="O14" s="29"/>
      <c r="P14" s="29"/>
      <c r="Q14" s="29"/>
      <c r="R14" s="29"/>
      <c r="S14" s="181"/>
      <c r="T14" s="88" t="str">
        <f ca="1" t="shared" si="1"/>
        <v/>
      </c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</row>
    <row r="15" ht="14.4" spans="1:45">
      <c r="A15" s="29"/>
      <c r="B15" s="29"/>
      <c r="C15" s="29"/>
      <c r="D15" s="29" t="s">
        <v>79</v>
      </c>
      <c r="E15" s="29" t="s">
        <v>2184</v>
      </c>
      <c r="F15" s="29" t="s">
        <v>2182</v>
      </c>
      <c r="G15" s="29"/>
      <c r="H15" s="29" t="s">
        <v>81</v>
      </c>
      <c r="I15" s="27" t="str">
        <f t="shared" si="0"/>
        <v>Antonio, Froxh Zion</v>
      </c>
      <c r="J15" s="29" t="s">
        <v>2209</v>
      </c>
      <c r="K15" s="188" t="s">
        <v>2210</v>
      </c>
      <c r="L15" s="29" t="s">
        <v>2211</v>
      </c>
      <c r="M15" s="29" t="s">
        <v>1642</v>
      </c>
      <c r="N15" s="29"/>
      <c r="O15" s="29"/>
      <c r="P15" s="29"/>
      <c r="Q15" s="29"/>
      <c r="R15" s="29"/>
      <c r="S15" s="181"/>
      <c r="T15" s="88" t="str">
        <f ca="1" t="shared" si="1"/>
        <v/>
      </c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</row>
    <row r="16" ht="14.4" spans="1:45">
      <c r="A16" s="29"/>
      <c r="B16" s="29"/>
      <c r="C16" s="29"/>
      <c r="D16" s="29" t="s">
        <v>79</v>
      </c>
      <c r="E16" s="29" t="s">
        <v>2189</v>
      </c>
      <c r="F16" s="29" t="s">
        <v>2212</v>
      </c>
      <c r="G16" s="29"/>
      <c r="H16" s="29" t="s">
        <v>81</v>
      </c>
      <c r="I16" s="27" t="str">
        <f t="shared" si="0"/>
        <v>Apilada, Jairah May</v>
      </c>
      <c r="J16" s="29" t="s">
        <v>220</v>
      </c>
      <c r="K16" s="29" t="s">
        <v>2213</v>
      </c>
      <c r="L16" s="29"/>
      <c r="M16" s="29" t="s">
        <v>57</v>
      </c>
      <c r="N16" s="29" t="s">
        <v>1364</v>
      </c>
      <c r="O16" s="29" t="s">
        <v>224</v>
      </c>
      <c r="P16" s="29"/>
      <c r="Q16" s="29" t="s">
        <v>2214</v>
      </c>
      <c r="R16" s="29"/>
      <c r="S16" s="181">
        <v>39863</v>
      </c>
      <c r="T16" s="88">
        <f ca="1" t="shared" si="1"/>
        <v>17</v>
      </c>
      <c r="U16" s="29" t="s">
        <v>2215</v>
      </c>
      <c r="V16" s="29" t="s">
        <v>2216</v>
      </c>
      <c r="W16" s="29" t="s">
        <v>2217</v>
      </c>
      <c r="X16" s="29" t="s">
        <v>51</v>
      </c>
      <c r="Y16" s="181">
        <v>44394</v>
      </c>
      <c r="Z16" s="29" t="s">
        <v>51</v>
      </c>
      <c r="AA16" s="181">
        <v>44386</v>
      </c>
      <c r="AB16" s="29"/>
      <c r="AC16" s="29"/>
      <c r="AD16" s="29"/>
      <c r="AE16" s="29" t="s">
        <v>2218</v>
      </c>
      <c r="AF16" s="29" t="s">
        <v>2219</v>
      </c>
      <c r="AG16" s="29"/>
      <c r="AH16" s="29"/>
      <c r="AI16" s="29"/>
      <c r="AJ16" s="29"/>
      <c r="AK16" s="29" t="s">
        <v>2220</v>
      </c>
      <c r="AL16" s="29" t="s">
        <v>153</v>
      </c>
      <c r="AM16" s="29"/>
      <c r="AN16" s="29"/>
      <c r="AO16" s="29"/>
      <c r="AP16" s="29" t="s">
        <v>1367</v>
      </c>
      <c r="AQ16" s="29" t="s">
        <v>625</v>
      </c>
      <c r="AR16" s="29" t="s">
        <v>2221</v>
      </c>
      <c r="AS16" s="29" t="s">
        <v>235</v>
      </c>
    </row>
    <row r="17" ht="14.4" spans="1:45">
      <c r="A17" s="29"/>
      <c r="B17" s="29"/>
      <c r="C17" s="29"/>
      <c r="D17" s="29" t="s">
        <v>51</v>
      </c>
      <c r="E17" s="29" t="s">
        <v>2184</v>
      </c>
      <c r="F17" s="29" t="s">
        <v>2212</v>
      </c>
      <c r="G17" s="29"/>
      <c r="H17" s="29" t="s">
        <v>81</v>
      </c>
      <c r="I17" s="27" t="str">
        <f t="shared" si="0"/>
        <v>Apilada, Arman Angelo</v>
      </c>
      <c r="J17" s="29" t="s">
        <v>220</v>
      </c>
      <c r="K17" s="29" t="s">
        <v>2222</v>
      </c>
      <c r="L17" s="29" t="s">
        <v>222</v>
      </c>
      <c r="M17" s="29" t="s">
        <v>1642</v>
      </c>
      <c r="N17" s="29" t="s">
        <v>223</v>
      </c>
      <c r="O17" s="29" t="s">
        <v>224</v>
      </c>
      <c r="P17" s="29" t="s">
        <v>1653</v>
      </c>
      <c r="Q17" s="29" t="s">
        <v>2223</v>
      </c>
      <c r="R17" s="29"/>
      <c r="S17" s="181">
        <v>37645</v>
      </c>
      <c r="T17" s="88">
        <f ca="1" t="shared" si="1"/>
        <v>23</v>
      </c>
      <c r="U17" s="29" t="s">
        <v>123</v>
      </c>
      <c r="V17" s="29" t="s">
        <v>1367</v>
      </c>
      <c r="W17" s="29" t="s">
        <v>1368</v>
      </c>
      <c r="X17" s="29" t="s">
        <v>51</v>
      </c>
      <c r="Y17" s="29"/>
      <c r="Z17" s="29" t="s">
        <v>51</v>
      </c>
      <c r="AA17" s="181"/>
      <c r="AB17" s="29" t="s">
        <v>121</v>
      </c>
      <c r="AC17" s="29"/>
      <c r="AD17" s="29"/>
      <c r="AE17" s="29" t="s">
        <v>2224</v>
      </c>
      <c r="AF17" s="29" t="s">
        <v>2195</v>
      </c>
      <c r="AG17" s="29"/>
      <c r="AH17" s="29"/>
      <c r="AI17" s="29"/>
      <c r="AJ17" s="29"/>
      <c r="AK17" s="29" t="s">
        <v>446</v>
      </c>
      <c r="AL17" s="29"/>
      <c r="AM17" s="29" t="s">
        <v>2225</v>
      </c>
      <c r="AN17" s="29"/>
      <c r="AO17" s="29"/>
      <c r="AP17" s="29" t="s">
        <v>1367</v>
      </c>
      <c r="AQ17" s="29" t="s">
        <v>625</v>
      </c>
      <c r="AR17" s="29" t="s">
        <v>29</v>
      </c>
      <c r="AS17" s="29" t="s">
        <v>235</v>
      </c>
    </row>
    <row r="18" ht="14.4" spans="1:45">
      <c r="A18" s="29"/>
      <c r="B18" s="29"/>
      <c r="C18" s="29"/>
      <c r="D18" s="29" t="s">
        <v>79</v>
      </c>
      <c r="E18" s="29"/>
      <c r="F18" s="29"/>
      <c r="G18" s="29"/>
      <c r="H18" s="29"/>
      <c r="I18" s="27" t="str">
        <f t="shared" si="0"/>
        <v>Apilada, Arbie</v>
      </c>
      <c r="J18" s="29" t="s">
        <v>220</v>
      </c>
      <c r="K18" s="29" t="s">
        <v>2226</v>
      </c>
      <c r="L18" s="29"/>
      <c r="M18" s="29" t="s">
        <v>57</v>
      </c>
      <c r="N18" s="29" t="s">
        <v>2227</v>
      </c>
      <c r="O18" s="29" t="s">
        <v>224</v>
      </c>
      <c r="P18" s="29" t="s">
        <v>1365</v>
      </c>
      <c r="Q18" s="29" t="s">
        <v>2228</v>
      </c>
      <c r="R18" s="29" t="s">
        <v>2229</v>
      </c>
      <c r="S18" s="181"/>
      <c r="T18" s="88" t="str">
        <f ca="1" t="shared" si="1"/>
        <v/>
      </c>
      <c r="U18" s="181" t="s">
        <v>1365</v>
      </c>
      <c r="V18" s="29" t="s">
        <v>1367</v>
      </c>
      <c r="W18" s="29" t="s">
        <v>1368</v>
      </c>
      <c r="X18" s="29" t="s">
        <v>51</v>
      </c>
      <c r="Y18" s="181">
        <v>37605</v>
      </c>
      <c r="Z18" s="29" t="s">
        <v>51</v>
      </c>
      <c r="AA18" s="181">
        <v>37652</v>
      </c>
      <c r="AB18" s="29"/>
      <c r="AC18" s="29"/>
      <c r="AD18" s="29"/>
      <c r="AE18" s="29" t="s">
        <v>2092</v>
      </c>
      <c r="AF18" s="29" t="s">
        <v>2195</v>
      </c>
      <c r="AG18" s="29"/>
      <c r="AH18" s="29" t="s">
        <v>2230</v>
      </c>
      <c r="AI18" s="29"/>
      <c r="AJ18" s="29"/>
      <c r="AK18" s="29" t="s">
        <v>190</v>
      </c>
      <c r="AL18" s="29" t="s">
        <v>153</v>
      </c>
      <c r="AM18" s="29"/>
      <c r="AN18" s="29">
        <v>1</v>
      </c>
      <c r="AO18" s="29">
        <v>1</v>
      </c>
      <c r="AP18" s="29" t="s">
        <v>1367</v>
      </c>
      <c r="AQ18" s="29" t="s">
        <v>625</v>
      </c>
      <c r="AR18" s="29" t="s">
        <v>29</v>
      </c>
      <c r="AS18" s="29" t="s">
        <v>235</v>
      </c>
    </row>
    <row r="19" ht="14.4" spans="1:45">
      <c r="A19" s="29"/>
      <c r="B19" s="29"/>
      <c r="C19" s="29"/>
      <c r="D19" s="29" t="s">
        <v>79</v>
      </c>
      <c r="E19" s="29" t="s">
        <v>2181</v>
      </c>
      <c r="F19" s="29" t="s">
        <v>2231</v>
      </c>
      <c r="G19" s="29"/>
      <c r="H19" s="29" t="s">
        <v>81</v>
      </c>
      <c r="I19" s="27" t="str">
        <f t="shared" si="0"/>
        <v>Apolinario, Troy Kenneth</v>
      </c>
      <c r="J19" s="29" t="s">
        <v>2232</v>
      </c>
      <c r="K19" s="29" t="s">
        <v>2233</v>
      </c>
      <c r="L19" s="29"/>
      <c r="M19" s="29" t="s">
        <v>1642</v>
      </c>
      <c r="N19" s="29"/>
      <c r="O19" s="29"/>
      <c r="P19" s="29"/>
      <c r="Q19" s="29"/>
      <c r="R19" s="29"/>
      <c r="S19" s="181"/>
      <c r="T19" s="88" t="str">
        <f ca="1" t="shared" si="1"/>
        <v/>
      </c>
      <c r="U19" s="29"/>
      <c r="V19" s="29"/>
      <c r="W19" s="29"/>
      <c r="X19" s="29"/>
      <c r="Y19" s="29"/>
      <c r="Z19" s="29"/>
      <c r="AA19" s="181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</row>
    <row r="20" ht="14.4" spans="1:45">
      <c r="A20" s="29"/>
      <c r="B20" s="29"/>
      <c r="C20" s="29"/>
      <c r="D20" s="29" t="s">
        <v>51</v>
      </c>
      <c r="E20" s="29"/>
      <c r="F20" s="29"/>
      <c r="G20" s="29"/>
      <c r="H20" s="29"/>
      <c r="I20" s="27" t="str">
        <f t="shared" si="0"/>
        <v>Augusto, Guillian</v>
      </c>
      <c r="J20" s="29" t="s">
        <v>2234</v>
      </c>
      <c r="K20" s="29" t="s">
        <v>2235</v>
      </c>
      <c r="L20" s="29" t="s">
        <v>554</v>
      </c>
      <c r="M20" s="29" t="s">
        <v>57</v>
      </c>
      <c r="N20" s="29"/>
      <c r="O20" s="29" t="s">
        <v>2236</v>
      </c>
      <c r="P20" s="29" t="s">
        <v>2237</v>
      </c>
      <c r="Q20" s="29" t="s">
        <v>2238</v>
      </c>
      <c r="R20" s="12" t="s">
        <v>2239</v>
      </c>
      <c r="S20" s="181">
        <v>36910</v>
      </c>
      <c r="T20" s="88">
        <f ca="1" t="shared" si="1"/>
        <v>25</v>
      </c>
      <c r="U20" s="29" t="s">
        <v>2237</v>
      </c>
      <c r="V20" s="29" t="s">
        <v>2240</v>
      </c>
      <c r="W20" s="29" t="s">
        <v>2241</v>
      </c>
      <c r="X20" s="29" t="s">
        <v>51</v>
      </c>
      <c r="Y20" s="181">
        <v>42005</v>
      </c>
      <c r="Z20" s="29" t="s">
        <v>51</v>
      </c>
      <c r="AA20" s="29"/>
      <c r="AB20" s="29"/>
      <c r="AC20" s="29" t="s">
        <v>2242</v>
      </c>
      <c r="AD20" s="29" t="s">
        <v>2243</v>
      </c>
      <c r="AE20" s="29" t="s">
        <v>188</v>
      </c>
      <c r="AF20" s="29" t="s">
        <v>2244</v>
      </c>
      <c r="AG20" s="29"/>
      <c r="AH20" s="29" t="s">
        <v>2245</v>
      </c>
      <c r="AI20" s="29" t="s">
        <v>2246</v>
      </c>
      <c r="AJ20" s="29"/>
      <c r="AK20" s="29" t="s">
        <v>1704</v>
      </c>
      <c r="AL20" s="29" t="s">
        <v>72</v>
      </c>
      <c r="AM20" s="29" t="s">
        <v>2247</v>
      </c>
      <c r="AN20" s="29">
        <v>1</v>
      </c>
      <c r="AO20" s="29">
        <v>5</v>
      </c>
      <c r="AP20" s="29" t="s">
        <v>2248</v>
      </c>
      <c r="AQ20" s="29" t="s">
        <v>625</v>
      </c>
      <c r="AR20" s="29" t="s">
        <v>2249</v>
      </c>
      <c r="AS20" s="29" t="s">
        <v>2250</v>
      </c>
    </row>
    <row r="21" ht="15.75" customHeight="1" spans="1:45">
      <c r="A21" s="29"/>
      <c r="B21" s="29"/>
      <c r="C21" s="29"/>
      <c r="D21" s="29" t="s">
        <v>79</v>
      </c>
      <c r="E21" s="29" t="s">
        <v>2189</v>
      </c>
      <c r="F21" s="29" t="s">
        <v>1648</v>
      </c>
      <c r="G21" s="29"/>
      <c r="H21" s="29" t="s">
        <v>81</v>
      </c>
      <c r="I21" s="27" t="str">
        <f t="shared" si="0"/>
        <v>Ayungo III, Martin Aileslee </v>
      </c>
      <c r="J21" s="29" t="s">
        <v>2251</v>
      </c>
      <c r="K21" s="29" t="s">
        <v>2252</v>
      </c>
      <c r="L21" s="29" t="s">
        <v>222</v>
      </c>
      <c r="M21" s="29" t="s">
        <v>1642</v>
      </c>
      <c r="N21" s="29"/>
      <c r="O21" s="29"/>
      <c r="P21" s="29"/>
      <c r="Q21" s="29"/>
      <c r="R21" s="29"/>
      <c r="S21" s="181"/>
      <c r="T21" s="88" t="str">
        <f ca="1" t="shared" si="1"/>
        <v/>
      </c>
      <c r="U21" s="29"/>
      <c r="V21" s="29"/>
      <c r="W21" s="29"/>
      <c r="X21" s="29"/>
      <c r="Y21" s="29"/>
      <c r="Z21" s="29"/>
      <c r="AA21" s="181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</row>
    <row r="22" ht="15.75" customHeight="1" spans="1:45">
      <c r="A22" s="29"/>
      <c r="B22" s="29"/>
      <c r="C22" s="29"/>
      <c r="D22" s="29" t="s">
        <v>51</v>
      </c>
      <c r="E22" s="29" t="s">
        <v>2189</v>
      </c>
      <c r="F22" s="29" t="s">
        <v>1648</v>
      </c>
      <c r="G22" s="29"/>
      <c r="H22" s="29" t="s">
        <v>126</v>
      </c>
      <c r="I22" s="27" t="str">
        <f t="shared" si="0"/>
        <v>Badilla, Hervie Kate</v>
      </c>
      <c r="J22" s="29" t="s">
        <v>2253</v>
      </c>
      <c r="K22" s="29" t="s">
        <v>2254</v>
      </c>
      <c r="L22" s="29"/>
      <c r="M22" s="29" t="s">
        <v>57</v>
      </c>
      <c r="N22" s="29" t="s">
        <v>2255</v>
      </c>
      <c r="O22" s="189" t="s">
        <v>298</v>
      </c>
      <c r="P22" s="29" t="s">
        <v>298</v>
      </c>
      <c r="Q22" s="29" t="s">
        <v>2256</v>
      </c>
      <c r="R22" s="29" t="s">
        <v>2257</v>
      </c>
      <c r="S22" s="181">
        <v>36822</v>
      </c>
      <c r="T22" s="88">
        <f ca="1" t="shared" si="1"/>
        <v>26</v>
      </c>
      <c r="U22" s="29"/>
      <c r="V22" s="29" t="s">
        <v>2258</v>
      </c>
      <c r="W22" s="29" t="s">
        <v>303</v>
      </c>
      <c r="X22" s="29" t="s">
        <v>51</v>
      </c>
      <c r="Y22" s="235" t="s">
        <v>2259</v>
      </c>
      <c r="Z22" s="29" t="s">
        <v>51</v>
      </c>
      <c r="AA22" s="181" t="s">
        <v>2260</v>
      </c>
      <c r="AB22" s="29"/>
      <c r="AC22" s="29"/>
      <c r="AD22" s="29"/>
      <c r="AE22" s="29" t="s">
        <v>2261</v>
      </c>
      <c r="AF22" s="29"/>
      <c r="AG22" s="29"/>
      <c r="AH22" s="29" t="s">
        <v>1741</v>
      </c>
      <c r="AI22" s="29" t="s">
        <v>172</v>
      </c>
      <c r="AJ22" s="29"/>
      <c r="AK22" s="29" t="s">
        <v>446</v>
      </c>
      <c r="AL22" s="29" t="s">
        <v>305</v>
      </c>
      <c r="AM22" s="29" t="s">
        <v>154</v>
      </c>
      <c r="AN22" s="29">
        <v>10</v>
      </c>
      <c r="AO22" s="29">
        <v>10</v>
      </c>
      <c r="AP22" s="29" t="s">
        <v>303</v>
      </c>
      <c r="AQ22" s="29" t="s">
        <v>625</v>
      </c>
      <c r="AR22" s="29" t="s">
        <v>30</v>
      </c>
      <c r="AS22" s="29"/>
    </row>
    <row r="23" ht="15.75" customHeight="1" spans="1:45">
      <c r="A23" s="29"/>
      <c r="B23" s="29"/>
      <c r="C23" s="29"/>
      <c r="D23" s="29" t="s">
        <v>51</v>
      </c>
      <c r="E23" s="29"/>
      <c r="F23" s="29"/>
      <c r="G23" s="29"/>
      <c r="H23" s="29"/>
      <c r="I23" s="27" t="str">
        <f t="shared" si="0"/>
        <v>Bagaoisan, Divine Mercy</v>
      </c>
      <c r="J23" s="29" t="s">
        <v>2262</v>
      </c>
      <c r="K23" s="29" t="s">
        <v>2263</v>
      </c>
      <c r="L23" s="29" t="s">
        <v>493</v>
      </c>
      <c r="M23" s="29" t="s">
        <v>57</v>
      </c>
      <c r="N23" s="29" t="s">
        <v>2264</v>
      </c>
      <c r="O23" s="29"/>
      <c r="P23" s="29" t="s">
        <v>2265</v>
      </c>
      <c r="Q23" s="29" t="s">
        <v>2266</v>
      </c>
      <c r="R23" s="12" t="s">
        <v>2267</v>
      </c>
      <c r="S23" s="181">
        <v>39325</v>
      </c>
      <c r="T23" s="88">
        <f ca="1" t="shared" si="1"/>
        <v>19</v>
      </c>
      <c r="U23" s="29" t="s">
        <v>2265</v>
      </c>
      <c r="V23" s="29" t="s">
        <v>2268</v>
      </c>
      <c r="W23" s="29" t="s">
        <v>2269</v>
      </c>
      <c r="X23" s="29" t="s">
        <v>51</v>
      </c>
      <c r="Y23" s="181">
        <v>42102</v>
      </c>
      <c r="Z23" s="29" t="s">
        <v>51</v>
      </c>
      <c r="AA23" s="181">
        <v>42106</v>
      </c>
      <c r="AB23" s="29"/>
      <c r="AC23" s="29" t="s">
        <v>2270</v>
      </c>
      <c r="AD23" s="29" t="s">
        <v>2271</v>
      </c>
      <c r="AE23" s="29" t="s">
        <v>2092</v>
      </c>
      <c r="AF23" s="29" t="s">
        <v>2195</v>
      </c>
      <c r="AG23" s="29"/>
      <c r="AH23" s="29"/>
      <c r="AI23" s="29" t="s">
        <v>2246</v>
      </c>
      <c r="AJ23" s="29"/>
      <c r="AK23" s="29" t="s">
        <v>268</v>
      </c>
      <c r="AL23" s="29" t="s">
        <v>305</v>
      </c>
      <c r="AM23" s="29" t="s">
        <v>154</v>
      </c>
      <c r="AN23" s="29">
        <v>8</v>
      </c>
      <c r="AO23" s="29">
        <v>3</v>
      </c>
      <c r="AP23" s="29" t="s">
        <v>2268</v>
      </c>
      <c r="AQ23" s="29" t="s">
        <v>2265</v>
      </c>
      <c r="AR23" s="29" t="s">
        <v>29</v>
      </c>
      <c r="AS23" s="29" t="s">
        <v>2272</v>
      </c>
    </row>
    <row r="24" ht="15.75" customHeight="1" spans="1:45">
      <c r="A24" s="29"/>
      <c r="B24" s="29"/>
      <c r="C24" s="29"/>
      <c r="D24" s="29" t="s">
        <v>79</v>
      </c>
      <c r="E24" s="29"/>
      <c r="F24" s="29"/>
      <c r="G24" s="29"/>
      <c r="H24" s="29"/>
      <c r="I24" s="27" t="str">
        <f t="shared" si="0"/>
        <v>Baldoz, King Stevenlee</v>
      </c>
      <c r="J24" s="29" t="s">
        <v>2273</v>
      </c>
      <c r="K24" s="29" t="s">
        <v>2274</v>
      </c>
      <c r="L24" s="29" t="s">
        <v>161</v>
      </c>
      <c r="M24" s="29" t="s">
        <v>1642</v>
      </c>
      <c r="N24" s="29"/>
      <c r="O24" s="29"/>
      <c r="P24" s="29" t="s">
        <v>2275</v>
      </c>
      <c r="Q24" s="29" t="s">
        <v>2276</v>
      </c>
      <c r="R24" s="29"/>
      <c r="S24" s="181">
        <v>38217</v>
      </c>
      <c r="T24" s="88">
        <f ca="1" t="shared" si="1"/>
        <v>22</v>
      </c>
      <c r="U24" s="29" t="s">
        <v>2277</v>
      </c>
      <c r="V24" s="29" t="s">
        <v>2278</v>
      </c>
      <c r="W24" s="29" t="s">
        <v>2279</v>
      </c>
      <c r="X24" s="29" t="s">
        <v>51</v>
      </c>
      <c r="Y24" s="181">
        <v>43330</v>
      </c>
      <c r="Z24" s="29" t="s">
        <v>51</v>
      </c>
      <c r="AA24" s="181"/>
      <c r="AB24" s="29"/>
      <c r="AC24" s="29" t="s">
        <v>2280</v>
      </c>
      <c r="AD24" s="29" t="s">
        <v>2281</v>
      </c>
      <c r="AE24" s="29" t="s">
        <v>2282</v>
      </c>
      <c r="AF24" s="29" t="s">
        <v>2244</v>
      </c>
      <c r="AG24" s="29"/>
      <c r="AH24" s="29"/>
      <c r="AI24" s="29"/>
      <c r="AJ24" s="29"/>
      <c r="AK24" s="29" t="s">
        <v>2283</v>
      </c>
      <c r="AL24" s="29" t="s">
        <v>305</v>
      </c>
      <c r="AM24" s="29" t="s">
        <v>154</v>
      </c>
      <c r="AN24" s="29">
        <v>3</v>
      </c>
      <c r="AO24" s="29">
        <v>5</v>
      </c>
      <c r="AP24" s="29" t="s">
        <v>2284</v>
      </c>
      <c r="AQ24" s="29" t="s">
        <v>625</v>
      </c>
      <c r="AR24" s="29" t="s">
        <v>194</v>
      </c>
      <c r="AS24" s="29" t="s">
        <v>2285</v>
      </c>
    </row>
    <row r="25" ht="15.75" customHeight="1" spans="1:45">
      <c r="A25" s="29"/>
      <c r="B25" s="29"/>
      <c r="C25" s="29"/>
      <c r="D25" s="29" t="s">
        <v>51</v>
      </c>
      <c r="E25" s="29" t="s">
        <v>2181</v>
      </c>
      <c r="F25" s="29" t="s">
        <v>2286</v>
      </c>
      <c r="G25" s="29"/>
      <c r="H25" s="29" t="s">
        <v>81</v>
      </c>
      <c r="I25" s="27" t="str">
        <f t="shared" si="0"/>
        <v>Balinggan, Jadden Tredway</v>
      </c>
      <c r="J25" s="29" t="s">
        <v>330</v>
      </c>
      <c r="K25" s="29" t="s">
        <v>2287</v>
      </c>
      <c r="L25" s="29"/>
      <c r="M25" s="29" t="s">
        <v>1642</v>
      </c>
      <c r="N25" s="29" t="s">
        <v>2288</v>
      </c>
      <c r="O25" s="29" t="s">
        <v>334</v>
      </c>
      <c r="P25" s="29"/>
      <c r="Q25" s="29" t="s">
        <v>2289</v>
      </c>
      <c r="R25" s="29"/>
      <c r="S25" s="181">
        <v>40957</v>
      </c>
      <c r="T25" s="88">
        <f ca="1" t="shared" si="1"/>
        <v>14</v>
      </c>
      <c r="U25" s="29" t="s">
        <v>123</v>
      </c>
      <c r="V25" s="29" t="s">
        <v>345</v>
      </c>
      <c r="W25" s="29" t="s">
        <v>2290</v>
      </c>
      <c r="X25" s="29" t="s">
        <v>51</v>
      </c>
      <c r="Y25" s="181">
        <v>45704</v>
      </c>
      <c r="Z25" s="29" t="s">
        <v>51</v>
      </c>
      <c r="AA25" s="181"/>
      <c r="AB25" s="29"/>
      <c r="AC25" s="29"/>
      <c r="AD25" s="29"/>
      <c r="AE25" s="29" t="s">
        <v>2291</v>
      </c>
      <c r="AF25" s="29" t="s">
        <v>2244</v>
      </c>
      <c r="AG25" s="29"/>
      <c r="AH25" s="29"/>
      <c r="AI25" s="29"/>
      <c r="AJ25" s="29"/>
      <c r="AK25" s="29"/>
      <c r="AL25" s="29" t="s">
        <v>2292</v>
      </c>
      <c r="AM25" s="29"/>
      <c r="AN25" s="29"/>
      <c r="AO25" s="29"/>
      <c r="AP25" s="29" t="s">
        <v>2290</v>
      </c>
      <c r="AQ25" s="29" t="s">
        <v>625</v>
      </c>
      <c r="AR25" s="29" t="s">
        <v>30</v>
      </c>
      <c r="AS25" s="29" t="s">
        <v>2293</v>
      </c>
    </row>
    <row r="26" ht="15.75" customHeight="1" spans="1:45">
      <c r="A26" s="29"/>
      <c r="B26" s="29"/>
      <c r="C26" s="29"/>
      <c r="D26" s="29" t="s">
        <v>79</v>
      </c>
      <c r="E26" s="29" t="s">
        <v>2181</v>
      </c>
      <c r="F26" s="29" t="s">
        <v>2231</v>
      </c>
      <c r="G26" s="29"/>
      <c r="H26" s="29" t="s">
        <v>81</v>
      </c>
      <c r="I26" s="27" t="str">
        <f t="shared" si="0"/>
        <v>Balinggan, Gabrielle Troi</v>
      </c>
      <c r="J26" s="29" t="s">
        <v>330</v>
      </c>
      <c r="K26" s="29" t="s">
        <v>2294</v>
      </c>
      <c r="L26" s="29" t="s">
        <v>818</v>
      </c>
      <c r="M26" s="29" t="s">
        <v>57</v>
      </c>
      <c r="N26" s="29"/>
      <c r="O26" s="29"/>
      <c r="P26" s="29"/>
      <c r="Q26" s="29"/>
      <c r="R26" s="29"/>
      <c r="S26" s="181"/>
      <c r="T26" s="88" t="str">
        <f ca="1" t="shared" si="1"/>
        <v/>
      </c>
      <c r="U26" s="29"/>
      <c r="V26" s="29"/>
      <c r="W26" s="29"/>
      <c r="X26" s="29"/>
      <c r="Y26" s="29"/>
      <c r="Z26" s="29"/>
      <c r="AA26" s="181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</row>
    <row r="27" ht="15.75" customHeight="1" spans="1:45">
      <c r="A27" s="29"/>
      <c r="B27" s="29"/>
      <c r="C27" s="29"/>
      <c r="D27" s="29" t="s">
        <v>79</v>
      </c>
      <c r="E27" s="29"/>
      <c r="F27" s="29"/>
      <c r="G27" s="29"/>
      <c r="H27" s="29"/>
      <c r="I27" s="27" t="str">
        <f t="shared" si="0"/>
        <v>Balneg, Queen Crystalie</v>
      </c>
      <c r="J27" s="29" t="s">
        <v>364</v>
      </c>
      <c r="K27" s="29" t="s">
        <v>2295</v>
      </c>
      <c r="L27" s="29" t="s">
        <v>366</v>
      </c>
      <c r="M27" s="29" t="s">
        <v>57</v>
      </c>
      <c r="N27" s="29" t="s">
        <v>2296</v>
      </c>
      <c r="O27" s="29" t="s">
        <v>368</v>
      </c>
      <c r="P27" s="29" t="s">
        <v>426</v>
      </c>
      <c r="Q27" s="29" t="s">
        <v>379</v>
      </c>
      <c r="R27" s="29"/>
      <c r="S27" s="181">
        <v>40641</v>
      </c>
      <c r="T27" s="88">
        <f ca="1" t="shared" si="1"/>
        <v>15</v>
      </c>
      <c r="U27" s="29"/>
      <c r="V27" s="29" t="s">
        <v>375</v>
      </c>
      <c r="W27" s="29" t="s">
        <v>2297</v>
      </c>
      <c r="X27" s="29" t="s">
        <v>51</v>
      </c>
      <c r="Y27" s="181">
        <v>45697</v>
      </c>
      <c r="Z27" s="29"/>
      <c r="AA27" s="181"/>
      <c r="AB27" s="29"/>
      <c r="AC27" s="29"/>
      <c r="AD27" s="29"/>
      <c r="AE27" s="29" t="s">
        <v>2298</v>
      </c>
      <c r="AF27" s="29" t="s">
        <v>2299</v>
      </c>
      <c r="AG27" s="29"/>
      <c r="AH27" s="29"/>
      <c r="AI27" s="29"/>
      <c r="AJ27" s="29"/>
      <c r="AK27" s="29" t="s">
        <v>446</v>
      </c>
      <c r="AL27" s="29"/>
      <c r="AM27" s="29" t="s">
        <v>2300</v>
      </c>
      <c r="AN27" s="29"/>
      <c r="AO27" s="29"/>
      <c r="AP27" s="29" t="s">
        <v>2301</v>
      </c>
      <c r="AQ27" s="29" t="s">
        <v>625</v>
      </c>
      <c r="AR27" s="29" t="s">
        <v>30</v>
      </c>
      <c r="AS27" s="29" t="s">
        <v>2302</v>
      </c>
    </row>
    <row r="28" ht="15.75" customHeight="1" spans="1:45">
      <c r="A28" s="29"/>
      <c r="B28" s="29"/>
      <c r="C28" s="29"/>
      <c r="D28" s="29" t="s">
        <v>51</v>
      </c>
      <c r="E28" s="29" t="s">
        <v>2189</v>
      </c>
      <c r="F28" s="29" t="s">
        <v>2231</v>
      </c>
      <c r="G28" s="29"/>
      <c r="H28" s="29" t="s">
        <v>81</v>
      </c>
      <c r="I28" s="27" t="str">
        <f t="shared" si="0"/>
        <v>Bambao, Kristine Chloe</v>
      </c>
      <c r="J28" s="29" t="s">
        <v>381</v>
      </c>
      <c r="K28" s="29" t="s">
        <v>2303</v>
      </c>
      <c r="L28" s="29" t="s">
        <v>161</v>
      </c>
      <c r="M28" s="29" t="s">
        <v>57</v>
      </c>
      <c r="N28" s="29" t="s">
        <v>383</v>
      </c>
      <c r="O28" s="29" t="s">
        <v>384</v>
      </c>
      <c r="P28" s="29" t="s">
        <v>123</v>
      </c>
      <c r="Q28" s="29" t="s">
        <v>2304</v>
      </c>
      <c r="R28" s="29" t="s">
        <v>2305</v>
      </c>
      <c r="S28" s="181">
        <v>39506</v>
      </c>
      <c r="T28" s="88">
        <f ca="1" t="shared" si="1"/>
        <v>18</v>
      </c>
      <c r="U28" s="29" t="s">
        <v>123</v>
      </c>
      <c r="V28" s="29" t="s">
        <v>390</v>
      </c>
      <c r="W28" s="29" t="s">
        <v>2306</v>
      </c>
      <c r="X28" s="29" t="s">
        <v>51</v>
      </c>
      <c r="Y28" s="181">
        <v>44828</v>
      </c>
      <c r="Z28" s="29" t="s">
        <v>51</v>
      </c>
      <c r="AA28" s="181">
        <v>44647</v>
      </c>
      <c r="AB28" s="29"/>
      <c r="AC28" s="29"/>
      <c r="AD28" s="29"/>
      <c r="AE28" s="29" t="s">
        <v>2307</v>
      </c>
      <c r="AF28" s="29" t="s">
        <v>2308</v>
      </c>
      <c r="AG28" s="29" t="s">
        <v>2309</v>
      </c>
      <c r="AH28" s="29"/>
      <c r="AI28" s="29" t="s">
        <v>172</v>
      </c>
      <c r="AJ28" s="29"/>
      <c r="AK28" s="29" t="s">
        <v>2310</v>
      </c>
      <c r="AL28" s="29" t="s">
        <v>561</v>
      </c>
      <c r="AM28" s="29"/>
      <c r="AN28" s="29">
        <v>1</v>
      </c>
      <c r="AO28" s="29">
        <v>2</v>
      </c>
      <c r="AP28" s="29" t="s">
        <v>2306</v>
      </c>
      <c r="AQ28" s="29" t="s">
        <v>625</v>
      </c>
      <c r="AR28" s="29" t="s">
        <v>30</v>
      </c>
      <c r="AS28" s="29" t="s">
        <v>2311</v>
      </c>
    </row>
    <row r="29" ht="15.75" customHeight="1" spans="1:45">
      <c r="A29" s="29"/>
      <c r="B29" s="29"/>
      <c r="C29" s="29"/>
      <c r="D29" s="29" t="s">
        <v>51</v>
      </c>
      <c r="E29" s="29" t="s">
        <v>2189</v>
      </c>
      <c r="F29" s="29" t="s">
        <v>1648</v>
      </c>
      <c r="G29" s="29"/>
      <c r="H29" s="29" t="s">
        <v>81</v>
      </c>
      <c r="I29" s="27" t="str">
        <f t="shared" si="0"/>
        <v>Banaag, Geraldine Marijoe</v>
      </c>
      <c r="J29" s="29" t="s">
        <v>397</v>
      </c>
      <c r="K29" s="29" t="s">
        <v>2312</v>
      </c>
      <c r="L29" s="29" t="s">
        <v>628</v>
      </c>
      <c r="M29" s="29" t="s">
        <v>57</v>
      </c>
      <c r="N29" s="29" t="s">
        <v>2313</v>
      </c>
      <c r="O29" s="29" t="s">
        <v>399</v>
      </c>
      <c r="P29" s="29"/>
      <c r="Q29" s="29" t="s">
        <v>2314</v>
      </c>
      <c r="R29" s="29" t="s">
        <v>2315</v>
      </c>
      <c r="S29" s="181">
        <v>39730</v>
      </c>
      <c r="T29" s="88">
        <f ca="1" t="shared" si="1"/>
        <v>18</v>
      </c>
      <c r="U29" s="29" t="s">
        <v>123</v>
      </c>
      <c r="V29" s="29" t="s">
        <v>2316</v>
      </c>
      <c r="W29" s="29" t="s">
        <v>2317</v>
      </c>
      <c r="X29" s="29" t="s">
        <v>51</v>
      </c>
      <c r="Y29" s="181">
        <v>44765</v>
      </c>
      <c r="Z29" s="29" t="s">
        <v>51</v>
      </c>
      <c r="AA29" s="181">
        <v>45319</v>
      </c>
      <c r="AB29" s="29" t="s">
        <v>485</v>
      </c>
      <c r="AC29" s="29"/>
      <c r="AD29" s="29"/>
      <c r="AE29" s="29" t="s">
        <v>2318</v>
      </c>
      <c r="AF29" s="29" t="s">
        <v>2319</v>
      </c>
      <c r="AG29" s="29" t="s">
        <v>2320</v>
      </c>
      <c r="AH29" s="29"/>
      <c r="AI29" s="29" t="s">
        <v>172</v>
      </c>
      <c r="AJ29" s="29"/>
      <c r="AK29" s="29" t="s">
        <v>2321</v>
      </c>
      <c r="AL29" s="29" t="s">
        <v>305</v>
      </c>
      <c r="AM29" s="29"/>
      <c r="AN29" s="29">
        <v>1</v>
      </c>
      <c r="AO29" s="29">
        <v>3</v>
      </c>
      <c r="AP29" s="29" t="s">
        <v>2322</v>
      </c>
      <c r="AQ29" s="29" t="s">
        <v>625</v>
      </c>
      <c r="AR29" s="29" t="s">
        <v>29</v>
      </c>
      <c r="AS29" s="29" t="s">
        <v>1757</v>
      </c>
    </row>
    <row r="30" ht="15.75" customHeight="1" spans="1:45">
      <c r="A30" s="29"/>
      <c r="B30" s="29"/>
      <c r="C30" s="29"/>
      <c r="D30" s="29" t="s">
        <v>51</v>
      </c>
      <c r="E30" s="29" t="s">
        <v>2189</v>
      </c>
      <c r="F30" s="29" t="s">
        <v>1648</v>
      </c>
      <c r="G30" s="29"/>
      <c r="H30" s="29" t="s">
        <v>81</v>
      </c>
      <c r="I30" s="27" t="str">
        <f t="shared" si="0"/>
        <v>Banaag, Aldgeryne Faith</v>
      </c>
      <c r="J30" s="29" t="s">
        <v>397</v>
      </c>
      <c r="K30" s="29" t="s">
        <v>2323</v>
      </c>
      <c r="L30" s="29" t="s">
        <v>628</v>
      </c>
      <c r="M30" s="29" t="s">
        <v>57</v>
      </c>
      <c r="N30" s="29" t="s">
        <v>2313</v>
      </c>
      <c r="O30" s="29" t="s">
        <v>399</v>
      </c>
      <c r="P30" s="29"/>
      <c r="Q30" s="29" t="s">
        <v>2324</v>
      </c>
      <c r="R30" s="29" t="s">
        <v>2325</v>
      </c>
      <c r="S30" s="181">
        <v>40722</v>
      </c>
      <c r="T30" s="88">
        <f ca="1" t="shared" si="1"/>
        <v>15</v>
      </c>
      <c r="U30" s="29" t="s">
        <v>123</v>
      </c>
      <c r="V30" s="29" t="s">
        <v>2316</v>
      </c>
      <c r="W30" s="29" t="s">
        <v>2317</v>
      </c>
      <c r="X30" s="29" t="s">
        <v>51</v>
      </c>
      <c r="Y30" s="181">
        <v>44766</v>
      </c>
      <c r="Z30" s="29" t="s">
        <v>51</v>
      </c>
      <c r="AA30" s="181" t="s">
        <v>1788</v>
      </c>
      <c r="AB30" s="29" t="s">
        <v>485</v>
      </c>
      <c r="AC30" s="29"/>
      <c r="AD30" s="29"/>
      <c r="AE30" s="29" t="s">
        <v>2326</v>
      </c>
      <c r="AF30" s="29" t="s">
        <v>2319</v>
      </c>
      <c r="AG30" s="29"/>
      <c r="AH30" s="29"/>
      <c r="AI30" s="29" t="s">
        <v>2327</v>
      </c>
      <c r="AJ30" s="29"/>
      <c r="AK30" s="29" t="s">
        <v>2328</v>
      </c>
      <c r="AL30" s="29" t="s">
        <v>1902</v>
      </c>
      <c r="AM30" s="29"/>
      <c r="AN30" s="29">
        <v>1</v>
      </c>
      <c r="AO30" s="29">
        <v>0</v>
      </c>
      <c r="AP30" s="29" t="s">
        <v>2329</v>
      </c>
      <c r="AQ30" s="29" t="s">
        <v>625</v>
      </c>
      <c r="AR30" s="29" t="s">
        <v>30</v>
      </c>
      <c r="AS30" s="29" t="s">
        <v>400</v>
      </c>
    </row>
    <row r="31" ht="15.75" customHeight="1" spans="1:45">
      <c r="A31" s="29"/>
      <c r="B31" s="29"/>
      <c r="C31" s="29"/>
      <c r="D31" s="29" t="s">
        <v>79</v>
      </c>
      <c r="E31" s="29" t="s">
        <v>2189</v>
      </c>
      <c r="F31" s="29" t="s">
        <v>2286</v>
      </c>
      <c r="G31" s="29"/>
      <c r="H31" s="29" t="s">
        <v>92</v>
      </c>
      <c r="I31" s="190" t="str">
        <f t="shared" si="0"/>
        <v>Bañez, Journey Ryan</v>
      </c>
      <c r="J31" s="29" t="s">
        <v>349</v>
      </c>
      <c r="K31" s="29" t="s">
        <v>2330</v>
      </c>
      <c r="L31" s="29"/>
      <c r="M31" s="29" t="s">
        <v>1642</v>
      </c>
      <c r="N31" s="29"/>
      <c r="O31" s="29"/>
      <c r="P31" s="29"/>
      <c r="Q31" s="29"/>
      <c r="R31" s="29"/>
      <c r="S31" s="181"/>
      <c r="T31" s="88" t="str">
        <f ca="1" t="shared" si="1"/>
        <v/>
      </c>
      <c r="U31" s="29"/>
      <c r="V31" s="29"/>
      <c r="W31" s="29"/>
      <c r="X31" s="29"/>
      <c r="Y31" s="29"/>
      <c r="Z31" s="29"/>
      <c r="AA31" s="181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</row>
    <row r="32" ht="15.75" customHeight="1" spans="1:45">
      <c r="A32" s="29"/>
      <c r="B32" s="29"/>
      <c r="C32" s="29"/>
      <c r="D32" s="29" t="s">
        <v>51</v>
      </c>
      <c r="E32" s="29" t="s">
        <v>2189</v>
      </c>
      <c r="F32" s="29" t="s">
        <v>1767</v>
      </c>
      <c r="G32" s="29"/>
      <c r="H32" s="29" t="s">
        <v>126</v>
      </c>
      <c r="I32" s="27" t="str">
        <f t="shared" si="0"/>
        <v>Basilio, Gylrihs Gem</v>
      </c>
      <c r="J32" s="29" t="s">
        <v>2331</v>
      </c>
      <c r="K32" s="29" t="s">
        <v>2332</v>
      </c>
      <c r="L32" s="29" t="s">
        <v>222</v>
      </c>
      <c r="M32" s="29" t="s">
        <v>57</v>
      </c>
      <c r="N32" s="29" t="s">
        <v>2333</v>
      </c>
      <c r="O32" s="29" t="s">
        <v>163</v>
      </c>
      <c r="P32" s="29"/>
      <c r="Q32" s="29" t="s">
        <v>2334</v>
      </c>
      <c r="R32" s="29" t="s">
        <v>2335</v>
      </c>
      <c r="S32" s="181">
        <v>37852</v>
      </c>
      <c r="T32" s="88">
        <f ca="1" t="shared" si="1"/>
        <v>23</v>
      </c>
      <c r="U32" s="29" t="s">
        <v>123</v>
      </c>
      <c r="V32" s="29" t="s">
        <v>2336</v>
      </c>
      <c r="W32" s="29" t="s">
        <v>2337</v>
      </c>
      <c r="X32" s="29" t="s">
        <v>51</v>
      </c>
      <c r="Y32" s="235" t="s">
        <v>2012</v>
      </c>
      <c r="Z32" s="29" t="s">
        <v>51</v>
      </c>
      <c r="AA32" s="181" t="s">
        <v>2338</v>
      </c>
      <c r="AB32" s="29"/>
      <c r="AC32" s="29"/>
      <c r="AD32" s="29"/>
      <c r="AE32" s="29" t="s">
        <v>2339</v>
      </c>
      <c r="AF32" s="29" t="s">
        <v>2340</v>
      </c>
      <c r="AG32" s="29" t="s">
        <v>2341</v>
      </c>
      <c r="AH32" s="29"/>
      <c r="AI32" s="29" t="s">
        <v>2342</v>
      </c>
      <c r="AJ32" s="29"/>
      <c r="AK32" s="29" t="s">
        <v>2343</v>
      </c>
      <c r="AL32" s="29"/>
      <c r="AM32" s="29" t="s">
        <v>2344</v>
      </c>
      <c r="AN32" s="191" t="s">
        <v>2345</v>
      </c>
      <c r="AO32" s="191" t="s">
        <v>2346</v>
      </c>
      <c r="AP32" s="29" t="s">
        <v>527</v>
      </c>
      <c r="AQ32" s="29" t="s">
        <v>2347</v>
      </c>
      <c r="AR32" s="29" t="s">
        <v>2221</v>
      </c>
      <c r="AS32" s="29" t="s">
        <v>534</v>
      </c>
    </row>
    <row r="33" ht="15.75" customHeight="1" spans="1:45">
      <c r="A33" s="29"/>
      <c r="B33" s="29"/>
      <c r="C33" s="29"/>
      <c r="D33" s="29" t="s">
        <v>51</v>
      </c>
      <c r="E33" s="29" t="s">
        <v>2189</v>
      </c>
      <c r="F33" s="29" t="s">
        <v>2178</v>
      </c>
      <c r="G33" s="29"/>
      <c r="H33" s="29" t="s">
        <v>126</v>
      </c>
      <c r="I33" s="27" t="str">
        <f t="shared" si="0"/>
        <v>Basilio, Geryl Ann</v>
      </c>
      <c r="J33" s="29" t="s">
        <v>2331</v>
      </c>
      <c r="K33" s="29" t="s">
        <v>2348</v>
      </c>
      <c r="L33" s="29" t="s">
        <v>222</v>
      </c>
      <c r="M33" s="29" t="s">
        <v>57</v>
      </c>
      <c r="N33" s="29" t="s">
        <v>2333</v>
      </c>
      <c r="O33" s="29" t="s">
        <v>163</v>
      </c>
      <c r="P33" s="29" t="s">
        <v>1554</v>
      </c>
      <c r="Q33" s="29" t="s">
        <v>2349</v>
      </c>
      <c r="R33" s="29" t="s">
        <v>2350</v>
      </c>
      <c r="S33" s="181">
        <v>38350</v>
      </c>
      <c r="T33" s="88">
        <f ca="1" t="shared" si="1"/>
        <v>21</v>
      </c>
      <c r="U33" s="29" t="s">
        <v>123</v>
      </c>
      <c r="V33" s="29" t="s">
        <v>2336</v>
      </c>
      <c r="W33" s="29" t="s">
        <v>2337</v>
      </c>
      <c r="X33" s="29" t="s">
        <v>51</v>
      </c>
      <c r="Y33" s="235" t="s">
        <v>2351</v>
      </c>
      <c r="Z33" s="29" t="s">
        <v>51</v>
      </c>
      <c r="AA33" s="181" t="s">
        <v>2351</v>
      </c>
      <c r="AB33" s="29"/>
      <c r="AC33" s="29"/>
      <c r="AD33" s="29"/>
      <c r="AE33" s="29" t="s">
        <v>2092</v>
      </c>
      <c r="AF33" s="29" t="s">
        <v>2244</v>
      </c>
      <c r="AG33" s="29"/>
      <c r="AH33" s="29"/>
      <c r="AI33" s="29" t="s">
        <v>2352</v>
      </c>
      <c r="AJ33" s="29"/>
      <c r="AK33" s="29" t="s">
        <v>2353</v>
      </c>
      <c r="AL33" s="29"/>
      <c r="AM33" s="29"/>
      <c r="AN33" s="29" t="s">
        <v>2354</v>
      </c>
      <c r="AO33" s="29" t="s">
        <v>2354</v>
      </c>
      <c r="AP33" s="29" t="s">
        <v>2337</v>
      </c>
      <c r="AQ33" s="29"/>
      <c r="AR33" s="29" t="s">
        <v>30</v>
      </c>
      <c r="AS33" s="29" t="s">
        <v>2355</v>
      </c>
    </row>
    <row r="34" ht="15.75" customHeight="1" spans="1:45">
      <c r="A34" s="29"/>
      <c r="B34" s="29"/>
      <c r="C34" s="29"/>
      <c r="D34" s="29" t="s">
        <v>51</v>
      </c>
      <c r="E34" s="29" t="s">
        <v>2177</v>
      </c>
      <c r="F34" s="29" t="s">
        <v>1742</v>
      </c>
      <c r="G34" s="29"/>
      <c r="H34" s="29" t="s">
        <v>81</v>
      </c>
      <c r="I34" s="27" t="str">
        <f t="shared" si="0"/>
        <v>Batalao, Nathaniel</v>
      </c>
      <c r="J34" s="29" t="s">
        <v>2356</v>
      </c>
      <c r="K34" s="29" t="s">
        <v>2357</v>
      </c>
      <c r="L34" s="29" t="s">
        <v>628</v>
      </c>
      <c r="M34" s="29" t="s">
        <v>1642</v>
      </c>
      <c r="N34" s="29">
        <v>44</v>
      </c>
      <c r="O34" s="29" t="s">
        <v>1531</v>
      </c>
      <c r="P34" s="29" t="s">
        <v>2358</v>
      </c>
      <c r="Q34" s="29" t="s">
        <v>2359</v>
      </c>
      <c r="R34" s="29" t="s">
        <v>2360</v>
      </c>
      <c r="S34" s="181">
        <v>36703</v>
      </c>
      <c r="T34" s="88">
        <f ca="1" t="shared" si="1"/>
        <v>26</v>
      </c>
      <c r="U34" s="29" t="s">
        <v>2361</v>
      </c>
      <c r="V34" s="29" t="s">
        <v>2362</v>
      </c>
      <c r="W34" s="29" t="s">
        <v>2363</v>
      </c>
      <c r="X34" s="29" t="s">
        <v>51</v>
      </c>
      <c r="Y34" s="181">
        <v>41421</v>
      </c>
      <c r="Z34" s="29" t="s">
        <v>51</v>
      </c>
      <c r="AA34" s="181"/>
      <c r="AB34" s="29"/>
      <c r="AC34" s="29" t="s">
        <v>2364</v>
      </c>
      <c r="AD34" s="29" t="s">
        <v>2365</v>
      </c>
      <c r="AE34" s="29" t="s">
        <v>2366</v>
      </c>
      <c r="AF34" s="29" t="s">
        <v>2367</v>
      </c>
      <c r="AG34" s="29"/>
      <c r="AH34" s="29"/>
      <c r="AI34" s="29" t="s">
        <v>2368</v>
      </c>
      <c r="AJ34" s="29"/>
      <c r="AK34" s="29" t="s">
        <v>2369</v>
      </c>
      <c r="AL34" s="29" t="s">
        <v>2370</v>
      </c>
      <c r="AM34" s="29"/>
      <c r="AN34" s="29">
        <v>7</v>
      </c>
      <c r="AO34" s="29">
        <v>4</v>
      </c>
      <c r="AP34" s="29" t="s">
        <v>2371</v>
      </c>
      <c r="AQ34" s="29" t="s">
        <v>2372</v>
      </c>
      <c r="AR34" s="29" t="s">
        <v>194</v>
      </c>
      <c r="AS34" s="29" t="s">
        <v>2373</v>
      </c>
    </row>
    <row r="35" ht="15.75" customHeight="1" spans="1:45">
      <c r="A35" s="29"/>
      <c r="B35" s="29"/>
      <c r="C35" s="29"/>
      <c r="D35" s="29" t="s">
        <v>51</v>
      </c>
      <c r="E35" s="29" t="s">
        <v>2177</v>
      </c>
      <c r="F35" s="29" t="s">
        <v>2178</v>
      </c>
      <c r="G35" s="29"/>
      <c r="H35" s="29" t="s">
        <v>81</v>
      </c>
      <c r="I35" s="27" t="str">
        <f t="shared" si="0"/>
        <v>Batalao, Jonathan</v>
      </c>
      <c r="J35" s="29" t="s">
        <v>2356</v>
      </c>
      <c r="K35" s="29" t="s">
        <v>2374</v>
      </c>
      <c r="L35" s="29" t="s">
        <v>628</v>
      </c>
      <c r="M35" s="29" t="s">
        <v>1642</v>
      </c>
      <c r="N35" s="29">
        <v>44</v>
      </c>
      <c r="O35" s="29" t="s">
        <v>1531</v>
      </c>
      <c r="P35" s="29" t="s">
        <v>2358</v>
      </c>
      <c r="Q35" s="29" t="s">
        <v>2375</v>
      </c>
      <c r="R35" s="29" t="s">
        <v>2376</v>
      </c>
      <c r="S35" s="181">
        <v>35948</v>
      </c>
      <c r="T35" s="88">
        <f ca="1" t="shared" si="1"/>
        <v>28</v>
      </c>
      <c r="U35" s="29" t="s">
        <v>2361</v>
      </c>
      <c r="V35" s="29" t="s">
        <v>2362</v>
      </c>
      <c r="W35" s="29" t="s">
        <v>2363</v>
      </c>
      <c r="X35" s="29" t="s">
        <v>51</v>
      </c>
      <c r="Y35" s="235" t="s">
        <v>1860</v>
      </c>
      <c r="Z35" s="29" t="s">
        <v>51</v>
      </c>
      <c r="AA35" s="181"/>
      <c r="AB35" s="29"/>
      <c r="AC35" s="29" t="s">
        <v>2364</v>
      </c>
      <c r="AD35" s="29" t="s">
        <v>2365</v>
      </c>
      <c r="AE35" s="29" t="s">
        <v>2377</v>
      </c>
      <c r="AF35" s="29" t="s">
        <v>2378</v>
      </c>
      <c r="AG35" s="29"/>
      <c r="AH35" s="29" t="s">
        <v>2379</v>
      </c>
      <c r="AI35" s="29" t="s">
        <v>2380</v>
      </c>
      <c r="AJ35" s="29"/>
      <c r="AK35" s="29" t="s">
        <v>446</v>
      </c>
      <c r="AL35" s="29" t="s">
        <v>547</v>
      </c>
      <c r="AM35" s="29"/>
      <c r="AN35" s="29">
        <v>7</v>
      </c>
      <c r="AO35" s="29">
        <v>2</v>
      </c>
      <c r="AP35" s="29" t="s">
        <v>2381</v>
      </c>
      <c r="AQ35" s="29" t="s">
        <v>2372</v>
      </c>
      <c r="AR35" s="29" t="s">
        <v>194</v>
      </c>
      <c r="AS35" s="29" t="s">
        <v>2359</v>
      </c>
    </row>
    <row r="36" ht="15.75" customHeight="1" spans="1:45">
      <c r="A36" s="29"/>
      <c r="B36" s="29"/>
      <c r="C36" s="29"/>
      <c r="D36" s="29" t="s">
        <v>79</v>
      </c>
      <c r="E36" s="29" t="s">
        <v>2181</v>
      </c>
      <c r="F36" s="29" t="s">
        <v>2286</v>
      </c>
      <c r="G36" s="29"/>
      <c r="H36" s="29" t="s">
        <v>81</v>
      </c>
      <c r="I36" s="27" t="str">
        <f t="shared" si="0"/>
        <v>Bokket, Nathaniel</v>
      </c>
      <c r="J36" s="29" t="s">
        <v>505</v>
      </c>
      <c r="K36" s="29" t="s">
        <v>2357</v>
      </c>
      <c r="L36" s="29"/>
      <c r="M36" s="29" t="s">
        <v>1642</v>
      </c>
      <c r="N36" s="29"/>
      <c r="O36" s="29"/>
      <c r="P36" s="29"/>
      <c r="Q36" s="29"/>
      <c r="R36" s="29"/>
      <c r="S36" s="181"/>
      <c r="T36" s="88" t="str">
        <f ca="1" t="shared" si="1"/>
        <v/>
      </c>
      <c r="U36" s="29"/>
      <c r="V36" s="29"/>
      <c r="W36" s="29"/>
      <c r="X36" s="29"/>
      <c r="Y36" s="29"/>
      <c r="Z36" s="29"/>
      <c r="AA36" s="181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</row>
    <row r="37" ht="15.75" customHeight="1" spans="1:45">
      <c r="A37" s="29"/>
      <c r="B37" s="29"/>
      <c r="C37" s="29"/>
      <c r="D37" s="29" t="s">
        <v>79</v>
      </c>
      <c r="E37" s="29" t="s">
        <v>2181</v>
      </c>
      <c r="F37" s="29" t="s">
        <v>2178</v>
      </c>
      <c r="G37" s="29"/>
      <c r="H37" s="29" t="s">
        <v>81</v>
      </c>
      <c r="I37" s="27" t="str">
        <f t="shared" si="0"/>
        <v>Bokket, Mark</v>
      </c>
      <c r="J37" s="29" t="s">
        <v>505</v>
      </c>
      <c r="K37" s="29" t="s">
        <v>2382</v>
      </c>
      <c r="L37" s="29"/>
      <c r="M37" s="29" t="s">
        <v>1642</v>
      </c>
      <c r="N37" s="29"/>
      <c r="O37" s="29"/>
      <c r="P37" s="29"/>
      <c r="Q37" s="29"/>
      <c r="R37" s="29"/>
      <c r="S37" s="181"/>
      <c r="T37" s="88" t="str">
        <f ca="1" t="shared" si="1"/>
        <v/>
      </c>
      <c r="U37" s="29"/>
      <c r="V37" s="29"/>
      <c r="W37" s="29"/>
      <c r="X37" s="29"/>
      <c r="Y37" s="29"/>
      <c r="Z37" s="29"/>
      <c r="AA37" s="181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</row>
    <row r="38" ht="15.75" customHeight="1" spans="1:45">
      <c r="A38" s="29"/>
      <c r="B38" s="29"/>
      <c r="C38" s="29"/>
      <c r="D38" s="29" t="s">
        <v>79</v>
      </c>
      <c r="E38" s="29" t="s">
        <v>2383</v>
      </c>
      <c r="F38" s="29" t="s">
        <v>2212</v>
      </c>
      <c r="G38" s="29"/>
      <c r="H38" s="29" t="s">
        <v>81</v>
      </c>
      <c r="I38" s="27" t="str">
        <f t="shared" si="0"/>
        <v>Bonilla, Mark Rener</v>
      </c>
      <c r="J38" s="29" t="s">
        <v>2384</v>
      </c>
      <c r="K38" s="29" t="s">
        <v>2385</v>
      </c>
      <c r="L38" s="29" t="s">
        <v>161</v>
      </c>
      <c r="M38" s="29" t="s">
        <v>1642</v>
      </c>
      <c r="N38" s="29"/>
      <c r="O38" s="29"/>
      <c r="P38" s="29"/>
      <c r="Q38" s="29"/>
      <c r="R38" s="29"/>
      <c r="S38" s="181"/>
      <c r="T38" s="88" t="str">
        <f ca="1" t="shared" si="1"/>
        <v/>
      </c>
      <c r="U38" s="29"/>
      <c r="V38" s="29"/>
      <c r="W38" s="29"/>
      <c r="X38" s="29"/>
      <c r="Y38" s="29"/>
      <c r="Z38" s="29"/>
      <c r="AA38" s="181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</row>
    <row r="39" ht="15.75" customHeight="1" spans="1:45">
      <c r="A39" s="29"/>
      <c r="B39" s="29"/>
      <c r="C39" s="29"/>
      <c r="D39" s="29" t="s">
        <v>79</v>
      </c>
      <c r="E39" s="29" t="s">
        <v>2383</v>
      </c>
      <c r="F39" s="29" t="s">
        <v>2212</v>
      </c>
      <c r="G39" s="29"/>
      <c r="H39" s="29" t="s">
        <v>81</v>
      </c>
      <c r="I39" s="27" t="str">
        <f t="shared" si="0"/>
        <v>Bonilla, Joshua</v>
      </c>
      <c r="J39" s="29" t="s">
        <v>2384</v>
      </c>
      <c r="K39" s="29" t="s">
        <v>2178</v>
      </c>
      <c r="L39" s="29" t="s">
        <v>222</v>
      </c>
      <c r="M39" s="29" t="s">
        <v>1642</v>
      </c>
      <c r="N39" s="29"/>
      <c r="O39" s="29"/>
      <c r="P39" s="29"/>
      <c r="Q39" s="29"/>
      <c r="R39" s="29"/>
      <c r="S39" s="181"/>
      <c r="T39" s="88" t="str">
        <f ca="1" t="shared" si="1"/>
        <v/>
      </c>
      <c r="U39" s="29"/>
      <c r="V39" s="29"/>
      <c r="W39" s="29"/>
      <c r="X39" s="29"/>
      <c r="Y39" s="29"/>
      <c r="Z39" s="29"/>
      <c r="AA39" s="181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</row>
    <row r="40" ht="15.75" customHeight="1" spans="1:45">
      <c r="A40" s="29"/>
      <c r="B40" s="29"/>
      <c r="C40" s="29"/>
      <c r="D40" s="29" t="s">
        <v>51</v>
      </c>
      <c r="E40" s="29"/>
      <c r="F40" s="29"/>
      <c r="G40" s="29"/>
      <c r="H40" s="29"/>
      <c r="I40" s="27" t="str">
        <f t="shared" si="0"/>
        <v>Bosque, Ara Mae</v>
      </c>
      <c r="J40" s="29" t="s">
        <v>2386</v>
      </c>
      <c r="K40" s="29" t="s">
        <v>2387</v>
      </c>
      <c r="L40" s="29"/>
      <c r="M40" s="29" t="s">
        <v>57</v>
      </c>
      <c r="N40" s="29" t="s">
        <v>2388</v>
      </c>
      <c r="O40" s="29"/>
      <c r="P40" s="29" t="s">
        <v>2388</v>
      </c>
      <c r="Q40" s="29" t="s">
        <v>2389</v>
      </c>
      <c r="R40" s="12" t="s">
        <v>2390</v>
      </c>
      <c r="S40" s="181">
        <v>36334</v>
      </c>
      <c r="T40" s="88">
        <f ca="1" t="shared" si="1"/>
        <v>27</v>
      </c>
      <c r="U40" s="29" t="s">
        <v>63</v>
      </c>
      <c r="V40" s="29" t="s">
        <v>2391</v>
      </c>
      <c r="W40" s="29" t="s">
        <v>2392</v>
      </c>
      <c r="X40" s="29" t="s">
        <v>51</v>
      </c>
      <c r="Y40" s="181">
        <v>40787</v>
      </c>
      <c r="Z40" s="29" t="s">
        <v>51</v>
      </c>
      <c r="AA40" s="29">
        <v>2012</v>
      </c>
      <c r="AB40" s="29"/>
      <c r="AC40" s="29" t="s">
        <v>2393</v>
      </c>
      <c r="AD40" s="29" t="s">
        <v>2394</v>
      </c>
      <c r="AE40" s="29" t="s">
        <v>2395</v>
      </c>
      <c r="AF40" s="29"/>
      <c r="AG40" s="29"/>
      <c r="AH40" s="29" t="s">
        <v>2396</v>
      </c>
      <c r="AI40" s="29" t="s">
        <v>2397</v>
      </c>
      <c r="AJ40" s="29"/>
      <c r="AK40" s="29" t="s">
        <v>2398</v>
      </c>
      <c r="AL40" s="29"/>
      <c r="AM40" s="29"/>
      <c r="AN40" s="29">
        <v>5</v>
      </c>
      <c r="AO40" s="29">
        <v>3</v>
      </c>
      <c r="AP40" s="29" t="s">
        <v>2399</v>
      </c>
      <c r="AQ40" s="29" t="s">
        <v>2388</v>
      </c>
      <c r="AR40" s="29" t="s">
        <v>194</v>
      </c>
      <c r="AS40" s="29" t="s">
        <v>2400</v>
      </c>
    </row>
    <row r="41" ht="15.75" customHeight="1" spans="1:45">
      <c r="A41" s="29"/>
      <c r="B41" s="29"/>
      <c r="C41" s="29"/>
      <c r="D41" s="29" t="s">
        <v>79</v>
      </c>
      <c r="E41" s="29" t="s">
        <v>2383</v>
      </c>
      <c r="F41" s="29" t="s">
        <v>2178</v>
      </c>
      <c r="G41" s="29"/>
      <c r="H41" s="29" t="s">
        <v>81</v>
      </c>
      <c r="I41" s="27" t="str">
        <f t="shared" si="0"/>
        <v>Briones, Jonel</v>
      </c>
      <c r="J41" s="29" t="s">
        <v>2401</v>
      </c>
      <c r="K41" s="29" t="s">
        <v>2402</v>
      </c>
      <c r="L41" s="29"/>
      <c r="M41" s="29" t="s">
        <v>1642</v>
      </c>
      <c r="N41" s="29"/>
      <c r="O41" s="29"/>
      <c r="P41" s="29"/>
      <c r="Q41" s="29"/>
      <c r="R41" s="29"/>
      <c r="S41" s="181"/>
      <c r="T41" s="88" t="str">
        <f ca="1" t="shared" si="1"/>
        <v/>
      </c>
      <c r="U41" s="29"/>
      <c r="V41" s="29"/>
      <c r="W41" s="29"/>
      <c r="X41" s="29"/>
      <c r="Y41" s="29"/>
      <c r="Z41" s="29"/>
      <c r="AA41" s="181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</row>
    <row r="42" ht="15.75" customHeight="1" spans="1:45">
      <c r="A42" s="29"/>
      <c r="B42" s="29"/>
      <c r="C42" s="29"/>
      <c r="D42" s="29" t="s">
        <v>51</v>
      </c>
      <c r="E42" s="29"/>
      <c r="F42" s="29"/>
      <c r="G42" s="29"/>
      <c r="H42" s="29"/>
      <c r="I42" s="27" t="str">
        <f t="shared" si="0"/>
        <v>Buhong, Melody</v>
      </c>
      <c r="J42" s="29" t="s">
        <v>2403</v>
      </c>
      <c r="K42" s="29" t="s">
        <v>2404</v>
      </c>
      <c r="L42" s="29" t="s">
        <v>538</v>
      </c>
      <c r="M42" s="29" t="s">
        <v>57</v>
      </c>
      <c r="N42" s="29" t="s">
        <v>2405</v>
      </c>
      <c r="O42" s="29"/>
      <c r="P42" s="29" t="s">
        <v>2405</v>
      </c>
      <c r="Q42" s="29" t="s">
        <v>2406</v>
      </c>
      <c r="R42" s="12" t="s">
        <v>2407</v>
      </c>
      <c r="S42" s="181">
        <v>37317</v>
      </c>
      <c r="T42" s="88">
        <f ca="1" t="shared" si="1"/>
        <v>24</v>
      </c>
      <c r="U42" s="29" t="s">
        <v>2408</v>
      </c>
      <c r="V42" s="29" t="s">
        <v>2409</v>
      </c>
      <c r="W42" s="29" t="s">
        <v>2410</v>
      </c>
      <c r="X42" s="29"/>
      <c r="Y42" s="181"/>
      <c r="Z42" s="29" t="s">
        <v>51</v>
      </c>
      <c r="AA42" s="181">
        <v>43720</v>
      </c>
      <c r="AB42" s="29"/>
      <c r="AC42" s="29" t="s">
        <v>2411</v>
      </c>
      <c r="AD42" s="29" t="s">
        <v>2412</v>
      </c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</row>
    <row r="43" ht="15.75" customHeight="1" spans="1:45">
      <c r="A43" s="29"/>
      <c r="B43" s="29"/>
      <c r="C43" s="29"/>
      <c r="D43" s="29" t="s">
        <v>51</v>
      </c>
      <c r="E43" s="29" t="s">
        <v>2189</v>
      </c>
      <c r="F43" s="29" t="s">
        <v>1742</v>
      </c>
      <c r="G43" s="29"/>
      <c r="H43" s="29" t="s">
        <v>81</v>
      </c>
      <c r="I43" s="27" t="str">
        <f t="shared" si="0"/>
        <v>Cabay, Chansen Dave</v>
      </c>
      <c r="J43" s="29" t="s">
        <v>552</v>
      </c>
      <c r="K43" s="29" t="s">
        <v>2413</v>
      </c>
      <c r="L43" s="29" t="s">
        <v>113</v>
      </c>
      <c r="M43" s="29" t="s">
        <v>1642</v>
      </c>
      <c r="N43" s="29" t="s">
        <v>2414</v>
      </c>
      <c r="O43" s="29" t="s">
        <v>59</v>
      </c>
      <c r="P43" s="29" t="s">
        <v>573</v>
      </c>
      <c r="Q43" s="29"/>
      <c r="R43" s="29"/>
      <c r="S43" s="181">
        <v>40136</v>
      </c>
      <c r="T43" s="88">
        <f ca="1" t="shared" si="1"/>
        <v>16</v>
      </c>
      <c r="U43" s="29" t="s">
        <v>1734</v>
      </c>
      <c r="V43" s="29" t="s">
        <v>2415</v>
      </c>
      <c r="W43" s="29" t="s">
        <v>2416</v>
      </c>
      <c r="X43" s="29" t="s">
        <v>51</v>
      </c>
      <c r="Y43" s="181">
        <v>45653</v>
      </c>
      <c r="Z43" s="29" t="s">
        <v>51</v>
      </c>
      <c r="AA43" s="181">
        <v>45653</v>
      </c>
      <c r="AB43" s="29"/>
      <c r="AC43" s="29"/>
      <c r="AD43" s="29"/>
      <c r="AE43" s="29" t="s">
        <v>2417</v>
      </c>
      <c r="AF43" s="29" t="s">
        <v>2244</v>
      </c>
      <c r="AG43" s="29"/>
      <c r="AH43" s="29"/>
      <c r="AI43" s="29"/>
      <c r="AJ43" s="29" t="s">
        <v>2246</v>
      </c>
      <c r="AK43" s="29"/>
      <c r="AL43" s="29" t="s">
        <v>876</v>
      </c>
      <c r="AM43" s="29"/>
      <c r="AN43" s="29">
        <v>2</v>
      </c>
      <c r="AO43" s="29">
        <v>1</v>
      </c>
      <c r="AP43" s="29" t="s">
        <v>2416</v>
      </c>
      <c r="AQ43" s="29" t="s">
        <v>625</v>
      </c>
      <c r="AR43" s="29" t="s">
        <v>30</v>
      </c>
      <c r="AS43" s="29" t="s">
        <v>571</v>
      </c>
    </row>
    <row r="44" ht="15.75" customHeight="1" spans="1:45">
      <c r="A44" s="29"/>
      <c r="B44" s="29"/>
      <c r="C44" s="29"/>
      <c r="D44" s="29" t="s">
        <v>51</v>
      </c>
      <c r="E44" s="29" t="s">
        <v>2189</v>
      </c>
      <c r="F44" s="29" t="s">
        <v>1742</v>
      </c>
      <c r="G44" s="29"/>
      <c r="H44" s="29" t="s">
        <v>81</v>
      </c>
      <c r="I44" s="27" t="str">
        <f t="shared" si="0"/>
        <v>Cabay, Caryl Kaye</v>
      </c>
      <c r="J44" s="29" t="s">
        <v>552</v>
      </c>
      <c r="K44" s="29" t="s">
        <v>2418</v>
      </c>
      <c r="L44" s="29" t="s">
        <v>113</v>
      </c>
      <c r="M44" s="29" t="s">
        <v>57</v>
      </c>
      <c r="N44" s="29" t="s">
        <v>2414</v>
      </c>
      <c r="O44" s="29" t="s">
        <v>59</v>
      </c>
      <c r="P44" s="29" t="s">
        <v>2419</v>
      </c>
      <c r="Q44" s="29" t="s">
        <v>2420</v>
      </c>
      <c r="R44" s="189" t="s">
        <v>2421</v>
      </c>
      <c r="S44" s="181"/>
      <c r="T44" s="88" t="str">
        <f ca="1" t="shared" si="1"/>
        <v/>
      </c>
      <c r="U44" s="29" t="s">
        <v>1734</v>
      </c>
      <c r="V44" s="29" t="s">
        <v>2415</v>
      </c>
      <c r="W44" s="29" t="s">
        <v>2416</v>
      </c>
      <c r="X44" s="29" t="s">
        <v>51</v>
      </c>
      <c r="Y44" s="181">
        <v>45663</v>
      </c>
      <c r="Z44" s="29" t="s">
        <v>51</v>
      </c>
      <c r="AA44" s="181">
        <v>44646</v>
      </c>
      <c r="AB44" s="29"/>
      <c r="AC44" s="29"/>
      <c r="AD44" s="29"/>
      <c r="AE44" s="29"/>
      <c r="AF44" s="29" t="s">
        <v>2244</v>
      </c>
      <c r="AG44" s="29" t="s">
        <v>2422</v>
      </c>
      <c r="AH44" s="29"/>
      <c r="AI44" s="29" t="s">
        <v>2327</v>
      </c>
      <c r="AJ44" s="29"/>
      <c r="AK44" s="29" t="s">
        <v>446</v>
      </c>
      <c r="AL44" s="29" t="s">
        <v>876</v>
      </c>
      <c r="AM44" s="29" t="s">
        <v>154</v>
      </c>
      <c r="AN44" s="29">
        <v>2</v>
      </c>
      <c r="AO44" s="29">
        <v>2</v>
      </c>
      <c r="AP44" s="29" t="s">
        <v>2416</v>
      </c>
      <c r="AQ44" s="29" t="s">
        <v>625</v>
      </c>
      <c r="AR44" s="29" t="s">
        <v>30</v>
      </c>
      <c r="AS44" s="29" t="s">
        <v>571</v>
      </c>
    </row>
    <row r="45" ht="15.75" customHeight="1" spans="1:45">
      <c r="A45" s="29"/>
      <c r="B45" s="29"/>
      <c r="C45" s="29"/>
      <c r="D45" s="29" t="s">
        <v>51</v>
      </c>
      <c r="E45" s="29" t="s">
        <v>2177</v>
      </c>
      <c r="F45" s="29" t="s">
        <v>2423</v>
      </c>
      <c r="G45" s="29"/>
      <c r="H45" s="29" t="s">
        <v>81</v>
      </c>
      <c r="I45" s="27" t="str">
        <f t="shared" si="0"/>
        <v>Cabbigat, Jinky Mae</v>
      </c>
      <c r="J45" s="29" t="s">
        <v>2424</v>
      </c>
      <c r="K45" s="29" t="s">
        <v>2425</v>
      </c>
      <c r="L45" s="29" t="s">
        <v>222</v>
      </c>
      <c r="M45" s="29" t="s">
        <v>57</v>
      </c>
      <c r="N45" s="29"/>
      <c r="O45" s="29" t="s">
        <v>2236</v>
      </c>
      <c r="P45" s="29" t="s">
        <v>2426</v>
      </c>
      <c r="Q45" s="29" t="s">
        <v>2250</v>
      </c>
      <c r="R45" s="29" t="s">
        <v>2427</v>
      </c>
      <c r="S45" s="181">
        <v>37634</v>
      </c>
      <c r="T45" s="88">
        <f ca="1" t="shared" si="1"/>
        <v>23</v>
      </c>
      <c r="U45" s="29" t="s">
        <v>2237</v>
      </c>
      <c r="V45" s="29" t="s">
        <v>2428</v>
      </c>
      <c r="W45" s="29" t="s">
        <v>2429</v>
      </c>
      <c r="X45" s="29" t="s">
        <v>51</v>
      </c>
      <c r="Y45" s="235" t="s">
        <v>2430</v>
      </c>
      <c r="Z45" s="29" t="s">
        <v>51</v>
      </c>
      <c r="AA45" s="181"/>
      <c r="AB45" s="29" t="s">
        <v>121</v>
      </c>
      <c r="AC45" s="29" t="s">
        <v>2431</v>
      </c>
      <c r="AD45" s="29" t="s">
        <v>2243</v>
      </c>
      <c r="AE45" s="29"/>
      <c r="AF45" s="29" t="s">
        <v>2367</v>
      </c>
      <c r="AG45" s="29"/>
      <c r="AH45" s="29"/>
      <c r="AI45" s="29"/>
      <c r="AJ45" s="29" t="s">
        <v>2246</v>
      </c>
      <c r="AK45" s="29" t="s">
        <v>1738</v>
      </c>
      <c r="AL45" s="29" t="s">
        <v>72</v>
      </c>
      <c r="AM45" s="29" t="s">
        <v>154</v>
      </c>
      <c r="AN45" s="29">
        <v>0</v>
      </c>
      <c r="AO45" s="29">
        <v>2</v>
      </c>
      <c r="AP45" s="29"/>
      <c r="AQ45" s="29"/>
      <c r="AR45" s="29"/>
      <c r="AS45" s="29"/>
    </row>
    <row r="46" ht="15.75" customHeight="1" spans="1:45">
      <c r="A46" s="29"/>
      <c r="B46" s="29"/>
      <c r="C46" s="29"/>
      <c r="D46" s="29" t="s">
        <v>51</v>
      </c>
      <c r="E46" s="29" t="s">
        <v>2189</v>
      </c>
      <c r="F46" s="29"/>
      <c r="G46" s="29"/>
      <c r="H46" s="29" t="s">
        <v>81</v>
      </c>
      <c r="I46" s="27" t="str">
        <f t="shared" si="0"/>
        <v>Calimlim, Courtney Jhayne</v>
      </c>
      <c r="J46" s="29" t="s">
        <v>609</v>
      </c>
      <c r="K46" s="29" t="s">
        <v>2432</v>
      </c>
      <c r="L46" s="29" t="s">
        <v>907</v>
      </c>
      <c r="M46" s="29" t="s">
        <v>57</v>
      </c>
      <c r="N46" s="29" t="s">
        <v>612</v>
      </c>
      <c r="O46" s="29" t="s">
        <v>613</v>
      </c>
      <c r="P46" s="29" t="s">
        <v>614</v>
      </c>
      <c r="Q46" s="29" t="s">
        <v>2433</v>
      </c>
      <c r="R46" s="29"/>
      <c r="S46" s="181">
        <v>41287</v>
      </c>
      <c r="T46" s="88">
        <f ca="1" t="shared" si="1"/>
        <v>13</v>
      </c>
      <c r="U46" s="29" t="s">
        <v>617</v>
      </c>
      <c r="V46" s="29" t="s">
        <v>623</v>
      </c>
      <c r="W46" s="29" t="s">
        <v>1805</v>
      </c>
      <c r="X46" s="29" t="s">
        <v>51</v>
      </c>
      <c r="Y46" s="29">
        <v>2021</v>
      </c>
      <c r="Z46" s="29" t="s">
        <v>51</v>
      </c>
      <c r="AA46" s="181"/>
      <c r="AB46" s="29"/>
      <c r="AC46" s="29"/>
      <c r="AD46" s="29"/>
      <c r="AE46" s="29"/>
      <c r="AF46" s="29"/>
      <c r="AG46" s="29"/>
      <c r="AH46" s="29"/>
      <c r="AI46" s="29"/>
      <c r="AJ46" s="29" t="s">
        <v>2434</v>
      </c>
      <c r="AK46" s="29" t="s">
        <v>446</v>
      </c>
      <c r="AL46" s="29" t="s">
        <v>561</v>
      </c>
      <c r="AM46" s="29"/>
      <c r="AN46" s="29"/>
      <c r="AO46" s="29">
        <v>1</v>
      </c>
      <c r="AP46" s="29" t="s">
        <v>1805</v>
      </c>
      <c r="AQ46" s="29" t="s">
        <v>625</v>
      </c>
      <c r="AR46" s="29" t="s">
        <v>30</v>
      </c>
      <c r="AS46" s="29" t="s">
        <v>615</v>
      </c>
    </row>
    <row r="47" ht="15.75" customHeight="1" spans="1:45">
      <c r="A47" s="29"/>
      <c r="B47" s="29"/>
      <c r="C47" s="29"/>
      <c r="D47" s="29" t="s">
        <v>79</v>
      </c>
      <c r="E47" s="29" t="s">
        <v>2189</v>
      </c>
      <c r="F47" s="29" t="s">
        <v>2178</v>
      </c>
      <c r="G47" s="29"/>
      <c r="H47" s="29" t="s">
        <v>92</v>
      </c>
      <c r="I47" s="192" t="str">
        <f t="shared" si="0"/>
        <v>Camodag, Jonathan</v>
      </c>
      <c r="J47" s="29" t="s">
        <v>636</v>
      </c>
      <c r="K47" s="29" t="s">
        <v>2374</v>
      </c>
      <c r="L47" s="29" t="s">
        <v>538</v>
      </c>
      <c r="M47" s="29" t="s">
        <v>1642</v>
      </c>
      <c r="N47" s="29"/>
      <c r="O47" s="29"/>
      <c r="P47" s="29"/>
      <c r="Q47" s="29"/>
      <c r="R47" s="29"/>
      <c r="S47" s="181"/>
      <c r="T47" s="88" t="str">
        <f ca="1" t="shared" si="1"/>
        <v/>
      </c>
      <c r="U47" s="29"/>
      <c r="V47" s="29"/>
      <c r="W47" s="29"/>
      <c r="X47" s="29"/>
      <c r="Y47" s="29"/>
      <c r="Z47" s="29"/>
      <c r="AA47" s="181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</row>
    <row r="48" ht="15.75" customHeight="1" spans="1:45">
      <c r="A48" s="29"/>
      <c r="B48" s="29"/>
      <c r="C48" s="29"/>
      <c r="D48" s="29" t="s">
        <v>51</v>
      </c>
      <c r="E48" s="29" t="s">
        <v>2189</v>
      </c>
      <c r="F48" s="29" t="s">
        <v>2212</v>
      </c>
      <c r="G48" s="29"/>
      <c r="H48" s="29" t="s">
        <v>126</v>
      </c>
      <c r="I48" s="27" t="str">
        <f t="shared" si="0"/>
        <v>Camodag, Glory Anne</v>
      </c>
      <c r="J48" s="29" t="s">
        <v>636</v>
      </c>
      <c r="K48" s="29" t="s">
        <v>2435</v>
      </c>
      <c r="L48" s="29" t="s">
        <v>538</v>
      </c>
      <c r="M48" s="29" t="s">
        <v>57</v>
      </c>
      <c r="N48" s="29" t="s">
        <v>2436</v>
      </c>
      <c r="O48" s="29" t="s">
        <v>495</v>
      </c>
      <c r="P48" s="29"/>
      <c r="Q48" s="29" t="s">
        <v>2437</v>
      </c>
      <c r="R48" s="29" t="s">
        <v>2438</v>
      </c>
      <c r="S48" s="181">
        <v>36366</v>
      </c>
      <c r="T48" s="88">
        <f ca="1" t="shared" si="1"/>
        <v>27</v>
      </c>
      <c r="U48" s="29" t="s">
        <v>123</v>
      </c>
      <c r="V48" s="29" t="s">
        <v>2439</v>
      </c>
      <c r="W48" s="29" t="s">
        <v>2440</v>
      </c>
      <c r="X48" s="29" t="s">
        <v>51</v>
      </c>
      <c r="Y48" s="235" t="s">
        <v>2441</v>
      </c>
      <c r="Z48" s="29" t="s">
        <v>51</v>
      </c>
      <c r="AA48" s="181" t="s">
        <v>2442</v>
      </c>
      <c r="AB48" s="29"/>
      <c r="AC48" s="29"/>
      <c r="AD48" s="29"/>
      <c r="AE48" s="29" t="s">
        <v>188</v>
      </c>
      <c r="AF48" s="29"/>
      <c r="AG48" s="29"/>
      <c r="AH48" s="29"/>
      <c r="AI48" s="29" t="s">
        <v>2443</v>
      </c>
      <c r="AJ48" s="29"/>
      <c r="AK48" s="29"/>
      <c r="AL48" s="29"/>
      <c r="AM48" s="29"/>
      <c r="AN48" s="29">
        <v>12</v>
      </c>
      <c r="AO48" s="29">
        <v>11</v>
      </c>
      <c r="AP48" s="29" t="s">
        <v>2439</v>
      </c>
      <c r="AQ48" s="29" t="s">
        <v>625</v>
      </c>
      <c r="AR48" s="29" t="s">
        <v>29</v>
      </c>
      <c r="AS48" s="29"/>
    </row>
    <row r="49" ht="15.75" customHeight="1" spans="1:45">
      <c r="A49" s="29"/>
      <c r="B49" s="29"/>
      <c r="C49" s="29"/>
      <c r="D49" s="29" t="s">
        <v>79</v>
      </c>
      <c r="E49" s="29" t="s">
        <v>2189</v>
      </c>
      <c r="F49" s="29" t="s">
        <v>2212</v>
      </c>
      <c r="G49" s="29"/>
      <c r="H49" s="29" t="s">
        <v>81</v>
      </c>
      <c r="I49" s="192" t="str">
        <f t="shared" si="0"/>
        <v>Camodag, Athena Grace</v>
      </c>
      <c r="J49" s="29" t="s">
        <v>636</v>
      </c>
      <c r="K49" s="29" t="s">
        <v>2444</v>
      </c>
      <c r="L49" s="29"/>
      <c r="M49" s="29" t="s">
        <v>57</v>
      </c>
      <c r="N49" s="29"/>
      <c r="O49" s="29"/>
      <c r="P49" s="29"/>
      <c r="Q49" s="29"/>
      <c r="R49" s="29"/>
      <c r="S49" s="181"/>
      <c r="T49" s="88" t="str">
        <f ca="1" t="shared" si="1"/>
        <v/>
      </c>
      <c r="U49" s="29"/>
      <c r="V49" s="29"/>
      <c r="W49" s="29"/>
      <c r="X49" s="29"/>
      <c r="Y49" s="29"/>
      <c r="Z49" s="29"/>
      <c r="AA49" s="181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</row>
    <row r="50" ht="15.75" customHeight="1" spans="1:45">
      <c r="A50" s="29"/>
      <c r="B50" s="29"/>
      <c r="C50" s="29"/>
      <c r="D50" s="29" t="s">
        <v>79</v>
      </c>
      <c r="E50" s="29" t="s">
        <v>2181</v>
      </c>
      <c r="F50" s="29" t="s">
        <v>2231</v>
      </c>
      <c r="G50" s="29"/>
      <c r="H50" s="29" t="s">
        <v>81</v>
      </c>
      <c r="I50" s="27" t="str">
        <f t="shared" si="0"/>
        <v>Caragay, Khraenzhell</v>
      </c>
      <c r="J50" s="29" t="s">
        <v>656</v>
      </c>
      <c r="K50" s="29" t="s">
        <v>2445</v>
      </c>
      <c r="L50" s="29"/>
      <c r="M50" s="29" t="s">
        <v>1642</v>
      </c>
      <c r="N50" s="29"/>
      <c r="O50" s="29"/>
      <c r="P50" s="29"/>
      <c r="Q50" s="29"/>
      <c r="R50" s="29"/>
      <c r="S50" s="181"/>
      <c r="T50" s="88" t="str">
        <f ca="1" t="shared" si="1"/>
        <v/>
      </c>
      <c r="U50" s="29"/>
      <c r="V50" s="29"/>
      <c r="W50" s="29"/>
      <c r="X50" s="29"/>
      <c r="Y50" s="29"/>
      <c r="Z50" s="29"/>
      <c r="AA50" s="181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</row>
    <row r="51" ht="15.75" customHeight="1" spans="1:45">
      <c r="A51" s="29"/>
      <c r="B51" s="29"/>
      <c r="C51" s="29"/>
      <c r="D51" s="29" t="s">
        <v>51</v>
      </c>
      <c r="E51" s="29" t="s">
        <v>2189</v>
      </c>
      <c r="F51" s="29" t="s">
        <v>2231</v>
      </c>
      <c r="G51" s="29"/>
      <c r="H51" s="29" t="s">
        <v>81</v>
      </c>
      <c r="I51" s="27" t="str">
        <f t="shared" si="0"/>
        <v>Caragay, Kate Ann</v>
      </c>
      <c r="J51" s="29" t="s">
        <v>656</v>
      </c>
      <c r="K51" s="29" t="s">
        <v>2446</v>
      </c>
      <c r="L51" s="29"/>
      <c r="M51" s="29" t="s">
        <v>57</v>
      </c>
      <c r="N51" s="29" t="s">
        <v>2447</v>
      </c>
      <c r="O51" s="29" t="s">
        <v>281</v>
      </c>
      <c r="P51" s="29" t="s">
        <v>743</v>
      </c>
      <c r="Q51" s="29" t="s">
        <v>2448</v>
      </c>
      <c r="R51" s="29"/>
      <c r="S51" s="181">
        <v>39935</v>
      </c>
      <c r="T51" s="88">
        <f ca="1" t="shared" si="1"/>
        <v>17</v>
      </c>
      <c r="U51" s="29" t="s">
        <v>123</v>
      </c>
      <c r="V51" s="29" t="s">
        <v>2449</v>
      </c>
      <c r="W51" s="29" t="s">
        <v>2450</v>
      </c>
      <c r="X51" s="29" t="s">
        <v>51</v>
      </c>
      <c r="Y51" s="235" t="s">
        <v>2451</v>
      </c>
      <c r="Z51" s="29" t="s">
        <v>51</v>
      </c>
      <c r="AA51" s="181"/>
      <c r="AB51" s="29"/>
      <c r="AC51" s="29"/>
      <c r="AD51" s="29"/>
      <c r="AE51" s="29" t="s">
        <v>2318</v>
      </c>
      <c r="AF51" s="29" t="s">
        <v>2452</v>
      </c>
      <c r="AG51" s="29"/>
      <c r="AH51" s="29"/>
      <c r="AI51" s="29" t="s">
        <v>2453</v>
      </c>
      <c r="AJ51" s="29"/>
      <c r="AK51" s="29" t="s">
        <v>2094</v>
      </c>
      <c r="AL51" s="29" t="s">
        <v>153</v>
      </c>
      <c r="AM51" s="29"/>
      <c r="AN51" s="29"/>
      <c r="AO51" s="29"/>
      <c r="AP51" s="29"/>
      <c r="AQ51" s="29"/>
      <c r="AR51" s="29"/>
      <c r="AS51" s="29"/>
    </row>
    <row r="52" ht="15.75" customHeight="1" spans="1:45">
      <c r="A52" s="29"/>
      <c r="B52" s="29"/>
      <c r="C52" s="29"/>
      <c r="D52" s="29" t="s">
        <v>51</v>
      </c>
      <c r="E52" s="29"/>
      <c r="F52" s="29"/>
      <c r="G52" s="29"/>
      <c r="H52" s="29"/>
      <c r="I52" s="27" t="str">
        <f t="shared" si="0"/>
        <v>Carpio, Zander</v>
      </c>
      <c r="J52" s="29" t="s">
        <v>2454</v>
      </c>
      <c r="K52" s="29" t="s">
        <v>2455</v>
      </c>
      <c r="L52" s="29" t="s">
        <v>538</v>
      </c>
      <c r="M52" s="29" t="s">
        <v>1642</v>
      </c>
      <c r="N52" s="29" t="s">
        <v>822</v>
      </c>
      <c r="O52" s="29"/>
      <c r="P52" s="29" t="s">
        <v>822</v>
      </c>
      <c r="Q52" s="29" t="s">
        <v>2456</v>
      </c>
      <c r="R52" s="29"/>
      <c r="S52" s="181">
        <v>38399</v>
      </c>
      <c r="T52" s="88">
        <f ca="1" t="shared" si="1"/>
        <v>21</v>
      </c>
      <c r="U52" s="29" t="s">
        <v>822</v>
      </c>
      <c r="V52" s="29"/>
      <c r="W52" s="29"/>
      <c r="X52" s="29" t="s">
        <v>51</v>
      </c>
      <c r="Y52" s="29">
        <v>2019</v>
      </c>
      <c r="Z52" s="29" t="s">
        <v>51</v>
      </c>
      <c r="AA52" s="29">
        <v>2023</v>
      </c>
      <c r="AB52" s="29"/>
      <c r="AC52" s="29" t="s">
        <v>2457</v>
      </c>
      <c r="AD52" s="29"/>
      <c r="AE52" s="29" t="s">
        <v>2458</v>
      </c>
      <c r="AF52" s="29" t="s">
        <v>2459</v>
      </c>
      <c r="AG52" s="29"/>
      <c r="AH52" s="29"/>
      <c r="AI52" s="29"/>
      <c r="AJ52" s="29" t="s">
        <v>2460</v>
      </c>
      <c r="AK52" s="29" t="s">
        <v>2461</v>
      </c>
      <c r="AL52" s="29" t="s">
        <v>561</v>
      </c>
      <c r="AM52" s="29"/>
      <c r="AN52" s="29"/>
      <c r="AO52" s="29"/>
      <c r="AP52" s="29"/>
      <c r="AQ52" s="29"/>
      <c r="AR52" s="29"/>
      <c r="AS52" s="29"/>
    </row>
    <row r="53" ht="15.75" customHeight="1" spans="1:45">
      <c r="A53" s="29"/>
      <c r="B53" s="29"/>
      <c r="C53" s="29"/>
      <c r="D53" s="29" t="s">
        <v>51</v>
      </c>
      <c r="E53" s="29" t="s">
        <v>2189</v>
      </c>
      <c r="F53" s="29" t="s">
        <v>1648</v>
      </c>
      <c r="G53" s="29" t="s">
        <v>2186</v>
      </c>
      <c r="H53" s="29" t="s">
        <v>81</v>
      </c>
      <c r="I53" s="27" t="str">
        <f t="shared" si="0"/>
        <v>Castillejo, Jonaira</v>
      </c>
      <c r="J53" s="29" t="s">
        <v>2462</v>
      </c>
      <c r="K53" s="29" t="s">
        <v>2463</v>
      </c>
      <c r="L53" s="29"/>
      <c r="M53" s="29" t="s">
        <v>57</v>
      </c>
      <c r="N53" s="29" t="s">
        <v>2464</v>
      </c>
      <c r="O53" s="29" t="s">
        <v>687</v>
      </c>
      <c r="P53" s="29" t="s">
        <v>2465</v>
      </c>
      <c r="Q53" s="29" t="s">
        <v>2466</v>
      </c>
      <c r="R53" s="29" t="s">
        <v>2467</v>
      </c>
      <c r="S53" s="181">
        <v>34766</v>
      </c>
      <c r="T53" s="88">
        <f ca="1" t="shared" si="1"/>
        <v>31</v>
      </c>
      <c r="U53" s="29" t="s">
        <v>2468</v>
      </c>
      <c r="V53" s="29" t="s">
        <v>2469</v>
      </c>
      <c r="W53" s="29" t="s">
        <v>2470</v>
      </c>
      <c r="X53" s="29" t="s">
        <v>51</v>
      </c>
      <c r="Y53" s="181">
        <v>40676</v>
      </c>
      <c r="Z53" s="29" t="s">
        <v>51</v>
      </c>
      <c r="AA53" s="181" t="s">
        <v>2471</v>
      </c>
      <c r="AB53" s="29"/>
      <c r="AC53" s="29" t="s">
        <v>2468</v>
      </c>
      <c r="AD53" s="29" t="s">
        <v>2472</v>
      </c>
      <c r="AE53" s="29"/>
      <c r="AF53" s="29"/>
      <c r="AG53" s="29"/>
      <c r="AH53" s="29"/>
      <c r="AI53" s="29"/>
      <c r="AJ53" s="29" t="s">
        <v>2246</v>
      </c>
      <c r="AK53" s="29" t="s">
        <v>249</v>
      </c>
      <c r="AL53" s="29" t="s">
        <v>153</v>
      </c>
      <c r="AM53" s="29" t="s">
        <v>154</v>
      </c>
      <c r="AN53" s="29">
        <v>13</v>
      </c>
      <c r="AO53" s="29">
        <v>14</v>
      </c>
      <c r="AP53" s="29" t="s">
        <v>2473</v>
      </c>
      <c r="AQ53" s="29" t="s">
        <v>2474</v>
      </c>
      <c r="AR53" s="29" t="s">
        <v>194</v>
      </c>
      <c r="AS53" s="29" t="s">
        <v>2475</v>
      </c>
    </row>
    <row r="54" ht="15.75" customHeight="1" spans="1:45">
      <c r="A54" s="29"/>
      <c r="B54" s="29"/>
      <c r="C54" s="29"/>
      <c r="D54" s="29" t="s">
        <v>51</v>
      </c>
      <c r="E54" s="29" t="s">
        <v>2189</v>
      </c>
      <c r="F54" s="29" t="s">
        <v>2286</v>
      </c>
      <c r="G54" s="29"/>
      <c r="H54" s="29" t="s">
        <v>81</v>
      </c>
      <c r="I54" s="27" t="str">
        <f t="shared" si="0"/>
        <v>Castillejo, Jeehan Jane</v>
      </c>
      <c r="J54" s="29" t="s">
        <v>2462</v>
      </c>
      <c r="K54" s="29" t="s">
        <v>2476</v>
      </c>
      <c r="L54" s="29" t="s">
        <v>818</v>
      </c>
      <c r="M54" s="29" t="s">
        <v>57</v>
      </c>
      <c r="N54" s="29" t="s">
        <v>2477</v>
      </c>
      <c r="O54" s="29" t="s">
        <v>200</v>
      </c>
      <c r="P54" s="29" t="s">
        <v>2465</v>
      </c>
      <c r="Q54" s="29" t="s">
        <v>2478</v>
      </c>
      <c r="R54" s="29" t="s">
        <v>2479</v>
      </c>
      <c r="S54" s="181">
        <v>35796</v>
      </c>
      <c r="T54" s="88">
        <f ca="1" t="shared" si="1"/>
        <v>28</v>
      </c>
      <c r="U54" s="29" t="s">
        <v>1268</v>
      </c>
      <c r="V54" s="29" t="s">
        <v>2469</v>
      </c>
      <c r="W54" s="29" t="s">
        <v>2470</v>
      </c>
      <c r="X54" s="29" t="s">
        <v>51</v>
      </c>
      <c r="Y54" s="181">
        <v>40676</v>
      </c>
      <c r="Z54" s="29" t="s">
        <v>51</v>
      </c>
      <c r="AA54" s="181" t="s">
        <v>1860</v>
      </c>
      <c r="AB54" s="29"/>
      <c r="AC54" s="29" t="s">
        <v>2468</v>
      </c>
      <c r="AD54" s="29" t="s">
        <v>2472</v>
      </c>
      <c r="AE54" s="29" t="s">
        <v>188</v>
      </c>
      <c r="AF54" s="29" t="s">
        <v>2480</v>
      </c>
      <c r="AG54" s="29"/>
      <c r="AH54" s="29" t="s">
        <v>2481</v>
      </c>
      <c r="AI54" s="29" t="s">
        <v>2196</v>
      </c>
      <c r="AJ54" s="29"/>
      <c r="AK54" s="29" t="s">
        <v>2482</v>
      </c>
      <c r="AL54" s="29" t="s">
        <v>153</v>
      </c>
      <c r="AM54" s="29"/>
      <c r="AN54" s="29" t="s">
        <v>2483</v>
      </c>
      <c r="AO54" s="29" t="s">
        <v>2483</v>
      </c>
      <c r="AP54" s="29" t="s">
        <v>2473</v>
      </c>
      <c r="AQ54" s="29" t="s">
        <v>2474</v>
      </c>
      <c r="AR54" s="29" t="s">
        <v>194</v>
      </c>
      <c r="AS54" s="29" t="s">
        <v>2475</v>
      </c>
    </row>
    <row r="55" ht="15.75" customHeight="1" spans="1:45">
      <c r="A55" s="29"/>
      <c r="B55" s="29"/>
      <c r="C55" s="29"/>
      <c r="D55" s="29" t="s">
        <v>51</v>
      </c>
      <c r="E55" s="29" t="s">
        <v>2189</v>
      </c>
      <c r="F55" s="29" t="s">
        <v>2423</v>
      </c>
      <c r="G55" s="29"/>
      <c r="H55" s="29" t="s">
        <v>126</v>
      </c>
      <c r="I55" s="27" t="str">
        <f t="shared" si="0"/>
        <v>Castillejo, Jamaica</v>
      </c>
      <c r="J55" s="29" t="s">
        <v>2462</v>
      </c>
      <c r="K55" s="29" t="s">
        <v>2484</v>
      </c>
      <c r="L55" s="29"/>
      <c r="M55" s="29" t="s">
        <v>57</v>
      </c>
      <c r="N55" s="29" t="s">
        <v>2485</v>
      </c>
      <c r="O55" s="29" t="s">
        <v>939</v>
      </c>
      <c r="P55" s="29" t="s">
        <v>2465</v>
      </c>
      <c r="Q55" s="29" t="s">
        <v>2475</v>
      </c>
      <c r="R55" s="29" t="s">
        <v>2486</v>
      </c>
      <c r="S55" s="181">
        <v>36730</v>
      </c>
      <c r="T55" s="88">
        <f ca="1" t="shared" si="1"/>
        <v>26</v>
      </c>
      <c r="U55" s="29" t="s">
        <v>2487</v>
      </c>
      <c r="V55" s="29" t="s">
        <v>2469</v>
      </c>
      <c r="W55" s="29" t="s">
        <v>2470</v>
      </c>
      <c r="X55" s="29" t="s">
        <v>51</v>
      </c>
      <c r="Y55" s="181">
        <v>40676</v>
      </c>
      <c r="Z55" s="29" t="s">
        <v>51</v>
      </c>
      <c r="AA55" s="181"/>
      <c r="AB55" s="29"/>
      <c r="AC55" s="29" t="s">
        <v>2468</v>
      </c>
      <c r="AD55" s="29" t="s">
        <v>2472</v>
      </c>
      <c r="AE55" s="29"/>
      <c r="AF55" s="29"/>
      <c r="AG55" s="29"/>
      <c r="AH55" s="29"/>
      <c r="AI55" s="29" t="s">
        <v>2196</v>
      </c>
      <c r="AJ55" s="29"/>
      <c r="AK55" s="29" t="s">
        <v>249</v>
      </c>
      <c r="AL55" s="29" t="s">
        <v>153</v>
      </c>
      <c r="AM55" s="29"/>
      <c r="AN55" s="29">
        <v>13</v>
      </c>
      <c r="AO55" s="29">
        <v>13</v>
      </c>
      <c r="AP55" s="29" t="s">
        <v>2488</v>
      </c>
      <c r="AQ55" s="29" t="s">
        <v>2489</v>
      </c>
      <c r="AR55" s="29" t="s">
        <v>194</v>
      </c>
      <c r="AS55" s="29" t="s">
        <v>2466</v>
      </c>
    </row>
    <row r="56" ht="15.75" customHeight="1" spans="1:45">
      <c r="A56" s="29"/>
      <c r="B56" s="29"/>
      <c r="C56" s="29"/>
      <c r="D56" s="29" t="s">
        <v>79</v>
      </c>
      <c r="E56" s="29" t="s">
        <v>2184</v>
      </c>
      <c r="F56" s="29" t="s">
        <v>1648</v>
      </c>
      <c r="G56" s="29" t="s">
        <v>2186</v>
      </c>
      <c r="H56" s="29" t="s">
        <v>81</v>
      </c>
      <c r="I56" s="27" t="str">
        <f t="shared" si="0"/>
        <v>Castro, Oliver</v>
      </c>
      <c r="J56" s="29" t="s">
        <v>670</v>
      </c>
      <c r="K56" s="193" t="s">
        <v>2490</v>
      </c>
      <c r="L56" s="29"/>
      <c r="M56" s="29" t="s">
        <v>1642</v>
      </c>
      <c r="N56" s="29"/>
      <c r="O56" s="29"/>
      <c r="P56" s="29"/>
      <c r="Q56" s="29"/>
      <c r="R56" s="29"/>
      <c r="S56" s="181"/>
      <c r="T56" s="88" t="str">
        <f ca="1" t="shared" si="1"/>
        <v/>
      </c>
      <c r="U56" s="29"/>
      <c r="V56" s="29"/>
      <c r="W56" s="29"/>
      <c r="X56" s="29"/>
      <c r="Y56" s="29"/>
      <c r="Z56" s="29"/>
      <c r="AA56" s="181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r="57" ht="15.75" customHeight="1" spans="1:45">
      <c r="A57" s="29"/>
      <c r="B57" s="29"/>
      <c r="C57" s="29"/>
      <c r="D57" s="29" t="s">
        <v>79</v>
      </c>
      <c r="E57" s="29" t="s">
        <v>2177</v>
      </c>
      <c r="F57" s="29" t="s">
        <v>2212</v>
      </c>
      <c r="G57" s="29"/>
      <c r="H57" s="29" t="s">
        <v>81</v>
      </c>
      <c r="I57" s="27" t="str">
        <f t="shared" si="0"/>
        <v>Castro, Lysette Anne</v>
      </c>
      <c r="J57" s="29" t="s">
        <v>670</v>
      </c>
      <c r="K57" s="194" t="s">
        <v>2491</v>
      </c>
      <c r="L57" s="29"/>
      <c r="M57" s="29" t="s">
        <v>57</v>
      </c>
      <c r="N57" s="29"/>
      <c r="O57" s="29"/>
      <c r="P57" s="29"/>
      <c r="Q57" s="29"/>
      <c r="R57" s="29"/>
      <c r="S57" s="181"/>
      <c r="T57" s="88" t="str">
        <f ca="1" t="shared" si="1"/>
        <v/>
      </c>
      <c r="U57" s="29"/>
      <c r="V57" s="29"/>
      <c r="W57" s="29"/>
      <c r="X57" s="29"/>
      <c r="Y57" s="29"/>
      <c r="Z57" s="29"/>
      <c r="AA57" s="181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 ht="15.75" customHeight="1" spans="1:45">
      <c r="A58" s="29"/>
      <c r="B58" s="29"/>
      <c r="C58" s="29"/>
      <c r="D58" s="29" t="s">
        <v>51</v>
      </c>
      <c r="E58" s="29" t="s">
        <v>2181</v>
      </c>
      <c r="F58" s="29" t="s">
        <v>1742</v>
      </c>
      <c r="G58" s="29"/>
      <c r="H58" s="29" t="s">
        <v>81</v>
      </c>
      <c r="I58" s="27" t="str">
        <f t="shared" si="0"/>
        <v>Castro, Henzy Giovan</v>
      </c>
      <c r="J58" s="29" t="s">
        <v>670</v>
      </c>
      <c r="K58" s="29" t="s">
        <v>2492</v>
      </c>
      <c r="L58" s="29" t="s">
        <v>222</v>
      </c>
      <c r="M58" s="29" t="s">
        <v>1642</v>
      </c>
      <c r="N58" s="29" t="s">
        <v>2493</v>
      </c>
      <c r="O58" s="29" t="s">
        <v>617</v>
      </c>
      <c r="P58" s="29" t="s">
        <v>1554</v>
      </c>
      <c r="Q58" s="29" t="s">
        <v>2494</v>
      </c>
      <c r="R58" s="29" t="s">
        <v>2495</v>
      </c>
      <c r="S58" s="181">
        <v>39169</v>
      </c>
      <c r="T58" s="88">
        <f ca="1" t="shared" si="1"/>
        <v>19</v>
      </c>
      <c r="U58" s="29" t="s">
        <v>1734</v>
      </c>
      <c r="V58" s="29" t="s">
        <v>2496</v>
      </c>
      <c r="W58" s="29" t="s">
        <v>2497</v>
      </c>
      <c r="X58" s="29"/>
      <c r="Y58" s="29"/>
      <c r="Z58" s="29"/>
      <c r="AA58" s="181"/>
      <c r="AB58" s="29"/>
      <c r="AC58" s="29"/>
      <c r="AD58" s="29"/>
      <c r="AE58" s="29" t="s">
        <v>2498</v>
      </c>
      <c r="AF58" s="29" t="s">
        <v>2499</v>
      </c>
      <c r="AG58" s="29" t="s">
        <v>2500</v>
      </c>
      <c r="AH58" s="29"/>
      <c r="AI58" s="29"/>
      <c r="AJ58" s="29" t="s">
        <v>2246</v>
      </c>
      <c r="AK58" s="29" t="s">
        <v>446</v>
      </c>
      <c r="AL58" s="29" t="s">
        <v>561</v>
      </c>
      <c r="AM58" s="29" t="s">
        <v>2300</v>
      </c>
      <c r="AN58" s="29">
        <v>2</v>
      </c>
      <c r="AO58" s="29">
        <v>2</v>
      </c>
      <c r="AP58" s="29" t="s">
        <v>2501</v>
      </c>
      <c r="AQ58" s="29" t="s">
        <v>625</v>
      </c>
      <c r="AR58" s="29" t="s">
        <v>30</v>
      </c>
      <c r="AS58" s="29" t="s">
        <v>674</v>
      </c>
    </row>
    <row r="59" ht="15.75" customHeight="1" spans="1:45">
      <c r="A59" s="29"/>
      <c r="B59" s="29"/>
      <c r="C59" s="29"/>
      <c r="D59" s="29" t="s">
        <v>79</v>
      </c>
      <c r="E59" s="29" t="s">
        <v>2189</v>
      </c>
      <c r="F59" s="29" t="s">
        <v>1742</v>
      </c>
      <c r="G59" s="29"/>
      <c r="H59" s="29" t="s">
        <v>81</v>
      </c>
      <c r="I59" s="27" t="str">
        <f t="shared" si="0"/>
        <v>Castro, Harnelle</v>
      </c>
      <c r="J59" s="29" t="s">
        <v>670</v>
      </c>
      <c r="K59" s="29" t="s">
        <v>2502</v>
      </c>
      <c r="L59" s="29"/>
      <c r="M59" s="29" t="s">
        <v>1642</v>
      </c>
      <c r="N59" s="29" t="s">
        <v>2493</v>
      </c>
      <c r="O59" s="29" t="s">
        <v>617</v>
      </c>
      <c r="P59" s="29" t="s">
        <v>1554</v>
      </c>
      <c r="Q59" s="29"/>
      <c r="R59" s="29"/>
      <c r="S59" s="181"/>
      <c r="T59" s="88" t="str">
        <f ca="1" t="shared" si="1"/>
        <v/>
      </c>
      <c r="U59" s="29" t="s">
        <v>1734</v>
      </c>
      <c r="V59" s="29" t="s">
        <v>2496</v>
      </c>
      <c r="W59" s="29" t="s">
        <v>2497</v>
      </c>
      <c r="X59" s="29" t="s">
        <v>51</v>
      </c>
      <c r="Y59" s="181">
        <v>43233</v>
      </c>
      <c r="Z59" s="29" t="s">
        <v>51</v>
      </c>
      <c r="AA59" s="181" t="s">
        <v>2430</v>
      </c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 t="s">
        <v>2501</v>
      </c>
      <c r="AQ59" s="29" t="s">
        <v>625</v>
      </c>
      <c r="AR59" s="29" t="s">
        <v>30</v>
      </c>
      <c r="AS59" s="29" t="s">
        <v>674</v>
      </c>
    </row>
    <row r="60" ht="15.75" customHeight="1" spans="1:45">
      <c r="A60" s="29"/>
      <c r="B60" s="29"/>
      <c r="C60" s="29"/>
      <c r="D60" s="29" t="s">
        <v>51</v>
      </c>
      <c r="E60" s="29" t="s">
        <v>2189</v>
      </c>
      <c r="F60" s="29" t="s">
        <v>2205</v>
      </c>
      <c r="G60" s="29"/>
      <c r="H60" s="29" t="s">
        <v>126</v>
      </c>
      <c r="I60" s="27" t="str">
        <f t="shared" si="0"/>
        <v>Castro, Harell Ethan Augh</v>
      </c>
      <c r="J60" s="29" t="s">
        <v>670</v>
      </c>
      <c r="K60" s="29" t="s">
        <v>2503</v>
      </c>
      <c r="L60" s="29" t="s">
        <v>222</v>
      </c>
      <c r="M60" s="29" t="s">
        <v>1642</v>
      </c>
      <c r="N60" s="29" t="s">
        <v>2493</v>
      </c>
      <c r="O60" s="29" t="s">
        <v>617</v>
      </c>
      <c r="P60" s="29" t="s">
        <v>1554</v>
      </c>
      <c r="Q60" s="29" t="s">
        <v>2504</v>
      </c>
      <c r="R60" s="29" t="s">
        <v>2505</v>
      </c>
      <c r="S60" s="181">
        <v>38223</v>
      </c>
      <c r="T60" s="88">
        <f ca="1" t="shared" si="1"/>
        <v>22</v>
      </c>
      <c r="U60" s="29" t="s">
        <v>1734</v>
      </c>
      <c r="V60" s="29" t="s">
        <v>2496</v>
      </c>
      <c r="W60" s="29" t="s">
        <v>2497</v>
      </c>
      <c r="X60" s="29" t="s">
        <v>51</v>
      </c>
      <c r="Y60" s="235" t="s">
        <v>2506</v>
      </c>
      <c r="Z60" s="29" t="s">
        <v>51</v>
      </c>
      <c r="AA60" s="181" t="s">
        <v>1590</v>
      </c>
      <c r="AB60" s="29"/>
      <c r="AC60" s="29"/>
      <c r="AD60" s="29"/>
      <c r="AE60" s="29" t="s">
        <v>2498</v>
      </c>
      <c r="AF60" s="29" t="s">
        <v>2507</v>
      </c>
      <c r="AG60" s="29"/>
      <c r="AH60" s="29" t="s">
        <v>2508</v>
      </c>
      <c r="AI60" s="29" t="s">
        <v>2509</v>
      </c>
      <c r="AJ60" s="29"/>
      <c r="AK60" s="29" t="s">
        <v>1077</v>
      </c>
      <c r="AL60" s="29" t="s">
        <v>2510</v>
      </c>
      <c r="AM60" s="29" t="s">
        <v>2511</v>
      </c>
      <c r="AN60" s="29">
        <v>8</v>
      </c>
      <c r="AO60" s="29">
        <v>6</v>
      </c>
      <c r="AP60" s="29" t="s">
        <v>2501</v>
      </c>
      <c r="AQ60" s="29" t="s">
        <v>625</v>
      </c>
      <c r="AR60" s="29" t="s">
        <v>30</v>
      </c>
      <c r="AS60" s="29" t="s">
        <v>674</v>
      </c>
    </row>
    <row r="61" ht="15.75" customHeight="1" spans="1:45">
      <c r="A61" s="29"/>
      <c r="B61" s="29"/>
      <c r="C61" s="29"/>
      <c r="D61" s="29" t="s">
        <v>79</v>
      </c>
      <c r="E61" s="29" t="s">
        <v>2181</v>
      </c>
      <c r="F61" s="29" t="s">
        <v>2231</v>
      </c>
      <c r="G61" s="29"/>
      <c r="H61" s="29" t="s">
        <v>81</v>
      </c>
      <c r="I61" s="27" t="str">
        <f t="shared" si="0"/>
        <v>Cayat, Shadrac</v>
      </c>
      <c r="J61" s="29" t="s">
        <v>2512</v>
      </c>
      <c r="K61" s="29" t="s">
        <v>2513</v>
      </c>
      <c r="L61" s="29"/>
      <c r="M61" s="29" t="s">
        <v>1642</v>
      </c>
      <c r="N61" s="29"/>
      <c r="O61" s="29"/>
      <c r="P61" s="29"/>
      <c r="Q61" s="29"/>
      <c r="R61" s="29"/>
      <c r="S61" s="181"/>
      <c r="T61" s="88" t="str">
        <f ca="1" t="shared" si="1"/>
        <v/>
      </c>
      <c r="U61" s="29"/>
      <c r="V61" s="29"/>
      <c r="W61" s="29"/>
      <c r="X61" s="29"/>
      <c r="Y61" s="29"/>
      <c r="Z61" s="29"/>
      <c r="AA61" s="181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</row>
    <row r="62" ht="15.75" customHeight="1" spans="1:45">
      <c r="A62" s="29"/>
      <c r="B62" s="29"/>
      <c r="C62" s="29"/>
      <c r="D62" s="29" t="s">
        <v>51</v>
      </c>
      <c r="E62" s="29"/>
      <c r="F62" s="29"/>
      <c r="G62" s="29"/>
      <c r="H62" s="29"/>
      <c r="I62" s="27" t="str">
        <f t="shared" si="0"/>
        <v>Copes, Vonlouie</v>
      </c>
      <c r="J62" s="29" t="s">
        <v>2514</v>
      </c>
      <c r="K62" s="29" t="s">
        <v>2515</v>
      </c>
      <c r="L62" s="29" t="s">
        <v>951</v>
      </c>
      <c r="M62" s="29" t="s">
        <v>1642</v>
      </c>
      <c r="N62" s="29" t="s">
        <v>2516</v>
      </c>
      <c r="O62" s="29" t="s">
        <v>1402</v>
      </c>
      <c r="P62" s="29" t="s">
        <v>2517</v>
      </c>
      <c r="Q62" s="29" t="s">
        <v>2518</v>
      </c>
      <c r="R62" s="29" t="s">
        <v>2519</v>
      </c>
      <c r="S62" s="181">
        <v>40113</v>
      </c>
      <c r="T62" s="88">
        <f ca="1" t="shared" si="1"/>
        <v>16</v>
      </c>
      <c r="U62" s="29" t="s">
        <v>123</v>
      </c>
      <c r="V62" s="29" t="s">
        <v>2520</v>
      </c>
      <c r="W62" s="29" t="s">
        <v>2521</v>
      </c>
      <c r="X62" s="29" t="s">
        <v>51</v>
      </c>
      <c r="Y62" s="29"/>
      <c r="Z62" s="29" t="s">
        <v>51</v>
      </c>
      <c r="AA62" s="181"/>
      <c r="AB62" s="29"/>
      <c r="AC62" s="29" t="s">
        <v>2364</v>
      </c>
      <c r="AD62" s="29" t="s">
        <v>2365</v>
      </c>
      <c r="AE62" s="29"/>
      <c r="AF62" s="29" t="s">
        <v>2522</v>
      </c>
      <c r="AG62" s="29"/>
      <c r="AH62" s="29"/>
      <c r="AI62" s="29" t="s">
        <v>2523</v>
      </c>
      <c r="AJ62" s="29"/>
      <c r="AK62" s="29" t="s">
        <v>2524</v>
      </c>
      <c r="AL62" s="29" t="s">
        <v>2525</v>
      </c>
      <c r="AM62" s="29" t="s">
        <v>2526</v>
      </c>
      <c r="AN62" s="29"/>
      <c r="AO62" s="29"/>
      <c r="AP62" s="29" t="s">
        <v>2521</v>
      </c>
      <c r="AQ62" s="29" t="s">
        <v>625</v>
      </c>
      <c r="AR62" s="29" t="s">
        <v>30</v>
      </c>
      <c r="AS62" s="29" t="s">
        <v>2527</v>
      </c>
    </row>
    <row r="63" ht="15.75" customHeight="1" spans="1:45">
      <c r="A63" s="29"/>
      <c r="B63" s="29"/>
      <c r="C63" s="29"/>
      <c r="D63" s="29" t="s">
        <v>79</v>
      </c>
      <c r="E63" s="29" t="s">
        <v>2181</v>
      </c>
      <c r="F63" s="29" t="s">
        <v>2212</v>
      </c>
      <c r="G63" s="29"/>
      <c r="H63" s="29" t="s">
        <v>81</v>
      </c>
      <c r="I63" s="27" t="str">
        <f t="shared" si="0"/>
        <v>Coyasan, Jhed </v>
      </c>
      <c r="J63" s="29" t="s">
        <v>724</v>
      </c>
      <c r="K63" s="29" t="s">
        <v>2528</v>
      </c>
      <c r="L63" s="29"/>
      <c r="M63" s="29" t="s">
        <v>1642</v>
      </c>
      <c r="N63" s="29"/>
      <c r="O63" s="29"/>
      <c r="P63" s="29"/>
      <c r="Q63" s="29"/>
      <c r="R63" s="29"/>
      <c r="S63" s="181"/>
      <c r="T63" s="88" t="str">
        <f ca="1" t="shared" si="1"/>
        <v/>
      </c>
      <c r="U63" s="29"/>
      <c r="V63" s="29"/>
      <c r="W63" s="29"/>
      <c r="X63" s="29"/>
      <c r="Y63" s="29"/>
      <c r="Z63" s="29"/>
      <c r="AA63" s="181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</row>
    <row r="64" ht="15.75" customHeight="1" spans="1:45">
      <c r="A64" s="29"/>
      <c r="B64" s="29"/>
      <c r="C64" s="29"/>
      <c r="D64" s="29" t="s">
        <v>79</v>
      </c>
      <c r="E64" s="29" t="s">
        <v>2181</v>
      </c>
      <c r="F64" s="29" t="s">
        <v>2423</v>
      </c>
      <c r="G64" s="29"/>
      <c r="H64" s="29" t="s">
        <v>81</v>
      </c>
      <c r="I64" s="27" t="str">
        <f t="shared" si="0"/>
        <v>Coyasan, Jhake Rhey</v>
      </c>
      <c r="J64" s="29" t="s">
        <v>724</v>
      </c>
      <c r="K64" s="29" t="s">
        <v>2529</v>
      </c>
      <c r="L64" s="29"/>
      <c r="M64" s="29" t="s">
        <v>1642</v>
      </c>
      <c r="N64" s="29"/>
      <c r="O64" s="29"/>
      <c r="P64" s="29"/>
      <c r="Q64" s="29"/>
      <c r="R64" s="29"/>
      <c r="S64" s="181"/>
      <c r="T64" s="88" t="str">
        <f ca="1" t="shared" si="1"/>
        <v/>
      </c>
      <c r="U64" s="29"/>
      <c r="V64" s="29"/>
      <c r="W64" s="29"/>
      <c r="X64" s="29"/>
      <c r="Y64" s="29"/>
      <c r="Z64" s="29"/>
      <c r="AA64" s="181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r="65" ht="15.75" customHeight="1" spans="1:45">
      <c r="A65" s="29"/>
      <c r="B65" s="29"/>
      <c r="C65" s="29"/>
      <c r="D65" s="29" t="s">
        <v>51</v>
      </c>
      <c r="E65" s="29" t="s">
        <v>2189</v>
      </c>
      <c r="F65" s="29" t="s">
        <v>2178</v>
      </c>
      <c r="G65" s="29"/>
      <c r="H65" s="29" t="s">
        <v>81</v>
      </c>
      <c r="I65" s="27" t="str">
        <f t="shared" si="0"/>
        <v>Cruz, Krisha Camille</v>
      </c>
      <c r="J65" s="29" t="s">
        <v>753</v>
      </c>
      <c r="K65" s="29" t="s">
        <v>2530</v>
      </c>
      <c r="L65" s="29" t="s">
        <v>113</v>
      </c>
      <c r="M65" s="29" t="s">
        <v>57</v>
      </c>
      <c r="N65" s="29" t="s">
        <v>2531</v>
      </c>
      <c r="O65" s="189" t="s">
        <v>495</v>
      </c>
      <c r="P65" s="29" t="s">
        <v>123</v>
      </c>
      <c r="Q65" s="29" t="s">
        <v>2532</v>
      </c>
      <c r="R65" s="29" t="s">
        <v>2533</v>
      </c>
      <c r="S65" s="181">
        <v>38458</v>
      </c>
      <c r="T65" s="88">
        <f ca="1" t="shared" si="1"/>
        <v>21</v>
      </c>
      <c r="U65" s="29" t="s">
        <v>123</v>
      </c>
      <c r="V65" s="29" t="s">
        <v>2534</v>
      </c>
      <c r="W65" s="29" t="s">
        <v>2535</v>
      </c>
      <c r="X65" s="29" t="s">
        <v>51</v>
      </c>
      <c r="Y65" s="235" t="s">
        <v>2351</v>
      </c>
      <c r="Z65" s="29" t="s">
        <v>51</v>
      </c>
      <c r="AA65" s="181"/>
      <c r="AB65" s="29"/>
      <c r="AC65" s="29"/>
      <c r="AD65" s="29"/>
      <c r="AE65" s="29" t="s">
        <v>2536</v>
      </c>
      <c r="AF65" s="29" t="s">
        <v>2244</v>
      </c>
      <c r="AG65" s="29"/>
      <c r="AH65" s="29" t="s">
        <v>2537</v>
      </c>
      <c r="AI65" s="29" t="s">
        <v>2538</v>
      </c>
      <c r="AJ65" s="29" t="s">
        <v>2246</v>
      </c>
      <c r="AK65" s="29" t="s">
        <v>249</v>
      </c>
      <c r="AL65" s="29"/>
      <c r="AM65" s="29"/>
      <c r="AN65" s="29">
        <v>6</v>
      </c>
      <c r="AO65" s="29">
        <v>2</v>
      </c>
      <c r="AP65" s="29" t="s">
        <v>2539</v>
      </c>
      <c r="AQ65" s="29" t="s">
        <v>625</v>
      </c>
      <c r="AR65" s="29" t="s">
        <v>30</v>
      </c>
      <c r="AS65" s="29" t="s">
        <v>774</v>
      </c>
    </row>
    <row r="66" ht="15.75" customHeight="1" spans="1:45">
      <c r="A66" s="29"/>
      <c r="B66" s="29"/>
      <c r="C66" s="29"/>
      <c r="D66" s="29" t="s">
        <v>51</v>
      </c>
      <c r="E66" s="29" t="s">
        <v>2189</v>
      </c>
      <c r="F66" s="29" t="s">
        <v>2182</v>
      </c>
      <c r="G66" s="29"/>
      <c r="H66" s="29" t="s">
        <v>81</v>
      </c>
      <c r="I66" s="27" t="str">
        <f t="shared" si="0"/>
        <v>Cruz, Cedrick Aron</v>
      </c>
      <c r="J66" s="29" t="s">
        <v>753</v>
      </c>
      <c r="K66" s="29" t="s">
        <v>2540</v>
      </c>
      <c r="L66" s="29" t="s">
        <v>113</v>
      </c>
      <c r="M66" s="29" t="s">
        <v>1642</v>
      </c>
      <c r="N66" s="29" t="s">
        <v>494</v>
      </c>
      <c r="O66" s="29" t="s">
        <v>495</v>
      </c>
      <c r="P66" s="29"/>
      <c r="Q66" s="29" t="s">
        <v>2541</v>
      </c>
      <c r="R66" s="29" t="s">
        <v>2542</v>
      </c>
      <c r="S66" s="181">
        <v>39529</v>
      </c>
      <c r="T66" s="88">
        <f ca="1" t="shared" si="1"/>
        <v>18</v>
      </c>
      <c r="U66" s="29"/>
      <c r="V66" s="29" t="s">
        <v>2534</v>
      </c>
      <c r="W66" s="29" t="s">
        <v>2535</v>
      </c>
      <c r="X66" s="29" t="s">
        <v>51</v>
      </c>
      <c r="Y66" s="29"/>
      <c r="Z66" s="29" t="s">
        <v>51</v>
      </c>
      <c r="AA66" s="181" t="s">
        <v>2543</v>
      </c>
      <c r="AB66" s="29"/>
      <c r="AC66" s="29"/>
      <c r="AD66" s="29"/>
      <c r="AE66" s="29" t="s">
        <v>2544</v>
      </c>
      <c r="AF66" s="29" t="s">
        <v>2545</v>
      </c>
      <c r="AG66" s="29"/>
      <c r="AH66" s="29"/>
      <c r="AI66" s="29" t="s">
        <v>172</v>
      </c>
      <c r="AJ66" s="29"/>
      <c r="AK66" s="29" t="s">
        <v>2546</v>
      </c>
      <c r="AL66" s="29" t="s">
        <v>1730</v>
      </c>
      <c r="AM66" s="29"/>
      <c r="AN66" s="29"/>
      <c r="AO66" s="29"/>
      <c r="AP66" s="29" t="s">
        <v>2539</v>
      </c>
      <c r="AQ66" s="29" t="s">
        <v>625</v>
      </c>
      <c r="AR66" s="29" t="s">
        <v>30</v>
      </c>
      <c r="AS66" s="29" t="s">
        <v>774</v>
      </c>
    </row>
    <row r="67" ht="15.75" customHeight="1" spans="1:45">
      <c r="A67" s="29"/>
      <c r="B67" s="29"/>
      <c r="C67" s="29"/>
      <c r="D67" s="29" t="s">
        <v>79</v>
      </c>
      <c r="E67" s="29" t="s">
        <v>2184</v>
      </c>
      <c r="F67" s="29" t="s">
        <v>1648</v>
      </c>
      <c r="G67" s="29"/>
      <c r="H67" s="29" t="s">
        <v>81</v>
      </c>
      <c r="I67" s="27" t="str">
        <f t="shared" si="0"/>
        <v>Cutay, Timothy</v>
      </c>
      <c r="J67" s="29" t="s">
        <v>785</v>
      </c>
      <c r="K67" s="29" t="s">
        <v>2231</v>
      </c>
      <c r="L67" s="29"/>
      <c r="M67" s="29" t="s">
        <v>1642</v>
      </c>
      <c r="N67" s="29"/>
      <c r="O67" s="29"/>
      <c r="P67" s="29"/>
      <c r="Q67" s="29"/>
      <c r="R67" s="29"/>
      <c r="S67" s="181"/>
      <c r="T67" s="88" t="str">
        <f ca="1" t="shared" si="1"/>
        <v/>
      </c>
      <c r="U67" s="29"/>
      <c r="V67" s="29"/>
      <c r="W67" s="29"/>
      <c r="X67" s="29"/>
      <c r="Y67" s="29"/>
      <c r="Z67" s="29"/>
      <c r="AA67" s="181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</row>
    <row r="68" ht="15.75" customHeight="1" spans="1:45">
      <c r="A68" s="29"/>
      <c r="B68" s="29"/>
      <c r="C68" s="29"/>
      <c r="D68" s="29" t="s">
        <v>51</v>
      </c>
      <c r="E68" s="29" t="s">
        <v>2181</v>
      </c>
      <c r="F68" s="29" t="s">
        <v>2178</v>
      </c>
      <c r="G68" s="29"/>
      <c r="H68" s="29" t="s">
        <v>81</v>
      </c>
      <c r="I68" s="27" t="str">
        <f t="shared" si="0"/>
        <v>Dacanay, Trisha Joyce</v>
      </c>
      <c r="J68" s="29" t="s">
        <v>816</v>
      </c>
      <c r="K68" s="29" t="s">
        <v>2547</v>
      </c>
      <c r="L68" s="29"/>
      <c r="M68" s="29" t="s">
        <v>57</v>
      </c>
      <c r="N68" s="29" t="s">
        <v>2548</v>
      </c>
      <c r="O68" s="189" t="s">
        <v>820</v>
      </c>
      <c r="P68" s="29"/>
      <c r="Q68" s="29" t="s">
        <v>2549</v>
      </c>
      <c r="R68" s="29" t="s">
        <v>2550</v>
      </c>
      <c r="S68" s="181">
        <v>37497</v>
      </c>
      <c r="T68" s="88">
        <f ca="1" t="shared" si="1"/>
        <v>24</v>
      </c>
      <c r="U68" s="29" t="s">
        <v>123</v>
      </c>
      <c r="V68" s="29" t="s">
        <v>824</v>
      </c>
      <c r="W68" s="29" t="s">
        <v>2551</v>
      </c>
      <c r="X68" s="29" t="s">
        <v>51</v>
      </c>
      <c r="Y68" s="29"/>
      <c r="Z68" s="29" t="s">
        <v>51</v>
      </c>
      <c r="AA68" s="181"/>
      <c r="AB68" s="29"/>
      <c r="AC68" s="29"/>
      <c r="AD68" s="29"/>
      <c r="AE68" s="29" t="s">
        <v>2552</v>
      </c>
      <c r="AF68" s="29" t="s">
        <v>2195</v>
      </c>
      <c r="AG68" s="29"/>
      <c r="AH68" s="29"/>
      <c r="AI68" s="29"/>
      <c r="AJ68" s="29"/>
      <c r="AK68" s="29" t="s">
        <v>446</v>
      </c>
      <c r="AL68" s="29"/>
      <c r="AM68" s="29"/>
      <c r="AN68" s="29"/>
      <c r="AO68" s="29"/>
      <c r="AP68" s="29" t="s">
        <v>2551</v>
      </c>
      <c r="AQ68" s="29" t="s">
        <v>625</v>
      </c>
      <c r="AR68" s="29" t="s">
        <v>30</v>
      </c>
      <c r="AS68" s="29" t="s">
        <v>821</v>
      </c>
    </row>
    <row r="69" ht="15.75" customHeight="1" spans="1:45">
      <c r="A69" s="29"/>
      <c r="B69" s="29"/>
      <c r="C69" s="29"/>
      <c r="D69" s="29" t="s">
        <v>51</v>
      </c>
      <c r="E69" s="29" t="s">
        <v>2181</v>
      </c>
      <c r="F69" s="29" t="s">
        <v>2178</v>
      </c>
      <c r="G69" s="29"/>
      <c r="H69" s="29" t="s">
        <v>81</v>
      </c>
      <c r="I69" s="27" t="str">
        <f t="shared" si="0"/>
        <v>Dacanay, Arianah Venisse</v>
      </c>
      <c r="J69" s="29" t="s">
        <v>816</v>
      </c>
      <c r="K69" s="29" t="s">
        <v>2553</v>
      </c>
      <c r="L69" s="29" t="s">
        <v>818</v>
      </c>
      <c r="M69" s="29" t="s">
        <v>57</v>
      </c>
      <c r="N69" s="29" t="s">
        <v>2548</v>
      </c>
      <c r="O69" s="189" t="s">
        <v>820</v>
      </c>
      <c r="P69" s="29"/>
      <c r="Q69" s="29" t="s">
        <v>2554</v>
      </c>
      <c r="R69" s="29" t="s">
        <v>2555</v>
      </c>
      <c r="S69" s="181">
        <v>40301</v>
      </c>
      <c r="T69" s="88">
        <f ca="1" t="shared" si="1"/>
        <v>16</v>
      </c>
      <c r="U69" s="29" t="s">
        <v>123</v>
      </c>
      <c r="V69" s="29" t="s">
        <v>824</v>
      </c>
      <c r="W69" s="29" t="s">
        <v>2551</v>
      </c>
      <c r="X69" s="29" t="s">
        <v>51</v>
      </c>
      <c r="Y69" s="29"/>
      <c r="Z69" s="29" t="s">
        <v>51</v>
      </c>
      <c r="AA69" s="181"/>
      <c r="AB69" s="29"/>
      <c r="AC69" s="29"/>
      <c r="AD69" s="29"/>
      <c r="AE69" s="29" t="s">
        <v>2417</v>
      </c>
      <c r="AF69" s="29" t="s">
        <v>2195</v>
      </c>
      <c r="AG69" s="29"/>
      <c r="AH69" s="29"/>
      <c r="AI69" s="29"/>
      <c r="AJ69" s="29"/>
      <c r="AK69" s="29" t="s">
        <v>268</v>
      </c>
      <c r="AL69" s="29" t="s">
        <v>2556</v>
      </c>
      <c r="AM69" s="29"/>
      <c r="AN69" s="29"/>
      <c r="AO69" s="29"/>
      <c r="AP69" s="29" t="s">
        <v>2551</v>
      </c>
      <c r="AQ69" s="29" t="s">
        <v>625</v>
      </c>
      <c r="AR69" s="29" t="s">
        <v>30</v>
      </c>
      <c r="AS69" s="29" t="s">
        <v>821</v>
      </c>
    </row>
    <row r="70" ht="15.75" customHeight="1" spans="1:45">
      <c r="A70" s="29"/>
      <c r="B70" s="29"/>
      <c r="C70" s="29"/>
      <c r="D70" s="29" t="s">
        <v>79</v>
      </c>
      <c r="E70" s="29" t="s">
        <v>2189</v>
      </c>
      <c r="F70" s="29" t="s">
        <v>2286</v>
      </c>
      <c r="G70" s="29"/>
      <c r="H70" s="29" t="s">
        <v>81</v>
      </c>
      <c r="I70" s="27" t="str">
        <f t="shared" si="0"/>
        <v>Dagupen, Lindsay</v>
      </c>
      <c r="J70" s="29" t="s">
        <v>828</v>
      </c>
      <c r="K70" s="29" t="s">
        <v>2557</v>
      </c>
      <c r="L70" s="29"/>
      <c r="M70" s="29" t="s">
        <v>57</v>
      </c>
      <c r="N70" s="29"/>
      <c r="O70" s="29"/>
      <c r="P70" s="29"/>
      <c r="Q70" s="29"/>
      <c r="R70" s="29"/>
      <c r="S70" s="181"/>
      <c r="T70" s="88" t="str">
        <f ca="1" t="shared" si="1"/>
        <v/>
      </c>
      <c r="U70" s="29"/>
      <c r="V70" s="29"/>
      <c r="W70" s="29"/>
      <c r="X70" s="29"/>
      <c r="Y70" s="29"/>
      <c r="Z70" s="29"/>
      <c r="AA70" s="181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</row>
    <row r="71" ht="15.75" customHeight="1" spans="1:45">
      <c r="A71" s="29"/>
      <c r="B71" s="29"/>
      <c r="C71" s="29"/>
      <c r="D71" s="29" t="s">
        <v>51</v>
      </c>
      <c r="E71" s="29" t="s">
        <v>2181</v>
      </c>
      <c r="F71" s="29" t="s">
        <v>1648</v>
      </c>
      <c r="G71" s="29"/>
      <c r="H71" s="29" t="s">
        <v>81</v>
      </c>
      <c r="I71" s="27" t="str">
        <f t="shared" si="0"/>
        <v>Daiwey, Sherman AJ</v>
      </c>
      <c r="J71" s="29" t="s">
        <v>843</v>
      </c>
      <c r="K71" s="29" t="s">
        <v>2558</v>
      </c>
      <c r="L71" s="29" t="s">
        <v>161</v>
      </c>
      <c r="M71" s="29" t="s">
        <v>1642</v>
      </c>
      <c r="N71" s="29" t="s">
        <v>845</v>
      </c>
      <c r="O71" s="29" t="s">
        <v>163</v>
      </c>
      <c r="P71" s="29" t="s">
        <v>123</v>
      </c>
      <c r="Q71" s="29" t="s">
        <v>2559</v>
      </c>
      <c r="R71" s="29" t="s">
        <v>2560</v>
      </c>
      <c r="S71" s="181">
        <v>39808</v>
      </c>
      <c r="T71" s="88">
        <f ca="1" t="shared" si="1"/>
        <v>17</v>
      </c>
      <c r="U71" s="29" t="s">
        <v>123</v>
      </c>
      <c r="V71" s="29" t="s">
        <v>2561</v>
      </c>
      <c r="W71" s="29" t="s">
        <v>2562</v>
      </c>
      <c r="X71" s="29" t="s">
        <v>51</v>
      </c>
      <c r="Y71" s="235" t="s">
        <v>2563</v>
      </c>
      <c r="Z71" s="29" t="s">
        <v>51</v>
      </c>
      <c r="AA71" s="181" t="s">
        <v>2430</v>
      </c>
      <c r="AB71" s="29"/>
      <c r="AC71" s="29"/>
      <c r="AD71" s="29"/>
      <c r="AE71" s="29" t="s">
        <v>2564</v>
      </c>
      <c r="AF71" s="29" t="s">
        <v>2565</v>
      </c>
      <c r="AG71" s="29" t="s">
        <v>2566</v>
      </c>
      <c r="AH71" s="29"/>
      <c r="AI71" s="29" t="s">
        <v>2538</v>
      </c>
      <c r="AJ71" s="29"/>
      <c r="AK71" s="29" t="s">
        <v>2567</v>
      </c>
      <c r="AL71" s="29" t="s">
        <v>1902</v>
      </c>
      <c r="AM71" s="29" t="s">
        <v>1078</v>
      </c>
      <c r="AN71" s="29">
        <v>1</v>
      </c>
      <c r="AO71" s="29">
        <v>1</v>
      </c>
      <c r="AP71" s="29" t="s">
        <v>2568</v>
      </c>
      <c r="AQ71" s="29" t="s">
        <v>625</v>
      </c>
      <c r="AR71" s="29" t="s">
        <v>30</v>
      </c>
      <c r="AS71" s="29" t="s">
        <v>2569</v>
      </c>
    </row>
    <row r="72" ht="15.75" customHeight="1" spans="1:45">
      <c r="A72" s="29"/>
      <c r="B72" s="29"/>
      <c r="C72" s="29"/>
      <c r="D72" s="29" t="s">
        <v>51</v>
      </c>
      <c r="E72" s="29" t="s">
        <v>2181</v>
      </c>
      <c r="F72" s="29" t="s">
        <v>2185</v>
      </c>
      <c r="G72" s="29"/>
      <c r="H72" s="29" t="s">
        <v>81</v>
      </c>
      <c r="I72" s="27" t="str">
        <f t="shared" si="0"/>
        <v>Daiwey, Havilah Leigh</v>
      </c>
      <c r="J72" s="29" t="s">
        <v>843</v>
      </c>
      <c r="K72" s="29" t="s">
        <v>2570</v>
      </c>
      <c r="L72" s="29" t="s">
        <v>161</v>
      </c>
      <c r="M72" s="29" t="s">
        <v>57</v>
      </c>
      <c r="N72" s="29" t="s">
        <v>845</v>
      </c>
      <c r="O72" s="29" t="s">
        <v>163</v>
      </c>
      <c r="P72" s="29"/>
      <c r="Q72" s="29" t="s">
        <v>2571</v>
      </c>
      <c r="R72" s="29" t="s">
        <v>2572</v>
      </c>
      <c r="S72" s="181">
        <v>36638</v>
      </c>
      <c r="T72" s="88">
        <f ca="1" t="shared" si="1"/>
        <v>26</v>
      </c>
      <c r="U72" s="29" t="s">
        <v>123</v>
      </c>
      <c r="V72" s="29" t="s">
        <v>2561</v>
      </c>
      <c r="W72" s="29" t="s">
        <v>2562</v>
      </c>
      <c r="X72" s="29" t="s">
        <v>51</v>
      </c>
      <c r="Y72" s="181">
        <v>39858</v>
      </c>
      <c r="Z72" s="29" t="s">
        <v>51</v>
      </c>
      <c r="AA72" s="181"/>
      <c r="AB72" s="29"/>
      <c r="AC72" s="29"/>
      <c r="AD72" s="29"/>
      <c r="AE72" s="29" t="s">
        <v>2573</v>
      </c>
      <c r="AF72" s="29"/>
      <c r="AG72" s="29"/>
      <c r="AH72" s="29"/>
      <c r="AI72" s="29" t="s">
        <v>2574</v>
      </c>
      <c r="AJ72" s="29"/>
      <c r="AK72" s="29" t="s">
        <v>249</v>
      </c>
      <c r="AL72" s="29" t="s">
        <v>153</v>
      </c>
      <c r="AM72" s="29"/>
      <c r="AN72" s="29">
        <v>2</v>
      </c>
      <c r="AO72" s="29"/>
      <c r="AP72" s="29" t="s">
        <v>2568</v>
      </c>
      <c r="AQ72" s="29" t="s">
        <v>625</v>
      </c>
      <c r="AR72" s="29" t="s">
        <v>30</v>
      </c>
      <c r="AS72" s="29" t="s">
        <v>2569</v>
      </c>
    </row>
    <row r="73" ht="15.75" customHeight="1" spans="1:45">
      <c r="A73" s="29"/>
      <c r="B73" s="29"/>
      <c r="C73" s="29"/>
      <c r="D73" s="29" t="s">
        <v>51</v>
      </c>
      <c r="E73" s="29" t="s">
        <v>2177</v>
      </c>
      <c r="F73" s="29" t="s">
        <v>2182</v>
      </c>
      <c r="G73" s="29"/>
      <c r="H73" s="29" t="s">
        <v>81</v>
      </c>
      <c r="I73" s="27" t="str">
        <f t="shared" si="0"/>
        <v>Daliyong, Marvie</v>
      </c>
      <c r="J73" s="29" t="s">
        <v>2575</v>
      </c>
      <c r="K73" s="29" t="s">
        <v>2576</v>
      </c>
      <c r="L73" s="29" t="s">
        <v>161</v>
      </c>
      <c r="M73" s="29" t="s">
        <v>57</v>
      </c>
      <c r="N73" s="29" t="s">
        <v>2577</v>
      </c>
      <c r="O73" s="29" t="s">
        <v>687</v>
      </c>
      <c r="P73" s="29" t="s">
        <v>2578</v>
      </c>
      <c r="Q73" s="29" t="s">
        <v>2579</v>
      </c>
      <c r="R73" s="29" t="s">
        <v>2580</v>
      </c>
      <c r="S73" s="181">
        <v>38074</v>
      </c>
      <c r="T73" s="88">
        <f ca="1" t="shared" si="1"/>
        <v>22</v>
      </c>
      <c r="U73" s="29" t="s">
        <v>2581</v>
      </c>
      <c r="V73" s="29" t="s">
        <v>2582</v>
      </c>
      <c r="W73" s="29" t="s">
        <v>2583</v>
      </c>
      <c r="X73" s="29" t="s">
        <v>51</v>
      </c>
      <c r="Y73" s="181">
        <v>42968</v>
      </c>
      <c r="Z73" s="29" t="s">
        <v>51</v>
      </c>
      <c r="AA73" s="181"/>
      <c r="AB73" s="29"/>
      <c r="AC73" s="29" t="s">
        <v>2584</v>
      </c>
      <c r="AD73" s="29" t="s">
        <v>2585</v>
      </c>
      <c r="AE73" s="29" t="s">
        <v>2536</v>
      </c>
      <c r="AF73" s="29" t="s">
        <v>2195</v>
      </c>
      <c r="AG73" s="29"/>
      <c r="AH73" s="29"/>
      <c r="AI73" s="29" t="s">
        <v>2246</v>
      </c>
      <c r="AJ73" s="29"/>
      <c r="AK73" s="29" t="s">
        <v>268</v>
      </c>
      <c r="AL73" s="29" t="s">
        <v>1902</v>
      </c>
      <c r="AM73" s="29"/>
      <c r="AN73" s="29">
        <v>7</v>
      </c>
      <c r="AO73" s="29">
        <v>4</v>
      </c>
      <c r="AP73" s="29" t="s">
        <v>2586</v>
      </c>
      <c r="AQ73" s="29" t="s">
        <v>2587</v>
      </c>
      <c r="AR73" s="29" t="s">
        <v>30</v>
      </c>
      <c r="AS73" s="29" t="s">
        <v>2588</v>
      </c>
    </row>
    <row r="74" ht="15.75" customHeight="1" spans="1:45">
      <c r="A74" s="29"/>
      <c r="B74" s="29"/>
      <c r="C74" s="29"/>
      <c r="D74" s="29" t="s">
        <v>79</v>
      </c>
      <c r="E74" s="29" t="s">
        <v>2189</v>
      </c>
      <c r="F74" s="29" t="s">
        <v>2182</v>
      </c>
      <c r="G74" s="29" t="s">
        <v>2186</v>
      </c>
      <c r="H74" s="29" t="s">
        <v>81</v>
      </c>
      <c r="I74" s="190" t="str">
        <f t="shared" si="0"/>
        <v>Dangla, Joshua Thans</v>
      </c>
      <c r="J74" s="29" t="s">
        <v>852</v>
      </c>
      <c r="K74" s="29" t="s">
        <v>2589</v>
      </c>
      <c r="L74" s="29"/>
      <c r="M74" s="29" t="s">
        <v>1642</v>
      </c>
      <c r="N74" s="29"/>
      <c r="O74" s="29"/>
      <c r="P74" s="29"/>
      <c r="Q74" s="29"/>
      <c r="R74" s="29"/>
      <c r="S74" s="181"/>
      <c r="T74" s="88" t="str">
        <f ca="1" t="shared" si="1"/>
        <v/>
      </c>
      <c r="U74" s="29"/>
      <c r="V74" s="29"/>
      <c r="W74" s="29"/>
      <c r="X74" s="29"/>
      <c r="Y74" s="29"/>
      <c r="Z74" s="29"/>
      <c r="AA74" s="181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</row>
    <row r="75" ht="15.75" customHeight="1" spans="1:45">
      <c r="A75" s="29"/>
      <c r="B75" s="29"/>
      <c r="C75" s="29"/>
      <c r="D75" s="29" t="s">
        <v>51</v>
      </c>
      <c r="E75" s="29" t="s">
        <v>2189</v>
      </c>
      <c r="F75" s="29" t="s">
        <v>2423</v>
      </c>
      <c r="G75" s="29"/>
      <c r="H75" s="29" t="s">
        <v>81</v>
      </c>
      <c r="I75" s="27" t="str">
        <f t="shared" si="0"/>
        <v>Dangla, Hiede Cattleyah</v>
      </c>
      <c r="J75" s="29" t="s">
        <v>852</v>
      </c>
      <c r="K75" s="29" t="s">
        <v>2590</v>
      </c>
      <c r="L75" s="29"/>
      <c r="M75" s="29" t="s">
        <v>57</v>
      </c>
      <c r="N75" s="29" t="s">
        <v>2591</v>
      </c>
      <c r="O75" s="29" t="s">
        <v>368</v>
      </c>
      <c r="P75" s="29"/>
      <c r="Q75" s="29" t="s">
        <v>866</v>
      </c>
      <c r="R75" s="29" t="s">
        <v>2592</v>
      </c>
      <c r="S75" s="181">
        <v>38634</v>
      </c>
      <c r="T75" s="88">
        <f ca="1" t="shared" si="1"/>
        <v>21</v>
      </c>
      <c r="U75" s="29" t="s">
        <v>2593</v>
      </c>
      <c r="V75" s="29" t="s">
        <v>863</v>
      </c>
      <c r="W75" s="29" t="s">
        <v>1481</v>
      </c>
      <c r="X75" s="29" t="s">
        <v>51</v>
      </c>
      <c r="Y75" s="181">
        <v>42351</v>
      </c>
      <c r="Z75" s="29" t="s">
        <v>51</v>
      </c>
      <c r="AA75" s="181"/>
      <c r="AB75" s="29"/>
      <c r="AC75" s="29"/>
      <c r="AD75" s="29"/>
      <c r="AE75" s="29" t="s">
        <v>2282</v>
      </c>
      <c r="AF75" s="29" t="s">
        <v>2244</v>
      </c>
      <c r="AG75" s="29" t="s">
        <v>2594</v>
      </c>
      <c r="AH75" s="29" t="s">
        <v>2595</v>
      </c>
      <c r="AI75" s="29" t="s">
        <v>2596</v>
      </c>
      <c r="AJ75" s="29" t="s">
        <v>268</v>
      </c>
      <c r="AK75" s="29" t="s">
        <v>268</v>
      </c>
      <c r="AL75" s="29" t="s">
        <v>561</v>
      </c>
      <c r="AM75" s="29"/>
      <c r="AN75" s="29">
        <v>5</v>
      </c>
      <c r="AO75" s="29">
        <v>4</v>
      </c>
      <c r="AP75" s="29" t="s">
        <v>1481</v>
      </c>
      <c r="AQ75" s="29" t="s">
        <v>625</v>
      </c>
      <c r="AR75" s="29" t="s">
        <v>30</v>
      </c>
      <c r="AS75" s="29" t="s">
        <v>856</v>
      </c>
    </row>
    <row r="76" ht="15.75" customHeight="1" spans="1:45">
      <c r="A76" s="29"/>
      <c r="B76" s="29"/>
      <c r="C76" s="29"/>
      <c r="D76" s="29" t="s">
        <v>51</v>
      </c>
      <c r="E76" s="29" t="s">
        <v>2189</v>
      </c>
      <c r="F76" s="29" t="s">
        <v>2423</v>
      </c>
      <c r="G76" s="29"/>
      <c r="H76" s="29" t="s">
        <v>81</v>
      </c>
      <c r="I76" s="27" t="str">
        <f t="shared" si="0"/>
        <v>Daskeo, Kleinny May</v>
      </c>
      <c r="J76" s="29" t="s">
        <v>867</v>
      </c>
      <c r="K76" s="29" t="s">
        <v>2597</v>
      </c>
      <c r="L76" s="29" t="s">
        <v>1041</v>
      </c>
      <c r="M76" s="29" t="s">
        <v>57</v>
      </c>
      <c r="N76" s="32" t="s">
        <v>870</v>
      </c>
      <c r="O76" s="32" t="s">
        <v>241</v>
      </c>
      <c r="P76" s="29" t="s">
        <v>573</v>
      </c>
      <c r="Q76" s="29" t="s">
        <v>2598</v>
      </c>
      <c r="R76" s="27" t="s">
        <v>2599</v>
      </c>
      <c r="S76" s="181">
        <v>40734</v>
      </c>
      <c r="T76" s="88">
        <f ca="1" t="shared" si="1"/>
        <v>15</v>
      </c>
      <c r="U76" s="29" t="s">
        <v>1734</v>
      </c>
      <c r="V76" s="29" t="s">
        <v>2600</v>
      </c>
      <c r="W76" s="29" t="s">
        <v>2601</v>
      </c>
      <c r="X76" s="29" t="s">
        <v>51</v>
      </c>
      <c r="Y76" s="181">
        <v>44933</v>
      </c>
      <c r="Z76" s="29" t="s">
        <v>51</v>
      </c>
      <c r="AA76" s="181" t="s">
        <v>2602</v>
      </c>
      <c r="AB76" s="29"/>
      <c r="AC76" s="29"/>
      <c r="AD76" s="29"/>
      <c r="AE76" s="29" t="s">
        <v>2603</v>
      </c>
      <c r="AF76" s="29" t="s">
        <v>2604</v>
      </c>
      <c r="AG76" s="29"/>
      <c r="AH76" s="29"/>
      <c r="AI76" s="29" t="s">
        <v>2327</v>
      </c>
      <c r="AJ76" s="29"/>
      <c r="AK76" s="29" t="s">
        <v>446</v>
      </c>
      <c r="AL76" s="29" t="s">
        <v>876</v>
      </c>
      <c r="AM76" s="29" t="s">
        <v>2300</v>
      </c>
      <c r="AN76" s="29"/>
      <c r="AO76" s="29"/>
      <c r="AP76" s="29"/>
      <c r="AQ76" s="29"/>
      <c r="AR76" s="29"/>
      <c r="AS76" s="29"/>
    </row>
    <row r="77" ht="15.75" customHeight="1" spans="1:45">
      <c r="A77" s="29"/>
      <c r="B77" s="29"/>
      <c r="C77" s="29"/>
      <c r="D77" s="29" t="s">
        <v>79</v>
      </c>
      <c r="E77" s="29" t="s">
        <v>2189</v>
      </c>
      <c r="F77" s="29" t="s">
        <v>2423</v>
      </c>
      <c r="G77" s="29"/>
      <c r="H77" s="29" t="s">
        <v>81</v>
      </c>
      <c r="I77" s="27" t="str">
        <f t="shared" si="0"/>
        <v>Daskeo, Khyzer Clark</v>
      </c>
      <c r="J77" s="29" t="s">
        <v>867</v>
      </c>
      <c r="K77" s="29" t="s">
        <v>2605</v>
      </c>
      <c r="L77" s="29" t="s">
        <v>1041</v>
      </c>
      <c r="M77" s="29" t="s">
        <v>1642</v>
      </c>
      <c r="N77" s="29"/>
      <c r="O77" s="29"/>
      <c r="P77" s="29"/>
      <c r="Q77" s="29"/>
      <c r="R77" s="29"/>
      <c r="S77" s="181"/>
      <c r="T77" s="88" t="str">
        <f ca="1" t="shared" si="1"/>
        <v/>
      </c>
      <c r="U77" s="29"/>
      <c r="V77" s="29"/>
      <c r="W77" s="29"/>
      <c r="X77" s="29"/>
      <c r="Y77" s="29"/>
      <c r="Z77" s="29"/>
      <c r="AA77" s="181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</row>
    <row r="78" ht="15.75" customHeight="1" spans="1:45">
      <c r="A78" s="29"/>
      <c r="B78" s="29"/>
      <c r="C78" s="29"/>
      <c r="D78" s="29" t="s">
        <v>79</v>
      </c>
      <c r="E78" s="29" t="s">
        <v>2181</v>
      </c>
      <c r="F78" s="29" t="s">
        <v>1742</v>
      </c>
      <c r="G78" s="29"/>
      <c r="H78" s="29" t="s">
        <v>81</v>
      </c>
      <c r="I78" s="27" t="str">
        <f t="shared" si="0"/>
        <v>De Ausen, Claude</v>
      </c>
      <c r="J78" s="29" t="s">
        <v>2606</v>
      </c>
      <c r="K78" s="29" t="s">
        <v>2607</v>
      </c>
      <c r="L78" s="29"/>
      <c r="M78" s="29" t="s">
        <v>1642</v>
      </c>
      <c r="N78" s="29"/>
      <c r="O78" s="29"/>
      <c r="P78" s="29"/>
      <c r="Q78" s="29"/>
      <c r="R78" s="29"/>
      <c r="S78" s="181"/>
      <c r="T78" s="88" t="str">
        <f ca="1" t="shared" si="1"/>
        <v/>
      </c>
      <c r="U78" s="29"/>
      <c r="V78" s="29"/>
      <c r="W78" s="29"/>
      <c r="X78" s="29"/>
      <c r="Y78" s="29"/>
      <c r="Z78" s="29"/>
      <c r="AA78" s="181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</row>
    <row r="79" ht="15.75" customHeight="1" spans="1:45">
      <c r="A79" s="29"/>
      <c r="B79" s="29"/>
      <c r="C79" s="29"/>
      <c r="D79" s="29" t="s">
        <v>79</v>
      </c>
      <c r="E79" s="29" t="s">
        <v>2181</v>
      </c>
      <c r="F79" s="29" t="s">
        <v>2286</v>
      </c>
      <c r="G79" s="29"/>
      <c r="H79" s="29" t="s">
        <v>81</v>
      </c>
      <c r="I79" s="27" t="str">
        <f t="shared" si="0"/>
        <v>De Guzman, Sandy</v>
      </c>
      <c r="J79" s="29" t="s">
        <v>886</v>
      </c>
      <c r="K79" s="29" t="s">
        <v>2608</v>
      </c>
      <c r="L79" s="29"/>
      <c r="M79" s="29" t="s">
        <v>57</v>
      </c>
      <c r="N79" s="29"/>
      <c r="O79" s="29"/>
      <c r="P79" s="29"/>
      <c r="Q79" s="29"/>
      <c r="R79" s="29"/>
      <c r="S79" s="181"/>
      <c r="T79" s="88" t="str">
        <f ca="1" t="shared" si="1"/>
        <v/>
      </c>
      <c r="U79" s="29"/>
      <c r="V79" s="29"/>
      <c r="W79" s="29"/>
      <c r="X79" s="29"/>
      <c r="Y79" s="29"/>
      <c r="Z79" s="29"/>
      <c r="AA79" s="181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</row>
    <row r="80" ht="15.75" customHeight="1" spans="1:45">
      <c r="A80" s="29"/>
      <c r="B80" s="29"/>
      <c r="C80" s="29"/>
      <c r="D80" s="29" t="s">
        <v>79</v>
      </c>
      <c r="E80" s="29" t="s">
        <v>2181</v>
      </c>
      <c r="F80" s="29" t="s">
        <v>2286</v>
      </c>
      <c r="G80" s="29"/>
      <c r="H80" s="29" t="s">
        <v>81</v>
      </c>
      <c r="I80" s="27" t="str">
        <f t="shared" si="0"/>
        <v>De Guzman, Grant</v>
      </c>
      <c r="J80" s="29" t="s">
        <v>886</v>
      </c>
      <c r="K80" s="29" t="s">
        <v>2609</v>
      </c>
      <c r="L80" s="29"/>
      <c r="M80" s="29" t="s">
        <v>1642</v>
      </c>
      <c r="N80" s="29"/>
      <c r="O80" s="29"/>
      <c r="P80" s="29"/>
      <c r="Q80" s="29"/>
      <c r="R80" s="29"/>
      <c r="S80" s="181"/>
      <c r="T80" s="88" t="str">
        <f ca="1" t="shared" si="1"/>
        <v/>
      </c>
      <c r="U80" s="29"/>
      <c r="V80" s="29"/>
      <c r="W80" s="29"/>
      <c r="X80" s="29"/>
      <c r="Y80" s="29"/>
      <c r="Z80" s="29"/>
      <c r="AA80" s="181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</row>
    <row r="81" ht="15.75" customHeight="1" spans="1:45">
      <c r="A81" s="29"/>
      <c r="B81" s="29"/>
      <c r="C81" s="29"/>
      <c r="D81" s="29" t="s">
        <v>79</v>
      </c>
      <c r="E81" s="29" t="s">
        <v>2181</v>
      </c>
      <c r="F81" s="29" t="s">
        <v>2182</v>
      </c>
      <c r="G81" s="29"/>
      <c r="H81" s="29" t="s">
        <v>81</v>
      </c>
      <c r="I81" s="27" t="str">
        <f t="shared" si="0"/>
        <v>De Guzman, Faith</v>
      </c>
      <c r="J81" s="29" t="s">
        <v>886</v>
      </c>
      <c r="K81" s="193" t="s">
        <v>2610</v>
      </c>
      <c r="L81" s="29"/>
      <c r="M81" s="29" t="s">
        <v>57</v>
      </c>
      <c r="N81" s="29"/>
      <c r="O81" s="29"/>
      <c r="P81" s="29"/>
      <c r="Q81" s="29"/>
      <c r="R81" s="29"/>
      <c r="S81" s="181"/>
      <c r="T81" s="88" t="str">
        <f ca="1" t="shared" si="1"/>
        <v/>
      </c>
      <c r="U81" s="29"/>
      <c r="V81" s="29"/>
      <c r="W81" s="29"/>
      <c r="X81" s="29"/>
      <c r="Y81" s="29"/>
      <c r="Z81" s="29"/>
      <c r="AA81" s="181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</row>
    <row r="82" ht="15.75" customHeight="1" spans="1:45">
      <c r="A82" s="29"/>
      <c r="B82" s="29"/>
      <c r="C82" s="29"/>
      <c r="D82" s="29" t="s">
        <v>79</v>
      </c>
      <c r="E82" s="29" t="s">
        <v>2383</v>
      </c>
      <c r="F82" s="29" t="s">
        <v>2185</v>
      </c>
      <c r="G82" s="29"/>
      <c r="H82" s="29" t="s">
        <v>81</v>
      </c>
      <c r="I82" s="27" t="str">
        <f t="shared" si="0"/>
        <v>Dela Cruz, Dani</v>
      </c>
      <c r="J82" s="29" t="s">
        <v>2611</v>
      </c>
      <c r="K82" s="29" t="s">
        <v>2612</v>
      </c>
      <c r="L82" s="29"/>
      <c r="M82" s="29" t="s">
        <v>57</v>
      </c>
      <c r="N82" s="29"/>
      <c r="O82" s="29"/>
      <c r="P82" s="29"/>
      <c r="Q82" s="29"/>
      <c r="R82" s="29"/>
      <c r="S82" s="181"/>
      <c r="T82" s="88" t="str">
        <f ca="1" t="shared" si="1"/>
        <v/>
      </c>
      <c r="U82" s="29"/>
      <c r="V82" s="29"/>
      <c r="W82" s="29"/>
      <c r="X82" s="29"/>
      <c r="Y82" s="29"/>
      <c r="Z82" s="29"/>
      <c r="AA82" s="181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</row>
    <row r="83" ht="15.75" customHeight="1" spans="1:45">
      <c r="A83" s="29"/>
      <c r="B83" s="29"/>
      <c r="C83" s="29"/>
      <c r="D83" s="29" t="s">
        <v>79</v>
      </c>
      <c r="E83" s="29" t="s">
        <v>2184</v>
      </c>
      <c r="F83" s="29" t="s">
        <v>2185</v>
      </c>
      <c r="G83" s="29"/>
      <c r="H83" s="29" t="s">
        <v>81</v>
      </c>
      <c r="I83" s="27" t="str">
        <f t="shared" si="0"/>
        <v>Delos Trinos, Jessamin</v>
      </c>
      <c r="J83" s="29" t="s">
        <v>891</v>
      </c>
      <c r="K83" s="195" t="s">
        <v>2613</v>
      </c>
      <c r="L83" s="29"/>
      <c r="M83" s="29" t="s">
        <v>57</v>
      </c>
      <c r="N83" s="29"/>
      <c r="O83" s="29"/>
      <c r="P83" s="29"/>
      <c r="Q83" s="29"/>
      <c r="R83" s="29"/>
      <c r="S83" s="181"/>
      <c r="T83" s="88" t="str">
        <f ca="1" t="shared" si="1"/>
        <v/>
      </c>
      <c r="U83" s="29"/>
      <c r="V83" s="29"/>
      <c r="W83" s="29"/>
      <c r="X83" s="29"/>
      <c r="Y83" s="29"/>
      <c r="Z83" s="29"/>
      <c r="AA83" s="181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</row>
    <row r="84" ht="15.75" customHeight="1" spans="1:45">
      <c r="A84" s="29"/>
      <c r="B84" s="29"/>
      <c r="C84" s="29"/>
      <c r="D84" s="29" t="s">
        <v>79</v>
      </c>
      <c r="E84" s="29" t="s">
        <v>2181</v>
      </c>
      <c r="F84" s="29" t="s">
        <v>2185</v>
      </c>
      <c r="G84" s="29"/>
      <c r="H84" s="29" t="s">
        <v>81</v>
      </c>
      <c r="I84" s="27" t="str">
        <f t="shared" si="0"/>
        <v>Diamsay, Khaizer</v>
      </c>
      <c r="J84" s="29" t="s">
        <v>905</v>
      </c>
      <c r="K84" s="29" t="s">
        <v>2614</v>
      </c>
      <c r="L84" s="29"/>
      <c r="M84" s="29" t="s">
        <v>1642</v>
      </c>
      <c r="N84" s="29"/>
      <c r="O84" s="29"/>
      <c r="P84" s="29"/>
      <c r="Q84" s="29"/>
      <c r="R84" s="29"/>
      <c r="S84" s="181"/>
      <c r="T84" s="88" t="str">
        <f ca="1" t="shared" si="1"/>
        <v/>
      </c>
      <c r="U84" s="29"/>
      <c r="V84" s="29"/>
      <c r="W84" s="29"/>
      <c r="X84" s="29"/>
      <c r="Y84" s="29"/>
      <c r="Z84" s="29"/>
      <c r="AA84" s="181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</row>
    <row r="85" ht="15.75" customHeight="1" spans="1:45">
      <c r="A85" s="29"/>
      <c r="B85" s="29"/>
      <c r="C85" s="29"/>
      <c r="D85" s="29" t="s">
        <v>79</v>
      </c>
      <c r="E85" s="29" t="s">
        <v>2181</v>
      </c>
      <c r="F85" s="29" t="s">
        <v>1767</v>
      </c>
      <c r="G85" s="29" t="s">
        <v>2186</v>
      </c>
      <c r="H85" s="29" t="s">
        <v>81</v>
      </c>
      <c r="I85" s="27" t="str">
        <f t="shared" si="0"/>
        <v>Dimasangca, Fajad</v>
      </c>
      <c r="J85" s="29" t="s">
        <v>2615</v>
      </c>
      <c r="K85" s="29" t="s">
        <v>2616</v>
      </c>
      <c r="L85" s="29"/>
      <c r="M85" s="29" t="s">
        <v>1642</v>
      </c>
      <c r="N85" s="29"/>
      <c r="O85" s="29"/>
      <c r="P85" s="29"/>
      <c r="Q85" s="29"/>
      <c r="R85" s="29"/>
      <c r="S85" s="181"/>
      <c r="T85" s="88" t="str">
        <f ca="1" t="shared" si="1"/>
        <v/>
      </c>
      <c r="U85" s="29"/>
      <c r="V85" s="29"/>
      <c r="W85" s="29"/>
      <c r="X85" s="29"/>
      <c r="Y85" s="29"/>
      <c r="Z85" s="29"/>
      <c r="AA85" s="181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</row>
    <row r="86" ht="15.75" customHeight="1" spans="1:45">
      <c r="A86" s="29"/>
      <c r="B86" s="29"/>
      <c r="C86" s="29"/>
      <c r="D86" s="29" t="s">
        <v>51</v>
      </c>
      <c r="E86" s="29" t="s">
        <v>2177</v>
      </c>
      <c r="F86" s="29" t="s">
        <v>2617</v>
      </c>
      <c r="G86" s="29" t="s">
        <v>2186</v>
      </c>
      <c r="H86" s="29" t="s">
        <v>81</v>
      </c>
      <c r="I86" s="27" t="str">
        <f t="shared" si="0"/>
        <v>Doligas, Kimberly</v>
      </c>
      <c r="J86" s="29" t="s">
        <v>568</v>
      </c>
      <c r="K86" s="29" t="s">
        <v>661</v>
      </c>
      <c r="L86" s="29" t="s">
        <v>1041</v>
      </c>
      <c r="M86" s="29" t="s">
        <v>57</v>
      </c>
      <c r="N86" s="29" t="s">
        <v>2618</v>
      </c>
      <c r="O86" s="180" t="s">
        <v>2619</v>
      </c>
      <c r="P86" s="29" t="s">
        <v>2620</v>
      </c>
      <c r="Q86" s="29" t="s">
        <v>2621</v>
      </c>
      <c r="R86" s="29" t="s">
        <v>2622</v>
      </c>
      <c r="S86" s="181">
        <v>30985</v>
      </c>
      <c r="T86" s="88">
        <f ca="1" t="shared" si="1"/>
        <v>41</v>
      </c>
      <c r="U86" s="29" t="s">
        <v>573</v>
      </c>
      <c r="V86" s="180" t="s">
        <v>2623</v>
      </c>
      <c r="W86" s="29" t="s">
        <v>2624</v>
      </c>
      <c r="X86" s="29" t="s">
        <v>51</v>
      </c>
      <c r="Y86" s="235" t="s">
        <v>918</v>
      </c>
      <c r="Z86" s="29" t="s">
        <v>51</v>
      </c>
      <c r="AA86" s="181"/>
      <c r="AB86" s="29" t="s">
        <v>121</v>
      </c>
      <c r="AC86" s="29"/>
      <c r="AD86" s="29"/>
      <c r="AE86" s="29" t="s">
        <v>188</v>
      </c>
      <c r="AF86" s="29"/>
      <c r="AG86" s="29"/>
      <c r="AH86" s="29" t="s">
        <v>2625</v>
      </c>
      <c r="AI86" s="29"/>
      <c r="AJ86" s="29"/>
      <c r="AK86" s="29" t="s">
        <v>190</v>
      </c>
      <c r="AL86" s="29"/>
      <c r="AM86" s="29"/>
      <c r="AN86" s="29">
        <v>4</v>
      </c>
      <c r="AO86" s="29">
        <v>5</v>
      </c>
      <c r="AP86" s="29" t="s">
        <v>2626</v>
      </c>
      <c r="AQ86" s="29" t="s">
        <v>2627</v>
      </c>
      <c r="AR86" s="29" t="s">
        <v>194</v>
      </c>
      <c r="AS86" s="29" t="s">
        <v>2628</v>
      </c>
    </row>
    <row r="87" ht="15.75" customHeight="1" spans="1:45">
      <c r="A87" s="29"/>
      <c r="B87" s="29"/>
      <c r="C87" s="29"/>
      <c r="D87" s="29" t="s">
        <v>51</v>
      </c>
      <c r="E87" s="29"/>
      <c r="F87" s="29"/>
      <c r="G87" s="29"/>
      <c r="H87" s="29"/>
      <c r="I87" s="27" t="str">
        <f t="shared" si="0"/>
        <v>Doligas, Kemuel</v>
      </c>
      <c r="J87" s="29" t="s">
        <v>568</v>
      </c>
      <c r="K87" s="29" t="s">
        <v>2629</v>
      </c>
      <c r="L87" s="29" t="s">
        <v>1041</v>
      </c>
      <c r="M87" s="29" t="s">
        <v>1642</v>
      </c>
      <c r="N87" s="29" t="s">
        <v>2630</v>
      </c>
      <c r="O87" s="29"/>
      <c r="P87" s="29"/>
      <c r="Q87" s="29" t="s">
        <v>2631</v>
      </c>
      <c r="R87" s="29" t="s">
        <v>2632</v>
      </c>
      <c r="S87" s="181">
        <v>38128</v>
      </c>
      <c r="T87" s="88">
        <f ca="1" t="shared" si="1"/>
        <v>22</v>
      </c>
      <c r="U87" s="29" t="s">
        <v>2633</v>
      </c>
      <c r="V87" s="29" t="s">
        <v>2623</v>
      </c>
      <c r="W87" s="29" t="s">
        <v>2624</v>
      </c>
      <c r="X87" s="29" t="s">
        <v>51</v>
      </c>
      <c r="Y87" s="29"/>
      <c r="Z87" s="29" t="s">
        <v>51</v>
      </c>
      <c r="AA87" s="181"/>
      <c r="AB87" s="29"/>
      <c r="AC87" s="29" t="s">
        <v>2634</v>
      </c>
      <c r="AD87" s="29" t="s">
        <v>2635</v>
      </c>
      <c r="AE87" s="29" t="s">
        <v>2636</v>
      </c>
      <c r="AF87" s="29" t="s">
        <v>2244</v>
      </c>
      <c r="AG87" s="29" t="s">
        <v>2637</v>
      </c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</row>
    <row r="88" ht="15.75" customHeight="1" spans="1:45">
      <c r="A88" s="29"/>
      <c r="B88" s="29"/>
      <c r="C88" s="29"/>
      <c r="D88" s="29" t="s">
        <v>79</v>
      </c>
      <c r="E88" s="29" t="s">
        <v>2189</v>
      </c>
      <c r="F88" s="29" t="s">
        <v>1742</v>
      </c>
      <c r="G88" s="29"/>
      <c r="H88" s="29" t="s">
        <v>81</v>
      </c>
      <c r="I88" s="27" t="str">
        <f t="shared" si="0"/>
        <v>Domigsi, Lyza Mae</v>
      </c>
      <c r="J88" s="29" t="s">
        <v>911</v>
      </c>
      <c r="K88" s="29" t="s">
        <v>2638</v>
      </c>
      <c r="L88" s="29"/>
      <c r="M88" s="29" t="s">
        <v>57</v>
      </c>
      <c r="N88" s="29"/>
      <c r="O88" s="29"/>
      <c r="P88" s="29"/>
      <c r="Q88" s="29"/>
      <c r="R88" s="29"/>
      <c r="S88" s="181"/>
      <c r="T88" s="88" t="str">
        <f ca="1" t="shared" si="1"/>
        <v/>
      </c>
      <c r="U88" s="29"/>
      <c r="V88" s="29"/>
      <c r="W88" s="29"/>
      <c r="X88" s="29"/>
      <c r="Y88" s="29"/>
      <c r="Z88" s="29"/>
      <c r="AA88" s="181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</row>
    <row r="89" ht="15.75" customHeight="1" spans="1:45">
      <c r="A89" s="29"/>
      <c r="B89" s="29"/>
      <c r="C89" s="29"/>
      <c r="D89" s="29" t="s">
        <v>79</v>
      </c>
      <c r="E89" s="29" t="s">
        <v>2383</v>
      </c>
      <c r="F89" s="29" t="s">
        <v>2286</v>
      </c>
      <c r="G89" s="29"/>
      <c r="H89" s="29" t="s">
        <v>81</v>
      </c>
      <c r="I89" s="27" t="str">
        <f t="shared" si="0"/>
        <v>Donaire, Lovely</v>
      </c>
      <c r="J89" s="29" t="s">
        <v>920</v>
      </c>
      <c r="K89" s="29" t="s">
        <v>2639</v>
      </c>
      <c r="L89" s="29"/>
      <c r="M89" s="29" t="s">
        <v>57</v>
      </c>
      <c r="N89" s="29"/>
      <c r="O89" s="29"/>
      <c r="P89" s="29"/>
      <c r="Q89" s="29"/>
      <c r="R89" s="29"/>
      <c r="S89" s="181"/>
      <c r="T89" s="88" t="str">
        <f ca="1" t="shared" si="1"/>
        <v/>
      </c>
      <c r="U89" s="29"/>
      <c r="V89" s="29"/>
      <c r="W89" s="29"/>
      <c r="X89" s="29"/>
      <c r="Y89" s="29"/>
      <c r="Z89" s="29"/>
      <c r="AA89" s="181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</row>
    <row r="90" ht="15.75" customHeight="1" spans="1:45">
      <c r="A90" s="29"/>
      <c r="B90" s="29"/>
      <c r="C90" s="29"/>
      <c r="D90" s="29" t="s">
        <v>51</v>
      </c>
      <c r="E90" s="29"/>
      <c r="F90" s="29"/>
      <c r="G90" s="29"/>
      <c r="H90" s="29"/>
      <c r="I90" s="27" t="str">
        <f t="shared" si="0"/>
        <v>Dumaniel, Nilda</v>
      </c>
      <c r="J90" s="29" t="s">
        <v>2640</v>
      </c>
      <c r="K90" s="29" t="s">
        <v>2641</v>
      </c>
      <c r="L90" s="29"/>
      <c r="M90" s="29" t="s">
        <v>57</v>
      </c>
      <c r="N90" s="29" t="s">
        <v>2642</v>
      </c>
      <c r="O90" s="29"/>
      <c r="P90" s="29" t="s">
        <v>2642</v>
      </c>
      <c r="Q90" s="29" t="s">
        <v>2643</v>
      </c>
      <c r="R90" s="12" t="s">
        <v>2644</v>
      </c>
      <c r="S90" s="181"/>
      <c r="T90" s="88" t="str">
        <f ca="1" t="shared" si="1"/>
        <v/>
      </c>
      <c r="U90" s="29"/>
      <c r="V90" s="29" t="s">
        <v>2645</v>
      </c>
      <c r="W90" s="29" t="s">
        <v>2646</v>
      </c>
      <c r="X90" s="29" t="s">
        <v>51</v>
      </c>
      <c r="Y90" s="181">
        <v>43973</v>
      </c>
      <c r="Z90" s="29" t="s">
        <v>51</v>
      </c>
      <c r="AA90" s="181">
        <v>46103</v>
      </c>
      <c r="AB90" s="29"/>
      <c r="AC90" s="29" t="s">
        <v>2647</v>
      </c>
      <c r="AD90" s="29" t="s">
        <v>2648</v>
      </c>
      <c r="AE90" s="29"/>
      <c r="AF90" s="29"/>
      <c r="AG90" s="29"/>
      <c r="AH90" s="29"/>
      <c r="AI90" s="29"/>
      <c r="AJ90" s="29"/>
      <c r="AK90" s="29" t="s">
        <v>190</v>
      </c>
      <c r="AL90" s="29"/>
      <c r="AM90" s="29" t="s">
        <v>154</v>
      </c>
      <c r="AN90" s="29"/>
      <c r="AO90" s="29"/>
      <c r="AP90" s="29"/>
      <c r="AQ90" s="29"/>
      <c r="AR90" s="29"/>
      <c r="AS90" s="29"/>
    </row>
    <row r="91" ht="15.75" customHeight="1" spans="1:45">
      <c r="A91" s="29"/>
      <c r="B91" s="29"/>
      <c r="C91" s="29"/>
      <c r="D91" s="29" t="s">
        <v>51</v>
      </c>
      <c r="E91" s="29" t="s">
        <v>2181</v>
      </c>
      <c r="F91" s="29" t="s">
        <v>2617</v>
      </c>
      <c r="G91" s="29" t="s">
        <v>2186</v>
      </c>
      <c r="H91" s="29" t="s">
        <v>81</v>
      </c>
      <c r="I91" s="27" t="str">
        <f t="shared" si="0"/>
        <v>Feliciano, Gideon</v>
      </c>
      <c r="J91" s="29" t="s">
        <v>2649</v>
      </c>
      <c r="K91" s="29" t="s">
        <v>2650</v>
      </c>
      <c r="L91" s="29" t="s">
        <v>538</v>
      </c>
      <c r="M91" s="29" t="s">
        <v>1642</v>
      </c>
      <c r="N91" s="29" t="s">
        <v>2651</v>
      </c>
      <c r="O91" s="29" t="s">
        <v>59</v>
      </c>
      <c r="P91" s="29"/>
      <c r="Q91" s="29" t="s">
        <v>2652</v>
      </c>
      <c r="R91" s="29" t="s">
        <v>2653</v>
      </c>
      <c r="S91" s="181"/>
      <c r="T91" s="88" t="str">
        <f ca="1" t="shared" si="1"/>
        <v/>
      </c>
      <c r="U91" s="29"/>
      <c r="V91" s="29"/>
      <c r="W91" s="29"/>
      <c r="X91" s="29" t="s">
        <v>51</v>
      </c>
      <c r="Y91" s="29"/>
      <c r="Z91" s="29" t="s">
        <v>51</v>
      </c>
      <c r="AA91" s="181"/>
      <c r="AB91" s="29"/>
      <c r="AC91" s="29"/>
      <c r="AD91" s="29"/>
      <c r="AE91" s="29" t="s">
        <v>2654</v>
      </c>
      <c r="AF91" s="29" t="s">
        <v>2244</v>
      </c>
      <c r="AG91" s="29"/>
      <c r="AH91" s="29" t="s">
        <v>2655</v>
      </c>
      <c r="AI91" s="29" t="s">
        <v>172</v>
      </c>
      <c r="AJ91" s="29"/>
      <c r="AK91" s="29" t="s">
        <v>190</v>
      </c>
      <c r="AL91" s="29" t="s">
        <v>2656</v>
      </c>
      <c r="AM91" s="29" t="s">
        <v>154</v>
      </c>
      <c r="AN91" s="29"/>
      <c r="AO91" s="29"/>
      <c r="AP91" s="29"/>
      <c r="AQ91" s="29"/>
      <c r="AR91" s="29"/>
      <c r="AS91" s="29"/>
    </row>
    <row r="92" ht="15.75" customHeight="1" spans="1:45">
      <c r="A92" s="29"/>
      <c r="B92" s="29"/>
      <c r="C92" s="29"/>
      <c r="D92" s="29" t="s">
        <v>51</v>
      </c>
      <c r="E92" s="29" t="s">
        <v>2181</v>
      </c>
      <c r="F92" s="29" t="s">
        <v>2205</v>
      </c>
      <c r="G92" s="29"/>
      <c r="H92" s="29" t="s">
        <v>81</v>
      </c>
      <c r="I92" s="27" t="str">
        <f t="shared" si="0"/>
        <v>Feliciano, Geraldine</v>
      </c>
      <c r="J92" s="29" t="s">
        <v>2649</v>
      </c>
      <c r="K92" s="29" t="s">
        <v>2657</v>
      </c>
      <c r="L92" s="29" t="s">
        <v>538</v>
      </c>
      <c r="M92" s="29" t="s">
        <v>57</v>
      </c>
      <c r="N92" s="29" t="s">
        <v>2658</v>
      </c>
      <c r="O92" s="29" t="s">
        <v>59</v>
      </c>
      <c r="P92" s="29" t="s">
        <v>2659</v>
      </c>
      <c r="Q92" s="29" t="s">
        <v>2660</v>
      </c>
      <c r="R92" s="29" t="s">
        <v>2661</v>
      </c>
      <c r="S92" s="181">
        <v>35277</v>
      </c>
      <c r="T92" s="88">
        <f ca="1" t="shared" si="1"/>
        <v>30</v>
      </c>
      <c r="U92" s="29" t="s">
        <v>1195</v>
      </c>
      <c r="V92" s="29" t="s">
        <v>2662</v>
      </c>
      <c r="W92" s="29" t="s">
        <v>2663</v>
      </c>
      <c r="X92" s="29" t="s">
        <v>51</v>
      </c>
      <c r="Y92" s="235" t="s">
        <v>2664</v>
      </c>
      <c r="Z92" s="29" t="s">
        <v>51</v>
      </c>
      <c r="AA92" s="181" t="s">
        <v>2664</v>
      </c>
      <c r="AB92" s="29" t="s">
        <v>121</v>
      </c>
      <c r="AC92" s="29"/>
      <c r="AD92" s="29"/>
      <c r="AE92" s="29" t="s">
        <v>2092</v>
      </c>
      <c r="AF92" s="29"/>
      <c r="AG92" s="29"/>
      <c r="AH92" s="29" t="s">
        <v>2665</v>
      </c>
      <c r="AI92" s="29" t="s">
        <v>172</v>
      </c>
      <c r="AJ92" s="29"/>
      <c r="AK92" s="29" t="s">
        <v>190</v>
      </c>
      <c r="AL92" s="29"/>
      <c r="AM92" s="29"/>
      <c r="AN92" s="29">
        <v>1</v>
      </c>
      <c r="AO92" s="29">
        <v>1</v>
      </c>
      <c r="AP92" s="29" t="s">
        <v>2666</v>
      </c>
      <c r="AQ92" s="29" t="s">
        <v>2667</v>
      </c>
      <c r="AR92" s="29" t="s">
        <v>194</v>
      </c>
      <c r="AS92" s="29" t="s">
        <v>2668</v>
      </c>
    </row>
    <row r="93" ht="15.75" customHeight="1" spans="1:45">
      <c r="A93" s="29"/>
      <c r="B93" s="29"/>
      <c r="C93" s="29"/>
      <c r="D93" s="29" t="s">
        <v>79</v>
      </c>
      <c r="E93" s="29" t="s">
        <v>2184</v>
      </c>
      <c r="F93" s="29" t="s">
        <v>1767</v>
      </c>
      <c r="G93" s="29"/>
      <c r="H93" s="29" t="s">
        <v>81</v>
      </c>
      <c r="I93" s="27" t="str">
        <f t="shared" si="0"/>
        <v>Felipe, Nathaniel</v>
      </c>
      <c r="J93" s="29" t="s">
        <v>968</v>
      </c>
      <c r="K93" s="29" t="s">
        <v>2357</v>
      </c>
      <c r="L93" s="29"/>
      <c r="M93" s="29" t="s">
        <v>1642</v>
      </c>
      <c r="N93" s="29"/>
      <c r="O93" s="29"/>
      <c r="P93" s="29"/>
      <c r="Q93" s="29"/>
      <c r="R93" s="29"/>
      <c r="S93" s="181"/>
      <c r="T93" s="88" t="str">
        <f ca="1" t="shared" si="1"/>
        <v/>
      </c>
      <c r="U93" s="29"/>
      <c r="V93" s="29"/>
      <c r="W93" s="29"/>
      <c r="X93" s="29"/>
      <c r="Y93" s="29"/>
      <c r="Z93" s="29"/>
      <c r="AA93" s="181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</row>
    <row r="94" ht="15.75" customHeight="1" spans="1:45">
      <c r="A94" s="29"/>
      <c r="B94" s="29"/>
      <c r="C94" s="29"/>
      <c r="D94" s="29" t="s">
        <v>79</v>
      </c>
      <c r="E94" s="29" t="s">
        <v>2184</v>
      </c>
      <c r="F94" s="29" t="s">
        <v>1767</v>
      </c>
      <c r="G94" s="29"/>
      <c r="H94" s="29" t="s">
        <v>81</v>
      </c>
      <c r="I94" s="27" t="str">
        <f t="shared" si="0"/>
        <v>Felipe, Naphtali</v>
      </c>
      <c r="J94" s="29" t="s">
        <v>968</v>
      </c>
      <c r="K94" s="29" t="s">
        <v>2669</v>
      </c>
      <c r="L94" s="29"/>
      <c r="M94" s="29" t="s">
        <v>1642</v>
      </c>
      <c r="N94" s="29"/>
      <c r="O94" s="29"/>
      <c r="P94" s="29"/>
      <c r="Q94" s="29"/>
      <c r="R94" s="29"/>
      <c r="S94" s="181"/>
      <c r="T94" s="88" t="str">
        <f ca="1" t="shared" si="1"/>
        <v/>
      </c>
      <c r="U94" s="29"/>
      <c r="V94" s="29"/>
      <c r="W94" s="29"/>
      <c r="X94" s="29"/>
      <c r="Y94" s="29"/>
      <c r="Z94" s="29"/>
      <c r="AA94" s="181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</row>
    <row r="95" ht="15.75" customHeight="1" spans="1:45">
      <c r="A95" s="29"/>
      <c r="B95" s="29"/>
      <c r="C95" s="29"/>
      <c r="D95" s="29" t="s">
        <v>51</v>
      </c>
      <c r="E95" s="29"/>
      <c r="F95" s="29"/>
      <c r="G95" s="29"/>
      <c r="H95" s="29"/>
      <c r="I95" s="27" t="str">
        <f t="shared" si="0"/>
        <v>Felipe, Yael</v>
      </c>
      <c r="J95" s="29" t="s">
        <v>968</v>
      </c>
      <c r="K95" s="29" t="s">
        <v>2670</v>
      </c>
      <c r="L95" s="29" t="s">
        <v>222</v>
      </c>
      <c r="M95" s="29" t="s">
        <v>1642</v>
      </c>
      <c r="N95" s="29" t="s">
        <v>2671</v>
      </c>
      <c r="O95" s="29" t="s">
        <v>281</v>
      </c>
      <c r="P95" s="29"/>
      <c r="Q95" s="29" t="s">
        <v>974</v>
      </c>
      <c r="R95" s="29"/>
      <c r="S95" s="181">
        <v>41009</v>
      </c>
      <c r="T95" s="88">
        <f ca="1" t="shared" si="1"/>
        <v>14</v>
      </c>
      <c r="U95" s="29" t="s">
        <v>2517</v>
      </c>
      <c r="V95" s="29" t="s">
        <v>2672</v>
      </c>
      <c r="W95" s="29" t="s">
        <v>2673</v>
      </c>
      <c r="X95" s="29" t="s">
        <v>51</v>
      </c>
      <c r="Y95" s="181">
        <v>45765</v>
      </c>
      <c r="Z95" s="29" t="s">
        <v>51</v>
      </c>
      <c r="AA95" s="181">
        <v>45800</v>
      </c>
      <c r="AB95" s="29"/>
      <c r="AC95" s="29" t="s">
        <v>2674</v>
      </c>
      <c r="AD95" s="29" t="s">
        <v>2675</v>
      </c>
      <c r="AE95" s="29"/>
      <c r="AF95" s="29" t="s">
        <v>2676</v>
      </c>
      <c r="AG95" s="29"/>
      <c r="AH95" s="29"/>
      <c r="AI95" s="29"/>
      <c r="AJ95" s="29"/>
      <c r="AK95" s="29" t="s">
        <v>2677</v>
      </c>
      <c r="AL95" s="29" t="s">
        <v>2678</v>
      </c>
      <c r="AM95" s="29" t="s">
        <v>154</v>
      </c>
      <c r="AN95" s="29"/>
      <c r="AO95" s="29"/>
      <c r="AP95" s="29"/>
      <c r="AQ95" s="29"/>
      <c r="AR95" s="29"/>
      <c r="AS95" s="29"/>
    </row>
    <row r="96" ht="15.75" customHeight="1" spans="1:45">
      <c r="A96" s="29"/>
      <c r="B96" s="29"/>
      <c r="C96" s="29"/>
      <c r="D96" s="29" t="s">
        <v>79</v>
      </c>
      <c r="E96" s="29" t="s">
        <v>2184</v>
      </c>
      <c r="F96" s="29" t="s">
        <v>2205</v>
      </c>
      <c r="G96" s="29"/>
      <c r="H96" s="29" t="s">
        <v>81</v>
      </c>
      <c r="I96" s="27" t="str">
        <f t="shared" si="0"/>
        <v>Ferreras, Raymond</v>
      </c>
      <c r="J96" s="29" t="s">
        <v>2679</v>
      </c>
      <c r="K96" s="29" t="s">
        <v>2680</v>
      </c>
      <c r="L96" s="29"/>
      <c r="M96" s="29" t="s">
        <v>1642</v>
      </c>
      <c r="N96" s="29"/>
      <c r="O96" s="29"/>
      <c r="P96" s="29"/>
      <c r="Q96" s="29"/>
      <c r="R96" s="29"/>
      <c r="S96" s="181"/>
      <c r="T96" s="88" t="str">
        <f ca="1" t="shared" si="1"/>
        <v/>
      </c>
      <c r="U96" s="29"/>
      <c r="V96" s="29"/>
      <c r="W96" s="29"/>
      <c r="X96" s="29"/>
      <c r="Y96" s="29"/>
      <c r="Z96" s="29"/>
      <c r="AA96" s="181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</row>
    <row r="97" ht="15.75" customHeight="1" spans="1:45">
      <c r="A97" s="29"/>
      <c r="B97" s="29"/>
      <c r="C97" s="29"/>
      <c r="D97" s="29" t="s">
        <v>51</v>
      </c>
      <c r="E97" s="29" t="s">
        <v>2181</v>
      </c>
      <c r="F97" s="29" t="s">
        <v>2423</v>
      </c>
      <c r="G97" s="29"/>
      <c r="H97" s="29" t="s">
        <v>81</v>
      </c>
      <c r="I97" s="27" t="str">
        <f t="shared" si="0"/>
        <v>Garcia, Linelle</v>
      </c>
      <c r="J97" s="29" t="s">
        <v>1950</v>
      </c>
      <c r="K97" s="193" t="s">
        <v>2681</v>
      </c>
      <c r="L97" s="29" t="s">
        <v>222</v>
      </c>
      <c r="M97" s="29" t="s">
        <v>57</v>
      </c>
      <c r="N97" s="29" t="s">
        <v>672</v>
      </c>
      <c r="O97" s="29" t="s">
        <v>673</v>
      </c>
      <c r="P97" s="29" t="s">
        <v>298</v>
      </c>
      <c r="Q97" s="29" t="s">
        <v>2682</v>
      </c>
      <c r="R97" s="29" t="s">
        <v>2683</v>
      </c>
      <c r="S97" s="181">
        <v>39185</v>
      </c>
      <c r="T97" s="88">
        <f ca="1" t="shared" si="1"/>
        <v>19</v>
      </c>
      <c r="U97" s="29" t="s">
        <v>1734</v>
      </c>
      <c r="V97" s="29" t="s">
        <v>2684</v>
      </c>
      <c r="W97" s="29" t="s">
        <v>2685</v>
      </c>
      <c r="X97" s="29" t="s">
        <v>51</v>
      </c>
      <c r="Y97" s="29"/>
      <c r="Z97" s="29" t="s">
        <v>51</v>
      </c>
      <c r="AA97" s="181"/>
      <c r="AB97" s="29"/>
      <c r="AC97" s="29"/>
      <c r="AD97" s="29"/>
      <c r="AE97" s="29" t="s">
        <v>2686</v>
      </c>
      <c r="AF97" s="29" t="s">
        <v>2687</v>
      </c>
      <c r="AG97" s="29"/>
      <c r="AH97" s="29"/>
      <c r="AI97" s="29"/>
      <c r="AJ97" s="29" t="s">
        <v>2688</v>
      </c>
      <c r="AK97" s="29" t="s">
        <v>2689</v>
      </c>
      <c r="AL97" s="29" t="s">
        <v>2690</v>
      </c>
      <c r="AM97" s="29"/>
      <c r="AN97" s="29">
        <v>3</v>
      </c>
      <c r="AO97" s="29">
        <v>4</v>
      </c>
      <c r="AP97" s="29" t="s">
        <v>2501</v>
      </c>
      <c r="AQ97" s="29" t="s">
        <v>625</v>
      </c>
      <c r="AR97" s="29" t="s">
        <v>2691</v>
      </c>
      <c r="AS97" s="29" t="s">
        <v>674</v>
      </c>
    </row>
    <row r="98" ht="15.75" customHeight="1" spans="1:45">
      <c r="A98" s="29"/>
      <c r="B98" s="29"/>
      <c r="C98" s="29"/>
      <c r="D98" s="29" t="s">
        <v>79</v>
      </c>
      <c r="E98" s="29" t="s">
        <v>2181</v>
      </c>
      <c r="F98" s="29" t="s">
        <v>1742</v>
      </c>
      <c r="G98" s="29"/>
      <c r="H98" s="29" t="s">
        <v>81</v>
      </c>
      <c r="I98" s="27" t="str">
        <f t="shared" si="0"/>
        <v>Garcia, Lemuel</v>
      </c>
      <c r="J98" s="29" t="s">
        <v>1950</v>
      </c>
      <c r="K98" s="29" t="s">
        <v>2692</v>
      </c>
      <c r="L98" s="29"/>
      <c r="M98" s="29" t="s">
        <v>1642</v>
      </c>
      <c r="N98" s="29"/>
      <c r="O98" s="29"/>
      <c r="P98" s="29"/>
      <c r="Q98" s="29"/>
      <c r="R98" s="29"/>
      <c r="S98" s="181"/>
      <c r="T98" s="88" t="str">
        <f ca="1" t="shared" si="1"/>
        <v/>
      </c>
      <c r="U98" s="29"/>
      <c r="V98" s="29"/>
      <c r="W98" s="29"/>
      <c r="X98" s="29"/>
      <c r="Y98" s="29"/>
      <c r="Z98" s="29"/>
      <c r="AA98" s="181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</row>
    <row r="99" ht="15.75" customHeight="1" spans="1:45">
      <c r="A99" s="29"/>
      <c r="B99" s="29"/>
      <c r="C99" s="29"/>
      <c r="D99" s="29" t="s">
        <v>79</v>
      </c>
      <c r="E99" s="29" t="s">
        <v>2184</v>
      </c>
      <c r="F99" s="29" t="s">
        <v>2286</v>
      </c>
      <c r="G99" s="29"/>
      <c r="H99" s="29" t="s">
        <v>81</v>
      </c>
      <c r="I99" s="27" t="str">
        <f t="shared" si="0"/>
        <v>Gayados, Ivan</v>
      </c>
      <c r="J99" s="29" t="s">
        <v>979</v>
      </c>
      <c r="K99" s="29" t="s">
        <v>2693</v>
      </c>
      <c r="L99" s="29"/>
      <c r="M99" s="29" t="s">
        <v>1642</v>
      </c>
      <c r="N99" s="29"/>
      <c r="O99" s="29"/>
      <c r="P99" s="29"/>
      <c r="Q99" s="29"/>
      <c r="R99" s="29"/>
      <c r="S99" s="181"/>
      <c r="T99" s="88" t="str">
        <f ca="1" t="shared" si="1"/>
        <v/>
      </c>
      <c r="U99" s="29"/>
      <c r="V99" s="29"/>
      <c r="W99" s="29"/>
      <c r="X99" s="29"/>
      <c r="Y99" s="29"/>
      <c r="Z99" s="29"/>
      <c r="AA99" s="181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</row>
    <row r="100" ht="15.75" customHeight="1" spans="1:45">
      <c r="A100" s="29"/>
      <c r="B100" s="29"/>
      <c r="C100" s="29"/>
      <c r="D100" s="29" t="s">
        <v>79</v>
      </c>
      <c r="E100" s="29" t="s">
        <v>2184</v>
      </c>
      <c r="F100" s="29" t="s">
        <v>2182</v>
      </c>
      <c r="G100" s="29"/>
      <c r="H100" s="29" t="s">
        <v>81</v>
      </c>
      <c r="I100" s="27" t="str">
        <f t="shared" si="0"/>
        <v>Gayados, Cleo Jean</v>
      </c>
      <c r="J100" s="29" t="s">
        <v>979</v>
      </c>
      <c r="K100" s="188" t="s">
        <v>2694</v>
      </c>
      <c r="L100" s="29"/>
      <c r="M100" s="29" t="s">
        <v>57</v>
      </c>
      <c r="N100" s="29"/>
      <c r="O100" s="29"/>
      <c r="P100" s="29"/>
      <c r="Q100" s="29"/>
      <c r="R100" s="29"/>
      <c r="S100" s="181"/>
      <c r="T100" s="88" t="str">
        <f ca="1" t="shared" si="1"/>
        <v/>
      </c>
      <c r="U100" s="29"/>
      <c r="V100" s="29"/>
      <c r="W100" s="29"/>
      <c r="X100" s="29"/>
      <c r="Y100" s="29"/>
      <c r="Z100" s="29"/>
      <c r="AA100" s="181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</row>
    <row r="101" ht="15.75" customHeight="1" spans="1:45">
      <c r="A101" s="29"/>
      <c r="B101" s="29"/>
      <c r="C101" s="29"/>
      <c r="D101" s="29" t="s">
        <v>79</v>
      </c>
      <c r="E101" s="29" t="s">
        <v>2184</v>
      </c>
      <c r="F101" s="29" t="s">
        <v>2178</v>
      </c>
      <c r="G101" s="29"/>
      <c r="H101" s="29" t="s">
        <v>81</v>
      </c>
      <c r="I101" s="27" t="str">
        <f t="shared" si="0"/>
        <v>Gayados, Belle</v>
      </c>
      <c r="J101" s="29" t="s">
        <v>979</v>
      </c>
      <c r="K101" s="29" t="s">
        <v>2695</v>
      </c>
      <c r="L101" s="29"/>
      <c r="M101" s="29" t="s">
        <v>57</v>
      </c>
      <c r="N101" s="29"/>
      <c r="O101" s="29"/>
      <c r="P101" s="29"/>
      <c r="Q101" s="29"/>
      <c r="R101" s="29"/>
      <c r="S101" s="181"/>
      <c r="T101" s="88" t="str">
        <f ca="1" t="shared" si="1"/>
        <v/>
      </c>
      <c r="U101" s="29"/>
      <c r="V101" s="29"/>
      <c r="W101" s="29"/>
      <c r="X101" s="29"/>
      <c r="Y101" s="29"/>
      <c r="Z101" s="29"/>
      <c r="AA101" s="181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</row>
    <row r="102" ht="15.75" customHeight="1" spans="1:45">
      <c r="A102" s="29"/>
      <c r="B102" s="29"/>
      <c r="C102" s="29"/>
      <c r="D102" s="29" t="s">
        <v>51</v>
      </c>
      <c r="E102" s="29" t="s">
        <v>2181</v>
      </c>
      <c r="F102" s="29" t="s">
        <v>2178</v>
      </c>
      <c r="G102" s="29"/>
      <c r="H102" s="29" t="s">
        <v>81</v>
      </c>
      <c r="I102" s="27" t="str">
        <f t="shared" si="0"/>
        <v>Gayados, Alvin Noel</v>
      </c>
      <c r="J102" s="29" t="s">
        <v>979</v>
      </c>
      <c r="K102" s="29" t="s">
        <v>2696</v>
      </c>
      <c r="L102" s="29" t="s">
        <v>113</v>
      </c>
      <c r="M102" s="29" t="s">
        <v>1642</v>
      </c>
      <c r="N102" s="29" t="s">
        <v>2697</v>
      </c>
      <c r="O102" s="196" t="s">
        <v>2698</v>
      </c>
      <c r="P102" s="29"/>
      <c r="Q102" s="29" t="s">
        <v>2699</v>
      </c>
      <c r="R102" s="29" t="s">
        <v>2700</v>
      </c>
      <c r="S102" s="181">
        <v>35781</v>
      </c>
      <c r="T102" s="88">
        <f ca="1" t="shared" si="1"/>
        <v>28</v>
      </c>
      <c r="U102" s="29" t="s">
        <v>2701</v>
      </c>
      <c r="V102" s="180" t="s">
        <v>2702</v>
      </c>
      <c r="W102" s="29" t="s">
        <v>2703</v>
      </c>
      <c r="X102" s="29" t="s">
        <v>51</v>
      </c>
      <c r="Y102" s="235" t="s">
        <v>2260</v>
      </c>
      <c r="Z102" s="29" t="s">
        <v>51</v>
      </c>
      <c r="AA102" s="181" t="s">
        <v>2260</v>
      </c>
      <c r="AB102" s="29"/>
      <c r="AC102" s="29"/>
      <c r="AD102" s="29"/>
      <c r="AE102" s="29" t="s">
        <v>188</v>
      </c>
      <c r="AF102" s="29"/>
      <c r="AG102" s="29"/>
      <c r="AH102" s="29" t="s">
        <v>2704</v>
      </c>
      <c r="AI102" s="29" t="s">
        <v>2705</v>
      </c>
      <c r="AJ102" s="29"/>
      <c r="AK102" s="29" t="s">
        <v>190</v>
      </c>
      <c r="AL102" s="29"/>
      <c r="AM102" s="29"/>
      <c r="AN102" s="29">
        <v>5</v>
      </c>
      <c r="AO102" s="29">
        <v>5</v>
      </c>
      <c r="AP102" s="29" t="s">
        <v>2706</v>
      </c>
      <c r="AQ102" s="29" t="s">
        <v>625</v>
      </c>
      <c r="AR102" s="29" t="s">
        <v>30</v>
      </c>
      <c r="AS102" s="29" t="s">
        <v>2707</v>
      </c>
    </row>
    <row r="103" ht="15.75" customHeight="1" spans="1:45">
      <c r="A103" s="29"/>
      <c r="B103" s="29"/>
      <c r="C103" s="29"/>
      <c r="D103" s="29" t="s">
        <v>79</v>
      </c>
      <c r="E103" s="29" t="s">
        <v>2184</v>
      </c>
      <c r="F103" s="29" t="s">
        <v>2231</v>
      </c>
      <c r="G103" s="29"/>
      <c r="H103" s="29" t="s">
        <v>81</v>
      </c>
      <c r="I103" s="27" t="str">
        <f t="shared" si="0"/>
        <v>Htwe, Aiko</v>
      </c>
      <c r="J103" s="29" t="s">
        <v>2708</v>
      </c>
      <c r="K103" s="195" t="s">
        <v>2709</v>
      </c>
      <c r="L103" s="29"/>
      <c r="M103" s="29" t="s">
        <v>57</v>
      </c>
      <c r="N103" s="29"/>
      <c r="O103" s="29"/>
      <c r="P103" s="29"/>
      <c r="Q103" s="29"/>
      <c r="R103" s="29"/>
      <c r="S103" s="181"/>
      <c r="T103" s="88" t="str">
        <f ca="1" t="shared" si="1"/>
        <v/>
      </c>
      <c r="U103" s="29"/>
      <c r="V103" s="29"/>
      <c r="W103" s="29"/>
      <c r="X103" s="29"/>
      <c r="Y103" s="29"/>
      <c r="Z103" s="29"/>
      <c r="AA103" s="181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ht="15.75" customHeight="1" spans="1:45">
      <c r="A104" s="29"/>
      <c r="B104" s="29"/>
      <c r="C104" s="29"/>
      <c r="D104" s="29" t="s">
        <v>79</v>
      </c>
      <c r="E104" s="29" t="s">
        <v>2177</v>
      </c>
      <c r="F104" s="29" t="s">
        <v>2212</v>
      </c>
      <c r="G104" s="29"/>
      <c r="H104" s="29" t="s">
        <v>81</v>
      </c>
      <c r="I104" s="27" t="str">
        <f t="shared" si="0"/>
        <v>Hughes, Ryan</v>
      </c>
      <c r="J104" s="29" t="s">
        <v>2710</v>
      </c>
      <c r="K104" s="29" t="s">
        <v>2711</v>
      </c>
      <c r="L104" s="29"/>
      <c r="M104" s="29" t="s">
        <v>1642</v>
      </c>
      <c r="N104" s="29" t="s">
        <v>2712</v>
      </c>
      <c r="O104" s="29" t="s">
        <v>2713</v>
      </c>
      <c r="P104" s="29"/>
      <c r="Q104" s="29" t="s">
        <v>2714</v>
      </c>
      <c r="R104" s="29" t="s">
        <v>2715</v>
      </c>
      <c r="S104" s="181">
        <v>37674</v>
      </c>
      <c r="T104" s="88">
        <f ca="1" t="shared" si="1"/>
        <v>23</v>
      </c>
      <c r="U104" s="29" t="s">
        <v>2716</v>
      </c>
      <c r="V104" s="29" t="s">
        <v>2717</v>
      </c>
      <c r="W104" s="29" t="s">
        <v>2718</v>
      </c>
      <c r="X104" s="29" t="s">
        <v>51</v>
      </c>
      <c r="Y104" s="29"/>
      <c r="Z104" s="29" t="s">
        <v>51</v>
      </c>
      <c r="AA104" s="181" t="s">
        <v>2719</v>
      </c>
      <c r="AB104" s="29"/>
      <c r="AC104" s="29" t="s">
        <v>2720</v>
      </c>
      <c r="AD104" s="29" t="s">
        <v>2721</v>
      </c>
      <c r="AE104" s="29" t="s">
        <v>2722</v>
      </c>
      <c r="AF104" s="29" t="s">
        <v>2367</v>
      </c>
      <c r="AG104" s="29" t="s">
        <v>2723</v>
      </c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ht="15.75" customHeight="1" spans="1:45">
      <c r="A105" s="29"/>
      <c r="B105" s="29"/>
      <c r="C105" s="29"/>
      <c r="D105" s="29" t="s">
        <v>79</v>
      </c>
      <c r="E105" s="29" t="s">
        <v>2189</v>
      </c>
      <c r="F105" s="29" t="s">
        <v>2617</v>
      </c>
      <c r="G105" s="29" t="s">
        <v>2186</v>
      </c>
      <c r="H105" s="29" t="s">
        <v>81</v>
      </c>
      <c r="I105" s="190" t="str">
        <f t="shared" si="0"/>
        <v>Ibal, Lea</v>
      </c>
      <c r="J105" s="29" t="s">
        <v>2724</v>
      </c>
      <c r="K105" s="193" t="s">
        <v>2725</v>
      </c>
      <c r="L105" s="29"/>
      <c r="M105" s="29" t="s">
        <v>57</v>
      </c>
      <c r="N105" s="29"/>
      <c r="O105" s="29"/>
      <c r="P105" s="29"/>
      <c r="Q105" s="29"/>
      <c r="R105" s="29"/>
      <c r="S105" s="181"/>
      <c r="T105" s="88" t="str">
        <f ca="1" t="shared" si="1"/>
        <v/>
      </c>
      <c r="U105" s="29"/>
      <c r="V105" s="29"/>
      <c r="W105" s="29"/>
      <c r="X105" s="29"/>
      <c r="Y105" s="29"/>
      <c r="Z105" s="29"/>
      <c r="AA105" s="181"/>
      <c r="AB105" s="29"/>
      <c r="AC105" s="29"/>
      <c r="AD105" s="29"/>
      <c r="AE105" s="29"/>
      <c r="AF105" s="29"/>
      <c r="AG105" s="29"/>
      <c r="AH105" s="29"/>
      <c r="AI105" s="29" t="s">
        <v>2726</v>
      </c>
      <c r="AJ105" s="29"/>
      <c r="AK105" s="29" t="s">
        <v>2482</v>
      </c>
      <c r="AL105" s="29" t="s">
        <v>2727</v>
      </c>
      <c r="AM105" s="29" t="s">
        <v>2728</v>
      </c>
      <c r="AN105" s="29">
        <v>7</v>
      </c>
      <c r="AO105" s="29">
        <v>6</v>
      </c>
      <c r="AP105" s="29" t="s">
        <v>2718</v>
      </c>
      <c r="AQ105" s="29" t="s">
        <v>2729</v>
      </c>
      <c r="AR105" s="29" t="s">
        <v>30</v>
      </c>
      <c r="AS105" s="29" t="s">
        <v>2730</v>
      </c>
    </row>
    <row r="106" ht="15.75" customHeight="1" spans="1:45">
      <c r="A106" s="29"/>
      <c r="B106" s="29"/>
      <c r="C106" s="29"/>
      <c r="D106" s="29" t="s">
        <v>51</v>
      </c>
      <c r="E106" s="29" t="s">
        <v>2181</v>
      </c>
      <c r="F106" s="29" t="s">
        <v>2178</v>
      </c>
      <c r="G106" s="29" t="s">
        <v>2186</v>
      </c>
      <c r="H106" s="29" t="s">
        <v>81</v>
      </c>
      <c r="I106" s="27" t="str">
        <f t="shared" si="0"/>
        <v>Kiddagan, Ezekiel</v>
      </c>
      <c r="J106" s="29" t="s">
        <v>2731</v>
      </c>
      <c r="K106" s="29" t="s">
        <v>2732</v>
      </c>
      <c r="L106" s="29" t="s">
        <v>818</v>
      </c>
      <c r="M106" s="29" t="s">
        <v>1642</v>
      </c>
      <c r="N106" s="29"/>
      <c r="O106" s="29" t="s">
        <v>495</v>
      </c>
      <c r="P106" s="29" t="s">
        <v>2733</v>
      </c>
      <c r="Q106" s="29" t="s">
        <v>2734</v>
      </c>
      <c r="R106" s="29" t="s">
        <v>2735</v>
      </c>
      <c r="S106" s="181">
        <v>34585</v>
      </c>
      <c r="T106" s="88">
        <f ca="1" t="shared" si="1"/>
        <v>32</v>
      </c>
      <c r="U106" s="29" t="s">
        <v>2736</v>
      </c>
      <c r="V106" s="29" t="s">
        <v>2737</v>
      </c>
      <c r="W106" s="29" t="s">
        <v>2738</v>
      </c>
      <c r="X106" s="29" t="s">
        <v>51</v>
      </c>
      <c r="Y106" s="181">
        <v>43093</v>
      </c>
      <c r="Z106" s="29" t="s">
        <v>51</v>
      </c>
      <c r="AA106" s="181">
        <v>43096</v>
      </c>
      <c r="AB106" s="29"/>
      <c r="AC106" s="29"/>
      <c r="AD106" s="29"/>
      <c r="AE106" s="29" t="s">
        <v>2739</v>
      </c>
      <c r="AF106" s="29" t="s">
        <v>2740</v>
      </c>
      <c r="AG106" s="29"/>
      <c r="AH106" s="29" t="s">
        <v>2741</v>
      </c>
      <c r="AI106" s="29"/>
      <c r="AJ106" s="29"/>
      <c r="AK106" s="29" t="s">
        <v>446</v>
      </c>
      <c r="AL106" s="29" t="s">
        <v>153</v>
      </c>
      <c r="AM106" s="29" t="s">
        <v>2742</v>
      </c>
      <c r="AN106" s="29">
        <v>4</v>
      </c>
      <c r="AO106" s="29">
        <v>3</v>
      </c>
      <c r="AP106" s="29" t="s">
        <v>2743</v>
      </c>
      <c r="AQ106" s="29" t="s">
        <v>2744</v>
      </c>
      <c r="AR106" s="29" t="s">
        <v>194</v>
      </c>
      <c r="AS106" s="29" t="s">
        <v>2745</v>
      </c>
    </row>
    <row r="107" ht="15.75" customHeight="1" spans="1:45">
      <c r="A107" s="29"/>
      <c r="B107" s="29"/>
      <c r="C107" s="29"/>
      <c r="D107" s="29" t="s">
        <v>79</v>
      </c>
      <c r="E107" s="29" t="s">
        <v>2189</v>
      </c>
      <c r="F107" s="29" t="s">
        <v>2231</v>
      </c>
      <c r="G107" s="29"/>
      <c r="H107" s="29" t="s">
        <v>81</v>
      </c>
      <c r="I107" s="27" t="str">
        <f t="shared" si="0"/>
        <v>Kodiamat, Chloe</v>
      </c>
      <c r="J107" s="29" t="s">
        <v>2746</v>
      </c>
      <c r="K107" s="29" t="s">
        <v>2747</v>
      </c>
      <c r="L107" s="29"/>
      <c r="M107" s="29" t="s">
        <v>57</v>
      </c>
      <c r="N107" s="29"/>
      <c r="O107" s="29"/>
      <c r="P107" s="29"/>
      <c r="Q107" s="29"/>
      <c r="R107" s="29"/>
      <c r="S107" s="181"/>
      <c r="T107" s="88" t="str">
        <f ca="1" t="shared" si="1"/>
        <v/>
      </c>
      <c r="U107" s="29"/>
      <c r="V107" s="29"/>
      <c r="W107" s="29"/>
      <c r="X107" s="29"/>
      <c r="Y107" s="29"/>
      <c r="Z107" s="29"/>
      <c r="AA107" s="181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ht="15.75" customHeight="1" spans="1:45">
      <c r="A108" s="29"/>
      <c r="B108" s="29"/>
      <c r="C108" s="29"/>
      <c r="D108" s="29" t="s">
        <v>79</v>
      </c>
      <c r="E108" s="29" t="s">
        <v>2184</v>
      </c>
      <c r="F108" s="29" t="s">
        <v>1742</v>
      </c>
      <c r="G108" s="29"/>
      <c r="H108" s="29" t="s">
        <v>81</v>
      </c>
      <c r="I108" s="27" t="str">
        <f t="shared" si="0"/>
        <v>Kodiamat, Andrea</v>
      </c>
      <c r="J108" s="29" t="s">
        <v>2746</v>
      </c>
      <c r="K108" s="188" t="s">
        <v>1564</v>
      </c>
      <c r="L108" s="29"/>
      <c r="M108" s="29" t="s">
        <v>57</v>
      </c>
      <c r="N108" s="29"/>
      <c r="O108" s="29"/>
      <c r="P108" s="29"/>
      <c r="Q108" s="29"/>
      <c r="R108" s="29"/>
      <c r="S108" s="181"/>
      <c r="T108" s="88" t="str">
        <f ca="1" t="shared" si="1"/>
        <v/>
      </c>
      <c r="U108" s="29"/>
      <c r="V108" s="29"/>
      <c r="W108" s="29"/>
      <c r="X108" s="29"/>
      <c r="Y108" s="29"/>
      <c r="Z108" s="29"/>
      <c r="AA108" s="181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ht="15.75" customHeight="1" spans="1:45">
      <c r="A109" s="29"/>
      <c r="B109" s="29"/>
      <c r="C109" s="29"/>
      <c r="D109" s="29" t="s">
        <v>79</v>
      </c>
      <c r="E109" s="29" t="s">
        <v>2181</v>
      </c>
      <c r="F109" s="29" t="s">
        <v>1648</v>
      </c>
      <c r="G109" s="29"/>
      <c r="H109" s="29" t="s">
        <v>81</v>
      </c>
      <c r="I109" s="27" t="str">
        <f t="shared" si="0"/>
        <v>Langgoy, Tristan Jade</v>
      </c>
      <c r="J109" s="29" t="s">
        <v>1029</v>
      </c>
      <c r="K109" s="29" t="s">
        <v>2748</v>
      </c>
      <c r="L109" s="29"/>
      <c r="M109" s="29" t="s">
        <v>1642</v>
      </c>
      <c r="N109" s="29"/>
      <c r="O109" s="29"/>
      <c r="P109" s="29"/>
      <c r="Q109" s="29"/>
      <c r="R109" s="29"/>
      <c r="S109" s="181"/>
      <c r="T109" s="88" t="str">
        <f ca="1" t="shared" si="1"/>
        <v/>
      </c>
      <c r="U109" s="29"/>
      <c r="V109" s="29"/>
      <c r="W109" s="29"/>
      <c r="X109" s="29"/>
      <c r="Y109" s="29"/>
      <c r="Z109" s="29"/>
      <c r="AA109" s="181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ht="15.75" customHeight="1" spans="1:45">
      <c r="A110" s="29"/>
      <c r="B110" s="29"/>
      <c r="C110" s="29"/>
      <c r="D110" s="29" t="s">
        <v>51</v>
      </c>
      <c r="E110" s="29"/>
      <c r="F110" s="29"/>
      <c r="G110" s="29"/>
      <c r="H110" s="29"/>
      <c r="I110" s="27" t="str">
        <f t="shared" si="0"/>
        <v>Langgoy, Zian Yash</v>
      </c>
      <c r="J110" s="29" t="s">
        <v>1029</v>
      </c>
      <c r="K110" s="29" t="s">
        <v>2749</v>
      </c>
      <c r="L110" s="29" t="s">
        <v>222</v>
      </c>
      <c r="M110" s="29" t="s">
        <v>1642</v>
      </c>
      <c r="N110" s="29" t="s">
        <v>2750</v>
      </c>
      <c r="O110" s="29" t="s">
        <v>1031</v>
      </c>
      <c r="P110" s="29" t="s">
        <v>2751</v>
      </c>
      <c r="Q110" s="29" t="s">
        <v>2752</v>
      </c>
      <c r="R110" s="29"/>
      <c r="S110" s="181">
        <v>40800</v>
      </c>
      <c r="T110" s="88">
        <f ca="1" t="shared" si="1"/>
        <v>15</v>
      </c>
      <c r="U110" s="29" t="s">
        <v>2753</v>
      </c>
      <c r="V110" s="29" t="s">
        <v>2754</v>
      </c>
      <c r="W110" s="29" t="s">
        <v>2755</v>
      </c>
      <c r="X110" s="29"/>
      <c r="Y110" s="181"/>
      <c r="Z110" s="29" t="s">
        <v>51</v>
      </c>
      <c r="AA110" s="181"/>
      <c r="AB110" s="29"/>
      <c r="AC110" s="29" t="s">
        <v>2674</v>
      </c>
      <c r="AD110" s="29" t="s">
        <v>2675</v>
      </c>
      <c r="AE110" s="29" t="s">
        <v>2756</v>
      </c>
      <c r="AF110" s="29" t="s">
        <v>2757</v>
      </c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</row>
    <row r="111" ht="15.75" customHeight="1" spans="1:45">
      <c r="A111" s="29"/>
      <c r="B111" s="29"/>
      <c r="C111" s="29"/>
      <c r="D111" s="29" t="s">
        <v>79</v>
      </c>
      <c r="E111" s="29" t="s">
        <v>2184</v>
      </c>
      <c r="F111" s="29" t="s">
        <v>2231</v>
      </c>
      <c r="G111" s="29"/>
      <c r="H111" s="29" t="s">
        <v>81</v>
      </c>
      <c r="I111" s="27" t="str">
        <f t="shared" si="0"/>
        <v>Laraya, Angie</v>
      </c>
      <c r="J111" s="29" t="s">
        <v>1038</v>
      </c>
      <c r="K111" s="195" t="s">
        <v>2758</v>
      </c>
      <c r="L111" s="29"/>
      <c r="M111" s="29" t="s">
        <v>57</v>
      </c>
      <c r="N111" s="29"/>
      <c r="O111" s="29"/>
      <c r="P111" s="29"/>
      <c r="Q111" s="29"/>
      <c r="R111" s="29"/>
      <c r="S111" s="181"/>
      <c r="T111" s="88" t="str">
        <f ca="1" t="shared" si="1"/>
        <v/>
      </c>
      <c r="U111" s="29"/>
      <c r="V111" s="29"/>
      <c r="W111" s="29"/>
      <c r="X111" s="29"/>
      <c r="Y111" s="29"/>
      <c r="Z111" s="29"/>
      <c r="AA111" s="181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</row>
    <row r="112" ht="15.75" customHeight="1" spans="1:45">
      <c r="A112" s="29"/>
      <c r="B112" s="29"/>
      <c r="C112" s="29"/>
      <c r="D112" s="29" t="s">
        <v>79</v>
      </c>
      <c r="E112" s="29" t="s">
        <v>2383</v>
      </c>
      <c r="F112" s="29" t="s">
        <v>2182</v>
      </c>
      <c r="G112" s="29"/>
      <c r="H112" s="29" t="s">
        <v>81</v>
      </c>
      <c r="I112" s="27" t="str">
        <f t="shared" si="0"/>
        <v>Lee, Krhystel Anne</v>
      </c>
      <c r="J112" s="29" t="s">
        <v>2759</v>
      </c>
      <c r="K112" s="29" t="s">
        <v>2760</v>
      </c>
      <c r="L112" s="29"/>
      <c r="M112" s="29" t="s">
        <v>57</v>
      </c>
      <c r="N112" s="29"/>
      <c r="O112" s="29"/>
      <c r="P112" s="29"/>
      <c r="Q112" s="29"/>
      <c r="R112" s="29"/>
      <c r="S112" s="181"/>
      <c r="T112" s="88" t="str">
        <f ca="1" t="shared" si="1"/>
        <v/>
      </c>
      <c r="U112" s="29"/>
      <c r="V112" s="29"/>
      <c r="W112" s="29"/>
      <c r="X112" s="29"/>
      <c r="Y112" s="29"/>
      <c r="Z112" s="29"/>
      <c r="AA112" s="181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</row>
    <row r="113" ht="15.75" customHeight="1" spans="1:45">
      <c r="A113" s="29"/>
      <c r="B113" s="29"/>
      <c r="C113" s="29"/>
      <c r="D113" s="29" t="s">
        <v>51</v>
      </c>
      <c r="E113" s="29" t="s">
        <v>2189</v>
      </c>
      <c r="F113" s="29" t="s">
        <v>2205</v>
      </c>
      <c r="G113" s="29"/>
      <c r="H113" s="29" t="s">
        <v>81</v>
      </c>
      <c r="I113" s="27" t="str">
        <f t="shared" si="0"/>
        <v>Lipaen, Juneafel Kate</v>
      </c>
      <c r="J113" s="29" t="s">
        <v>1056</v>
      </c>
      <c r="K113" s="29" t="s">
        <v>2761</v>
      </c>
      <c r="L113" s="29" t="s">
        <v>161</v>
      </c>
      <c r="M113" s="29" t="s">
        <v>57</v>
      </c>
      <c r="N113" s="29" t="s">
        <v>2762</v>
      </c>
      <c r="O113" s="29" t="s">
        <v>163</v>
      </c>
      <c r="P113" s="29" t="s">
        <v>123</v>
      </c>
      <c r="Q113" s="29" t="s">
        <v>2763</v>
      </c>
      <c r="R113" s="29" t="s">
        <v>2764</v>
      </c>
      <c r="S113" s="181">
        <v>38888</v>
      </c>
      <c r="T113" s="88">
        <f ca="1" t="shared" si="1"/>
        <v>20</v>
      </c>
      <c r="U113" s="29" t="s">
        <v>123</v>
      </c>
      <c r="V113" s="29" t="s">
        <v>2765</v>
      </c>
      <c r="W113" s="29" t="s">
        <v>2766</v>
      </c>
      <c r="X113" s="29" t="s">
        <v>51</v>
      </c>
      <c r="Y113" s="181">
        <v>42351</v>
      </c>
      <c r="Z113" s="29" t="s">
        <v>51</v>
      </c>
      <c r="AA113" s="181" t="s">
        <v>2260</v>
      </c>
      <c r="AB113" s="29"/>
      <c r="AC113" s="29"/>
      <c r="AD113" s="29"/>
      <c r="AE113" s="29" t="s">
        <v>2282</v>
      </c>
      <c r="AF113" s="29" t="s">
        <v>2367</v>
      </c>
      <c r="AG113" s="29"/>
      <c r="AH113" s="29"/>
      <c r="AI113" s="29" t="s">
        <v>2767</v>
      </c>
      <c r="AJ113" s="29"/>
      <c r="AK113" s="29" t="s">
        <v>1077</v>
      </c>
      <c r="AL113" s="29"/>
      <c r="AM113" s="29"/>
      <c r="AN113" s="29">
        <v>5</v>
      </c>
      <c r="AO113" s="29">
        <v>4</v>
      </c>
      <c r="AP113" s="29" t="s">
        <v>2768</v>
      </c>
      <c r="AQ113" s="29" t="s">
        <v>625</v>
      </c>
      <c r="AR113" s="29" t="s">
        <v>30</v>
      </c>
      <c r="AS113" s="29" t="s">
        <v>2769</v>
      </c>
    </row>
    <row r="114" ht="15.75" customHeight="1" spans="1:45">
      <c r="A114" s="29"/>
      <c r="B114" s="29"/>
      <c r="C114" s="29"/>
      <c r="D114" s="29" t="s">
        <v>79</v>
      </c>
      <c r="E114" s="29" t="s">
        <v>2189</v>
      </c>
      <c r="F114" s="29" t="s">
        <v>2205</v>
      </c>
      <c r="G114" s="29"/>
      <c r="H114" s="29" t="s">
        <v>81</v>
      </c>
      <c r="I114" s="27" t="str">
        <f t="shared" si="0"/>
        <v>Lipaen, Janine</v>
      </c>
      <c r="J114" s="29" t="s">
        <v>1056</v>
      </c>
      <c r="K114" s="29" t="s">
        <v>2770</v>
      </c>
      <c r="L114" s="29"/>
      <c r="M114" s="29" t="s">
        <v>57</v>
      </c>
      <c r="N114" s="29"/>
      <c r="O114" s="29"/>
      <c r="P114" s="29"/>
      <c r="Q114" s="29"/>
      <c r="R114" s="29"/>
      <c r="S114" s="181"/>
      <c r="T114" s="88" t="str">
        <f ca="1" t="shared" si="1"/>
        <v/>
      </c>
      <c r="U114" s="29"/>
      <c r="V114" s="29"/>
      <c r="W114" s="29"/>
      <c r="X114" s="29"/>
      <c r="Y114" s="29"/>
      <c r="Z114" s="29"/>
      <c r="AA114" s="181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</row>
    <row r="115" ht="15.75" customHeight="1" spans="1:45">
      <c r="A115" s="29"/>
      <c r="B115" s="29"/>
      <c r="C115" s="29"/>
      <c r="D115" s="29" t="s">
        <v>51</v>
      </c>
      <c r="E115" s="29" t="s">
        <v>2189</v>
      </c>
      <c r="F115" s="29" t="s">
        <v>2205</v>
      </c>
      <c r="G115" s="29"/>
      <c r="H115" s="29" t="s">
        <v>92</v>
      </c>
      <c r="I115" s="190" t="str">
        <f t="shared" si="0"/>
        <v>Lipaen, Aubrine Grace</v>
      </c>
      <c r="J115" s="29" t="s">
        <v>1056</v>
      </c>
      <c r="K115" s="29" t="s">
        <v>2771</v>
      </c>
      <c r="L115" s="29" t="s">
        <v>161</v>
      </c>
      <c r="M115" s="29" t="s">
        <v>57</v>
      </c>
      <c r="N115" s="29" t="s">
        <v>2618</v>
      </c>
      <c r="O115" s="29" t="s">
        <v>163</v>
      </c>
      <c r="P115" s="29"/>
      <c r="Q115" s="29" t="s">
        <v>2772</v>
      </c>
      <c r="R115" s="29" t="s">
        <v>2773</v>
      </c>
      <c r="S115" s="181">
        <v>36391</v>
      </c>
      <c r="T115" s="88">
        <f ca="1" t="shared" si="1"/>
        <v>27</v>
      </c>
      <c r="U115" s="29" t="s">
        <v>123</v>
      </c>
      <c r="V115" s="29" t="s">
        <v>2765</v>
      </c>
      <c r="W115" s="29" t="s">
        <v>2766</v>
      </c>
      <c r="X115" s="29" t="s">
        <v>51</v>
      </c>
      <c r="Y115" s="29"/>
      <c r="Z115" s="29" t="s">
        <v>51</v>
      </c>
      <c r="AA115" s="181"/>
      <c r="AB115" s="29"/>
      <c r="AC115" s="29"/>
      <c r="AD115" s="29"/>
      <c r="AE115" s="29" t="s">
        <v>188</v>
      </c>
      <c r="AF115" s="29"/>
      <c r="AG115" s="29"/>
      <c r="AH115" s="29" t="s">
        <v>2774</v>
      </c>
      <c r="AI115" s="29" t="s">
        <v>172</v>
      </c>
      <c r="AJ115" s="29"/>
      <c r="AK115" s="29" t="s">
        <v>268</v>
      </c>
      <c r="AL115" s="29" t="s">
        <v>153</v>
      </c>
      <c r="AM115" s="29"/>
      <c r="AN115" s="29" t="s">
        <v>2775</v>
      </c>
      <c r="AO115" s="29" t="s">
        <v>2776</v>
      </c>
      <c r="AP115" s="29"/>
      <c r="AQ115" s="29"/>
      <c r="AR115" s="29"/>
      <c r="AS115" s="29"/>
    </row>
    <row r="116" ht="15.75" customHeight="1" spans="1:45">
      <c r="A116" s="29"/>
      <c r="B116" s="29"/>
      <c r="C116" s="29"/>
      <c r="D116" s="29" t="s">
        <v>79</v>
      </c>
      <c r="E116" s="29" t="s">
        <v>2181</v>
      </c>
      <c r="F116" s="29" t="s">
        <v>1648</v>
      </c>
      <c r="G116" s="29"/>
      <c r="H116" s="29" t="s">
        <v>81</v>
      </c>
      <c r="I116" s="27" t="str">
        <f t="shared" si="0"/>
        <v>Liwes, Elena</v>
      </c>
      <c r="J116" s="29" t="s">
        <v>2777</v>
      </c>
      <c r="K116" s="29" t="s">
        <v>1209</v>
      </c>
      <c r="L116" s="29"/>
      <c r="M116" s="29" t="s">
        <v>57</v>
      </c>
      <c r="N116" s="29"/>
      <c r="O116" s="29"/>
      <c r="P116" s="29"/>
      <c r="Q116" s="29"/>
      <c r="R116" s="29"/>
      <c r="S116" s="181"/>
      <c r="T116" s="88" t="str">
        <f ca="1" t="shared" si="1"/>
        <v/>
      </c>
      <c r="U116" s="29"/>
      <c r="V116" s="29"/>
      <c r="W116" s="29"/>
      <c r="X116" s="29"/>
      <c r="Y116" s="29"/>
      <c r="Z116" s="29"/>
      <c r="AA116" s="181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</row>
    <row r="117" ht="15.75" customHeight="1" spans="1:45">
      <c r="A117" s="29"/>
      <c r="B117" s="29"/>
      <c r="C117" s="29"/>
      <c r="D117" s="29" t="s">
        <v>79</v>
      </c>
      <c r="E117" s="29" t="s">
        <v>2181</v>
      </c>
      <c r="F117" s="29" t="s">
        <v>2212</v>
      </c>
      <c r="G117" s="29"/>
      <c r="H117" s="29" t="s">
        <v>81</v>
      </c>
      <c r="I117" s="27" t="str">
        <f t="shared" si="0"/>
        <v>Lomibao, Mary Jane</v>
      </c>
      <c r="J117" s="29" t="s">
        <v>1086</v>
      </c>
      <c r="K117" s="29" t="s">
        <v>2778</v>
      </c>
      <c r="L117" s="29"/>
      <c r="M117" s="29" t="s">
        <v>57</v>
      </c>
      <c r="N117" s="29"/>
      <c r="O117" s="29"/>
      <c r="P117" s="29"/>
      <c r="Q117" s="29"/>
      <c r="R117" s="29"/>
      <c r="S117" s="181"/>
      <c r="T117" s="88" t="str">
        <f ca="1" t="shared" si="1"/>
        <v/>
      </c>
      <c r="U117" s="29"/>
      <c r="V117" s="29"/>
      <c r="W117" s="29"/>
      <c r="X117" s="29"/>
      <c r="Y117" s="29"/>
      <c r="Z117" s="29"/>
      <c r="AA117" s="181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</row>
    <row r="118" ht="15.75" customHeight="1" spans="1:45">
      <c r="A118" s="29"/>
      <c r="B118" s="29"/>
      <c r="C118" s="29"/>
      <c r="D118" s="29" t="s">
        <v>79</v>
      </c>
      <c r="E118" s="29" t="s">
        <v>2383</v>
      </c>
      <c r="F118" s="29" t="s">
        <v>2231</v>
      </c>
      <c r="G118" s="29"/>
      <c r="H118" s="29" t="s">
        <v>81</v>
      </c>
      <c r="I118" s="27" t="str">
        <f t="shared" si="0"/>
        <v>Mabanglo, Michael</v>
      </c>
      <c r="J118" s="29" t="s">
        <v>1087</v>
      </c>
      <c r="K118" s="29" t="s">
        <v>2113</v>
      </c>
      <c r="L118" s="29"/>
      <c r="M118" s="29" t="s">
        <v>1642</v>
      </c>
      <c r="N118" s="29"/>
      <c r="O118" s="29"/>
      <c r="P118" s="29"/>
      <c r="Q118" s="29"/>
      <c r="R118" s="29"/>
      <c r="S118" s="181"/>
      <c r="T118" s="88" t="str">
        <f ca="1" t="shared" si="1"/>
        <v/>
      </c>
      <c r="U118" s="29"/>
      <c r="V118" s="29"/>
      <c r="W118" s="29"/>
      <c r="X118" s="29"/>
      <c r="Y118" s="29"/>
      <c r="Z118" s="29"/>
      <c r="AA118" s="181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</row>
    <row r="119" ht="15.75" customHeight="1" spans="1:45">
      <c r="A119" s="29"/>
      <c r="B119" s="29"/>
      <c r="C119" s="29"/>
      <c r="D119" s="29" t="s">
        <v>79</v>
      </c>
      <c r="E119" s="29" t="s">
        <v>2189</v>
      </c>
      <c r="F119" s="29" t="s">
        <v>2205</v>
      </c>
      <c r="G119" s="29"/>
      <c r="H119" s="29" t="s">
        <v>81</v>
      </c>
      <c r="I119" s="27" t="str">
        <f t="shared" si="0"/>
        <v>Macayya, Tom Jeff</v>
      </c>
      <c r="J119" s="29" t="s">
        <v>2779</v>
      </c>
      <c r="K119" s="29" t="s">
        <v>2780</v>
      </c>
      <c r="L119" s="29"/>
      <c r="M119" s="29" t="s">
        <v>1642</v>
      </c>
      <c r="N119" s="29"/>
      <c r="O119" s="29"/>
      <c r="P119" s="29"/>
      <c r="Q119" s="29"/>
      <c r="R119" s="29"/>
      <c r="S119" s="181"/>
      <c r="T119" s="88" t="str">
        <f ca="1" t="shared" si="1"/>
        <v/>
      </c>
      <c r="U119" s="29"/>
      <c r="V119" s="29"/>
      <c r="W119" s="29"/>
      <c r="X119" s="29"/>
      <c r="Y119" s="29"/>
      <c r="Z119" s="29"/>
      <c r="AA119" s="181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</row>
    <row r="120" ht="15.75" customHeight="1" spans="1:45">
      <c r="A120" s="29"/>
      <c r="B120" s="29"/>
      <c r="C120" s="29"/>
      <c r="D120" s="29" t="s">
        <v>79</v>
      </c>
      <c r="E120" s="29" t="s">
        <v>2189</v>
      </c>
      <c r="F120" s="29" t="s">
        <v>1767</v>
      </c>
      <c r="G120" s="29" t="s">
        <v>2186</v>
      </c>
      <c r="H120" s="29" t="s">
        <v>92</v>
      </c>
      <c r="I120" s="197" t="str">
        <f t="shared" si="0"/>
        <v>Mago, John Andrew</v>
      </c>
      <c r="J120" s="29" t="s">
        <v>1110</v>
      </c>
      <c r="K120" s="29" t="s">
        <v>2781</v>
      </c>
      <c r="L120" s="29"/>
      <c r="M120" s="29" t="s">
        <v>1642</v>
      </c>
      <c r="N120" s="29"/>
      <c r="O120" s="29"/>
      <c r="P120" s="29"/>
      <c r="Q120" s="29"/>
      <c r="R120" s="29"/>
      <c r="S120" s="181"/>
      <c r="T120" s="88" t="str">
        <f ca="1" t="shared" si="1"/>
        <v/>
      </c>
      <c r="U120" s="29"/>
      <c r="V120" s="29"/>
      <c r="W120" s="29"/>
      <c r="X120" s="29"/>
      <c r="Y120" s="29"/>
      <c r="Z120" s="29"/>
      <c r="AA120" s="181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</row>
    <row r="121" ht="15.75" customHeight="1" spans="1:45">
      <c r="A121" s="29"/>
      <c r="B121" s="29"/>
      <c r="C121" s="29"/>
      <c r="D121" s="29" t="s">
        <v>51</v>
      </c>
      <c r="E121" s="29" t="s">
        <v>2189</v>
      </c>
      <c r="F121" s="29" t="s">
        <v>2178</v>
      </c>
      <c r="G121" s="29"/>
      <c r="H121" s="29" t="s">
        <v>81</v>
      </c>
      <c r="I121" s="27" t="str">
        <f t="shared" si="0"/>
        <v>Mago, Jacob Emmanuel</v>
      </c>
      <c r="J121" s="29" t="s">
        <v>1110</v>
      </c>
      <c r="K121" s="29" t="s">
        <v>2782</v>
      </c>
      <c r="L121" s="29" t="s">
        <v>161</v>
      </c>
      <c r="M121" s="29" t="s">
        <v>1642</v>
      </c>
      <c r="N121" s="29" t="s">
        <v>1111</v>
      </c>
      <c r="O121" s="29" t="s">
        <v>1112</v>
      </c>
      <c r="P121" s="29"/>
      <c r="Q121" s="29" t="s">
        <v>2783</v>
      </c>
      <c r="R121" s="29" t="s">
        <v>2784</v>
      </c>
      <c r="S121" s="181">
        <v>38838</v>
      </c>
      <c r="T121" s="88">
        <f ca="1" t="shared" si="1"/>
        <v>20</v>
      </c>
      <c r="U121" s="29" t="s">
        <v>123</v>
      </c>
      <c r="V121" s="29" t="s">
        <v>2785</v>
      </c>
      <c r="W121" s="29" t="s">
        <v>2786</v>
      </c>
      <c r="X121" s="29" t="s">
        <v>51</v>
      </c>
      <c r="Y121" s="181">
        <v>42400</v>
      </c>
      <c r="Z121" s="29" t="s">
        <v>51</v>
      </c>
      <c r="AA121" s="181">
        <v>44193</v>
      </c>
      <c r="AB121" s="29" t="s">
        <v>2787</v>
      </c>
      <c r="AC121" s="29"/>
      <c r="AD121" s="29"/>
      <c r="AE121" s="29" t="s">
        <v>2544</v>
      </c>
      <c r="AF121" s="29" t="s">
        <v>2788</v>
      </c>
      <c r="AG121" s="29"/>
      <c r="AH121" s="29"/>
      <c r="AI121" s="29" t="s">
        <v>2509</v>
      </c>
      <c r="AJ121" s="29"/>
      <c r="AK121" s="29" t="s">
        <v>268</v>
      </c>
      <c r="AL121" s="29" t="s">
        <v>1948</v>
      </c>
      <c r="AM121" s="29"/>
      <c r="AN121" s="29">
        <v>3</v>
      </c>
      <c r="AO121" s="29">
        <v>3</v>
      </c>
      <c r="AP121" s="29" t="s">
        <v>2786</v>
      </c>
      <c r="AQ121" s="29" t="s">
        <v>625</v>
      </c>
      <c r="AR121" s="29" t="s">
        <v>30</v>
      </c>
      <c r="AS121" s="29" t="s">
        <v>2789</v>
      </c>
    </row>
    <row r="122" ht="15.75" customHeight="1" spans="1:45">
      <c r="A122" s="29"/>
      <c r="B122" s="29"/>
      <c r="C122" s="29"/>
      <c r="D122" s="29" t="s">
        <v>79</v>
      </c>
      <c r="E122" s="29" t="s">
        <v>2184</v>
      </c>
      <c r="F122" s="29" t="s">
        <v>2286</v>
      </c>
      <c r="G122" s="29"/>
      <c r="H122" s="29" t="s">
        <v>81</v>
      </c>
      <c r="I122" s="27" t="str">
        <f t="shared" si="0"/>
        <v>Mago, Frederick</v>
      </c>
      <c r="J122" s="29" t="s">
        <v>1110</v>
      </c>
      <c r="K122" s="29" t="s">
        <v>2790</v>
      </c>
      <c r="L122" s="29"/>
      <c r="M122" s="29" t="s">
        <v>1642</v>
      </c>
      <c r="N122" s="29"/>
      <c r="O122" s="29"/>
      <c r="P122" s="29"/>
      <c r="Q122" s="29"/>
      <c r="R122" s="29"/>
      <c r="S122" s="181"/>
      <c r="T122" s="88" t="str">
        <f ca="1" t="shared" si="1"/>
        <v/>
      </c>
      <c r="U122" s="29"/>
      <c r="V122" s="29"/>
      <c r="W122" s="29"/>
      <c r="X122" s="29"/>
      <c r="Y122" s="29"/>
      <c r="Z122" s="29"/>
      <c r="AA122" s="181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</row>
    <row r="123" ht="15.75" customHeight="1" spans="1:45">
      <c r="A123" s="29"/>
      <c r="B123" s="29"/>
      <c r="C123" s="29"/>
      <c r="D123" s="29" t="s">
        <v>51</v>
      </c>
      <c r="E123" s="29" t="s">
        <v>2177</v>
      </c>
      <c r="F123" s="29" t="s">
        <v>1648</v>
      </c>
      <c r="G123" s="29"/>
      <c r="H123" s="29" t="s">
        <v>81</v>
      </c>
      <c r="I123" s="27" t="str">
        <f t="shared" si="0"/>
        <v>Maguddayao, Katrina</v>
      </c>
      <c r="J123" s="29" t="s">
        <v>2791</v>
      </c>
      <c r="K123" s="29" t="s">
        <v>2792</v>
      </c>
      <c r="L123" s="29"/>
      <c r="M123" s="29" t="s">
        <v>57</v>
      </c>
      <c r="N123" s="29"/>
      <c r="O123" s="29"/>
      <c r="P123" s="29" t="s">
        <v>2793</v>
      </c>
      <c r="Q123" s="29" t="s">
        <v>2794</v>
      </c>
      <c r="R123" s="29" t="s">
        <v>2795</v>
      </c>
      <c r="S123" s="181">
        <v>36766</v>
      </c>
      <c r="T123" s="88">
        <f ca="1" t="shared" si="1"/>
        <v>26</v>
      </c>
      <c r="U123" s="29" t="s">
        <v>2796</v>
      </c>
      <c r="V123" s="29" t="s">
        <v>2797</v>
      </c>
      <c r="W123" s="29" t="s">
        <v>2798</v>
      </c>
      <c r="X123" s="29" t="s">
        <v>51</v>
      </c>
      <c r="Y123" s="181">
        <v>41394</v>
      </c>
      <c r="Z123" s="29" t="s">
        <v>51</v>
      </c>
      <c r="AA123" s="181" t="s">
        <v>1589</v>
      </c>
      <c r="AB123" s="29"/>
      <c r="AC123" s="29" t="s">
        <v>2799</v>
      </c>
      <c r="AD123" s="29"/>
      <c r="AE123" s="29" t="s">
        <v>188</v>
      </c>
      <c r="AF123" s="29" t="s">
        <v>2800</v>
      </c>
      <c r="AG123" s="29"/>
      <c r="AH123" s="29" t="s">
        <v>2801</v>
      </c>
      <c r="AI123" s="29" t="s">
        <v>2246</v>
      </c>
      <c r="AJ123" s="29"/>
      <c r="AK123" s="29" t="s">
        <v>268</v>
      </c>
      <c r="AL123" s="29" t="s">
        <v>153</v>
      </c>
      <c r="AM123" s="29"/>
      <c r="AN123" s="29">
        <v>5</v>
      </c>
      <c r="AO123" s="29">
        <v>7</v>
      </c>
      <c r="AP123" s="29" t="s">
        <v>2802</v>
      </c>
      <c r="AQ123" s="29" t="s">
        <v>2803</v>
      </c>
      <c r="AR123" s="29" t="s">
        <v>194</v>
      </c>
      <c r="AS123" s="29"/>
    </row>
    <row r="124" ht="15.75" customHeight="1" spans="1:45">
      <c r="A124" s="29"/>
      <c r="B124" s="29"/>
      <c r="C124" s="29"/>
      <c r="D124" s="29" t="s">
        <v>79</v>
      </c>
      <c r="E124" s="29" t="s">
        <v>2189</v>
      </c>
      <c r="F124" s="29" t="s">
        <v>2185</v>
      </c>
      <c r="G124" s="29"/>
      <c r="H124" s="29" t="s">
        <v>81</v>
      </c>
      <c r="I124" s="27" t="str">
        <f t="shared" si="0"/>
        <v>Mamaril, Hezekiah</v>
      </c>
      <c r="J124" s="29" t="s">
        <v>1153</v>
      </c>
      <c r="K124" s="29" t="s">
        <v>2804</v>
      </c>
      <c r="L124" s="29"/>
      <c r="M124" s="29" t="s">
        <v>1642</v>
      </c>
      <c r="N124" s="29"/>
      <c r="O124" s="29"/>
      <c r="P124" s="29"/>
      <c r="Q124" s="29"/>
      <c r="R124" s="29"/>
      <c r="S124" s="181"/>
      <c r="T124" s="88" t="str">
        <f ca="1" t="shared" si="1"/>
        <v/>
      </c>
      <c r="U124" s="29"/>
      <c r="V124" s="29"/>
      <c r="W124" s="29"/>
      <c r="X124" s="29"/>
      <c r="Y124" s="29"/>
      <c r="Z124" s="29"/>
      <c r="AA124" s="181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</row>
    <row r="125" ht="15.75" customHeight="1" spans="1:45">
      <c r="A125" s="29"/>
      <c r="B125" s="29"/>
      <c r="C125" s="29"/>
      <c r="D125" s="29" t="s">
        <v>79</v>
      </c>
      <c r="E125" s="29" t="s">
        <v>2181</v>
      </c>
      <c r="F125" s="29" t="s">
        <v>2182</v>
      </c>
      <c r="G125" s="29"/>
      <c r="H125" s="29" t="s">
        <v>81</v>
      </c>
      <c r="I125" s="27" t="str">
        <f t="shared" si="0"/>
        <v>Mamaril, Danielle</v>
      </c>
      <c r="J125" s="29" t="s">
        <v>1153</v>
      </c>
      <c r="K125" s="193" t="s">
        <v>2805</v>
      </c>
      <c r="L125" s="29"/>
      <c r="M125" s="29" t="s">
        <v>57</v>
      </c>
      <c r="N125" s="29"/>
      <c r="O125" s="29"/>
      <c r="P125" s="29"/>
      <c r="Q125" s="29"/>
      <c r="R125" s="29"/>
      <c r="S125" s="181"/>
      <c r="T125" s="88" t="str">
        <f ca="1" t="shared" si="1"/>
        <v/>
      </c>
      <c r="U125" s="29"/>
      <c r="V125" s="29"/>
      <c r="W125" s="29"/>
      <c r="X125" s="29"/>
      <c r="Y125" s="29"/>
      <c r="Z125" s="29"/>
      <c r="AA125" s="181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</row>
    <row r="126" ht="15.75" customHeight="1" spans="1:45">
      <c r="A126" s="29"/>
      <c r="B126" s="29"/>
      <c r="C126" s="29"/>
      <c r="D126" s="29" t="s">
        <v>51</v>
      </c>
      <c r="E126" s="29" t="s">
        <v>2177</v>
      </c>
      <c r="F126" s="29" t="s">
        <v>2182</v>
      </c>
      <c r="G126" s="29"/>
      <c r="H126" s="29" t="s">
        <v>81</v>
      </c>
      <c r="I126" s="27" t="str">
        <f t="shared" si="0"/>
        <v>Manadao, Trent Jordan</v>
      </c>
      <c r="J126" s="29" t="s">
        <v>2806</v>
      </c>
      <c r="K126" s="29" t="s">
        <v>2807</v>
      </c>
      <c r="L126" s="29" t="s">
        <v>493</v>
      </c>
      <c r="M126" s="29" t="s">
        <v>1642</v>
      </c>
      <c r="N126" s="29">
        <v>55</v>
      </c>
      <c r="O126" s="29" t="s">
        <v>1419</v>
      </c>
      <c r="P126" s="29" t="s">
        <v>2808</v>
      </c>
      <c r="Q126" s="29" t="s">
        <v>2809</v>
      </c>
      <c r="R126" s="29" t="s">
        <v>2810</v>
      </c>
      <c r="S126" s="181">
        <v>37928</v>
      </c>
      <c r="T126" s="88">
        <f ca="1" t="shared" si="1"/>
        <v>22</v>
      </c>
      <c r="U126" s="29" t="s">
        <v>2581</v>
      </c>
      <c r="V126" s="29" t="s">
        <v>2811</v>
      </c>
      <c r="W126" s="29" t="s">
        <v>2812</v>
      </c>
      <c r="X126" s="29" t="s">
        <v>51</v>
      </c>
      <c r="Y126" s="235" t="s">
        <v>2338</v>
      </c>
      <c r="Z126" s="29" t="s">
        <v>51</v>
      </c>
      <c r="AA126" s="181">
        <v>43461</v>
      </c>
      <c r="AB126" s="29"/>
      <c r="AC126" s="29" t="s">
        <v>2584</v>
      </c>
      <c r="AD126" s="29" t="s">
        <v>2813</v>
      </c>
      <c r="AE126" s="29" t="s">
        <v>2092</v>
      </c>
      <c r="AF126" s="29" t="s">
        <v>2244</v>
      </c>
      <c r="AG126" s="29"/>
      <c r="AH126" s="29"/>
      <c r="AI126" s="29" t="s">
        <v>2246</v>
      </c>
      <c r="AJ126" s="29"/>
      <c r="AK126" s="29" t="s">
        <v>2814</v>
      </c>
      <c r="AL126" s="29" t="s">
        <v>547</v>
      </c>
      <c r="AM126" s="29" t="s">
        <v>154</v>
      </c>
      <c r="AN126" s="29">
        <v>6</v>
      </c>
      <c r="AO126" s="29">
        <v>6</v>
      </c>
      <c r="AP126" s="29" t="s">
        <v>2815</v>
      </c>
      <c r="AQ126" s="29" t="s">
        <v>2816</v>
      </c>
      <c r="AR126" s="29" t="s">
        <v>194</v>
      </c>
      <c r="AS126" s="29" t="s">
        <v>2817</v>
      </c>
    </row>
    <row r="127" ht="15.75" customHeight="1" spans="1:45">
      <c r="A127" s="29"/>
      <c r="B127" s="29"/>
      <c r="C127" s="29"/>
      <c r="D127" s="29" t="s">
        <v>51</v>
      </c>
      <c r="E127" s="29" t="s">
        <v>2177</v>
      </c>
      <c r="F127" s="29" t="s">
        <v>2178</v>
      </c>
      <c r="G127" s="29"/>
      <c r="H127" s="29" t="s">
        <v>81</v>
      </c>
      <c r="I127" s="27" t="str">
        <f t="shared" si="0"/>
        <v>Manadao, Jeremiah Josh</v>
      </c>
      <c r="J127" s="29" t="s">
        <v>2806</v>
      </c>
      <c r="K127" s="193" t="s">
        <v>2818</v>
      </c>
      <c r="L127" s="29" t="s">
        <v>493</v>
      </c>
      <c r="M127" s="29" t="s">
        <v>1642</v>
      </c>
      <c r="N127" s="29">
        <v>55</v>
      </c>
      <c r="O127" s="29" t="s">
        <v>1419</v>
      </c>
      <c r="P127" s="29" t="s">
        <v>2808</v>
      </c>
      <c r="Q127" s="29" t="s">
        <v>2817</v>
      </c>
      <c r="R127" s="29" t="s">
        <v>2819</v>
      </c>
      <c r="S127" s="181">
        <v>36163</v>
      </c>
      <c r="T127" s="88">
        <f ca="1" t="shared" si="1"/>
        <v>27</v>
      </c>
      <c r="U127" s="29" t="s">
        <v>2581</v>
      </c>
      <c r="V127" s="29" t="s">
        <v>2811</v>
      </c>
      <c r="W127" s="29" t="s">
        <v>2812</v>
      </c>
      <c r="X127" s="29" t="s">
        <v>51</v>
      </c>
      <c r="Y127" s="181">
        <v>43069</v>
      </c>
      <c r="Z127" s="29" t="s">
        <v>51</v>
      </c>
      <c r="AA127" s="181">
        <v>43145</v>
      </c>
      <c r="AB127" s="29"/>
      <c r="AC127" s="29" t="s">
        <v>2584</v>
      </c>
      <c r="AD127" s="29" t="s">
        <v>2813</v>
      </c>
      <c r="AE127" s="29" t="s">
        <v>188</v>
      </c>
      <c r="AF127" s="29"/>
      <c r="AG127" s="29"/>
      <c r="AH127" s="29"/>
      <c r="AI127" s="29" t="s">
        <v>2246</v>
      </c>
      <c r="AJ127" s="29" t="s">
        <v>172</v>
      </c>
      <c r="AK127" s="29" t="s">
        <v>2353</v>
      </c>
      <c r="AL127" s="29" t="s">
        <v>547</v>
      </c>
      <c r="AM127" s="29" t="s">
        <v>1903</v>
      </c>
      <c r="AN127" s="29"/>
      <c r="AO127" s="29"/>
      <c r="AP127" s="29" t="s">
        <v>2812</v>
      </c>
      <c r="AQ127" s="29" t="s">
        <v>2820</v>
      </c>
      <c r="AR127" s="29" t="s">
        <v>30</v>
      </c>
      <c r="AS127" s="29" t="s">
        <v>2821</v>
      </c>
    </row>
    <row r="128" ht="15.75" customHeight="1" spans="1:45">
      <c r="A128" s="29"/>
      <c r="B128" s="29"/>
      <c r="C128" s="29"/>
      <c r="D128" s="29" t="s">
        <v>79</v>
      </c>
      <c r="E128" s="29" t="s">
        <v>2184</v>
      </c>
      <c r="F128" s="29" t="s">
        <v>2423</v>
      </c>
      <c r="G128" s="29"/>
      <c r="H128" s="29" t="s">
        <v>81</v>
      </c>
      <c r="I128" s="27" t="str">
        <f t="shared" si="0"/>
        <v>Mangili, Kurt</v>
      </c>
      <c r="J128" s="29" t="s">
        <v>1170</v>
      </c>
      <c r="K128" s="195" t="s">
        <v>2822</v>
      </c>
      <c r="L128" s="29"/>
      <c r="M128" s="29" t="s">
        <v>1642</v>
      </c>
      <c r="N128" s="29"/>
      <c r="O128" s="29"/>
      <c r="P128" s="29"/>
      <c r="Q128" s="29"/>
      <c r="R128" s="29"/>
      <c r="S128" s="181"/>
      <c r="T128" s="88" t="str">
        <f ca="1" t="shared" si="1"/>
        <v/>
      </c>
      <c r="U128" s="29"/>
      <c r="V128" s="29"/>
      <c r="W128" s="29"/>
      <c r="X128" s="29"/>
      <c r="Y128" s="29"/>
      <c r="Z128" s="29"/>
      <c r="AA128" s="181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</row>
    <row r="129" ht="15.75" customHeight="1" spans="1:45">
      <c r="A129" s="29"/>
      <c r="B129" s="29"/>
      <c r="C129" s="29"/>
      <c r="D129" s="29" t="s">
        <v>51</v>
      </c>
      <c r="E129" s="29" t="s">
        <v>2189</v>
      </c>
      <c r="F129" s="29" t="s">
        <v>2617</v>
      </c>
      <c r="G129" s="29" t="s">
        <v>2186</v>
      </c>
      <c r="H129" s="29" t="s">
        <v>81</v>
      </c>
      <c r="I129" s="27" t="str">
        <f t="shared" si="0"/>
        <v>Matias, Demerie Joy</v>
      </c>
      <c r="J129" s="29" t="s">
        <v>1189</v>
      </c>
      <c r="K129" s="29" t="s">
        <v>2823</v>
      </c>
      <c r="L129" s="29" t="s">
        <v>2824</v>
      </c>
      <c r="M129" s="29" t="s">
        <v>57</v>
      </c>
      <c r="N129" s="29" t="s">
        <v>2825</v>
      </c>
      <c r="O129" s="189" t="s">
        <v>2826</v>
      </c>
      <c r="P129" s="29" t="s">
        <v>123</v>
      </c>
      <c r="Q129" s="29"/>
      <c r="R129" s="29" t="s">
        <v>2827</v>
      </c>
      <c r="S129" s="181">
        <v>30315</v>
      </c>
      <c r="T129" s="88">
        <f ca="1" t="shared" si="1"/>
        <v>43</v>
      </c>
      <c r="U129" s="29" t="s">
        <v>123</v>
      </c>
      <c r="V129" s="29" t="s">
        <v>2828</v>
      </c>
      <c r="W129" s="29" t="s">
        <v>2829</v>
      </c>
      <c r="X129" s="29" t="s">
        <v>51</v>
      </c>
      <c r="Y129" s="29"/>
      <c r="Z129" s="29" t="s">
        <v>51</v>
      </c>
      <c r="AA129" s="181" t="s">
        <v>2830</v>
      </c>
      <c r="AB129" s="29"/>
      <c r="AC129" s="29"/>
      <c r="AD129" s="29"/>
      <c r="AE129" s="29" t="s">
        <v>501</v>
      </c>
      <c r="AF129" s="29"/>
      <c r="AG129" s="29"/>
      <c r="AH129" s="29" t="s">
        <v>504</v>
      </c>
      <c r="AI129" s="29" t="s">
        <v>1901</v>
      </c>
      <c r="AJ129" s="29"/>
      <c r="AK129" s="29" t="s">
        <v>249</v>
      </c>
      <c r="AL129" s="29" t="s">
        <v>305</v>
      </c>
      <c r="AM129" s="29" t="s">
        <v>154</v>
      </c>
      <c r="AN129" s="29">
        <v>18</v>
      </c>
      <c r="AO129" s="29">
        <v>18</v>
      </c>
      <c r="AP129" s="29" t="s">
        <v>2829</v>
      </c>
      <c r="AQ129" s="29"/>
      <c r="AR129" s="29" t="s">
        <v>30</v>
      </c>
      <c r="AS129" s="29"/>
    </row>
    <row r="130" ht="15.75" customHeight="1" spans="1:45">
      <c r="A130" s="29"/>
      <c r="B130" s="29"/>
      <c r="C130" s="29"/>
      <c r="D130" s="29" t="s">
        <v>79</v>
      </c>
      <c r="E130" s="29" t="s">
        <v>2184</v>
      </c>
      <c r="F130" s="29" t="s">
        <v>2231</v>
      </c>
      <c r="G130" s="29"/>
      <c r="H130" s="29" t="s">
        <v>81</v>
      </c>
      <c r="I130" s="27" t="str">
        <f t="shared" si="0"/>
        <v>Mejia, Markgil</v>
      </c>
      <c r="J130" s="29" t="s">
        <v>2831</v>
      </c>
      <c r="K130" s="195" t="s">
        <v>2832</v>
      </c>
      <c r="L130" s="29"/>
      <c r="M130" s="29" t="s">
        <v>1642</v>
      </c>
      <c r="N130" s="29"/>
      <c r="O130" s="29"/>
      <c r="P130" s="29"/>
      <c r="Q130" s="29"/>
      <c r="R130" s="29"/>
      <c r="S130" s="181"/>
      <c r="T130" s="88" t="str">
        <f ca="1" t="shared" si="1"/>
        <v/>
      </c>
      <c r="U130" s="29"/>
      <c r="V130" s="29"/>
      <c r="W130" s="29"/>
      <c r="X130" s="29"/>
      <c r="Y130" s="29"/>
      <c r="Z130" s="29"/>
      <c r="AA130" s="181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</row>
    <row r="131" ht="15.75" customHeight="1" spans="1:45">
      <c r="A131" s="29"/>
      <c r="B131" s="29"/>
      <c r="C131" s="29"/>
      <c r="D131" s="29" t="s">
        <v>79</v>
      </c>
      <c r="E131" s="29" t="s">
        <v>2189</v>
      </c>
      <c r="F131" s="29" t="s">
        <v>2617</v>
      </c>
      <c r="G131" s="29" t="s">
        <v>2186</v>
      </c>
      <c r="H131" s="29" t="s">
        <v>126</v>
      </c>
      <c r="I131" s="27" t="str">
        <f t="shared" si="0"/>
        <v>Mendoza, Michael</v>
      </c>
      <c r="J131" s="29" t="s">
        <v>2833</v>
      </c>
      <c r="K131" s="29" t="s">
        <v>2113</v>
      </c>
      <c r="L131" s="29"/>
      <c r="M131" s="29" t="s">
        <v>1642</v>
      </c>
      <c r="N131" s="29"/>
      <c r="O131" s="29"/>
      <c r="P131" s="29"/>
      <c r="Q131" s="29"/>
      <c r="R131" s="29"/>
      <c r="S131" s="181"/>
      <c r="T131" s="88" t="str">
        <f ca="1" t="shared" si="1"/>
        <v/>
      </c>
      <c r="U131" s="29"/>
      <c r="V131" s="29"/>
      <c r="W131" s="29"/>
      <c r="X131" s="29"/>
      <c r="Y131" s="29"/>
      <c r="Z131" s="29"/>
      <c r="AA131" s="181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</row>
    <row r="132" ht="15.75" customHeight="1" spans="1:45">
      <c r="A132" s="29"/>
      <c r="B132" s="29"/>
      <c r="C132" s="29"/>
      <c r="D132" s="29" t="s">
        <v>51</v>
      </c>
      <c r="E132" s="29" t="s">
        <v>2189</v>
      </c>
      <c r="F132" s="29" t="s">
        <v>2182</v>
      </c>
      <c r="G132" s="29" t="s">
        <v>2186</v>
      </c>
      <c r="H132" s="29" t="s">
        <v>92</v>
      </c>
      <c r="I132" s="190" t="str">
        <f t="shared" si="0"/>
        <v>Minog, Geralyn</v>
      </c>
      <c r="J132" s="29" t="s">
        <v>1204</v>
      </c>
      <c r="K132" s="29" t="s">
        <v>2834</v>
      </c>
      <c r="L132" s="29" t="s">
        <v>458</v>
      </c>
      <c r="M132" s="29" t="s">
        <v>57</v>
      </c>
      <c r="N132" s="29">
        <v>33</v>
      </c>
      <c r="O132" s="189" t="s">
        <v>1206</v>
      </c>
      <c r="P132" s="29"/>
      <c r="Q132" s="29" t="s">
        <v>2835</v>
      </c>
      <c r="R132" s="29"/>
      <c r="S132" s="181">
        <v>33933</v>
      </c>
      <c r="T132" s="88">
        <f ca="1" t="shared" si="1"/>
        <v>33</v>
      </c>
      <c r="U132" s="29" t="s">
        <v>2836</v>
      </c>
      <c r="V132" s="29" t="s">
        <v>2837</v>
      </c>
      <c r="W132" s="29" t="s">
        <v>2838</v>
      </c>
      <c r="X132" s="29" t="s">
        <v>51</v>
      </c>
      <c r="Y132" s="29"/>
      <c r="Z132" s="29" t="s">
        <v>51</v>
      </c>
      <c r="AA132" s="181">
        <v>2007</v>
      </c>
      <c r="AB132" s="29"/>
      <c r="AC132" s="29"/>
      <c r="AD132" s="29"/>
      <c r="AE132" s="29" t="s">
        <v>188</v>
      </c>
      <c r="AF132" s="29"/>
      <c r="AG132" s="29"/>
      <c r="AH132" s="29" t="s">
        <v>2665</v>
      </c>
      <c r="AI132" s="29" t="s">
        <v>172</v>
      </c>
      <c r="AJ132" s="29"/>
      <c r="AK132" s="29" t="s">
        <v>190</v>
      </c>
      <c r="AL132" s="29" t="s">
        <v>561</v>
      </c>
      <c r="AM132" s="29"/>
      <c r="AN132" s="29">
        <v>18</v>
      </c>
      <c r="AO132" s="29">
        <v>18</v>
      </c>
      <c r="AP132" s="29" t="s">
        <v>2839</v>
      </c>
      <c r="AQ132" s="29" t="s">
        <v>625</v>
      </c>
      <c r="AR132" s="29" t="s">
        <v>30</v>
      </c>
      <c r="AS132" s="29" t="s">
        <v>1207</v>
      </c>
    </row>
    <row r="133" ht="15.75" customHeight="1" spans="1:45">
      <c r="A133" s="29"/>
      <c r="B133" s="29"/>
      <c r="C133" s="29"/>
      <c r="D133" s="29" t="s">
        <v>51</v>
      </c>
      <c r="E133" s="29" t="s">
        <v>2189</v>
      </c>
      <c r="F133" s="29" t="s">
        <v>1767</v>
      </c>
      <c r="G133" s="29"/>
      <c r="H133" s="29" t="s">
        <v>81</v>
      </c>
      <c r="I133" s="27" t="str">
        <f t="shared" si="0"/>
        <v>Misa, Ruth</v>
      </c>
      <c r="J133" s="29" t="s">
        <v>1208</v>
      </c>
      <c r="K133" s="29" t="s">
        <v>2840</v>
      </c>
      <c r="L133" s="29" t="s">
        <v>161</v>
      </c>
      <c r="M133" s="29" t="s">
        <v>57</v>
      </c>
      <c r="N133" s="29"/>
      <c r="O133" s="29" t="s">
        <v>1016</v>
      </c>
      <c r="P133" s="29" t="s">
        <v>1554</v>
      </c>
      <c r="Q133" s="29" t="s">
        <v>2841</v>
      </c>
      <c r="R133" s="29" t="s">
        <v>2842</v>
      </c>
      <c r="S133" s="181">
        <v>39129</v>
      </c>
      <c r="T133" s="88">
        <f ca="1" t="shared" si="1"/>
        <v>19</v>
      </c>
      <c r="U133" s="29" t="s">
        <v>1734</v>
      </c>
      <c r="V133" s="29" t="s">
        <v>2843</v>
      </c>
      <c r="W133" s="29" t="s">
        <v>2844</v>
      </c>
      <c r="X133" s="29" t="s">
        <v>51</v>
      </c>
      <c r="Y133" s="29"/>
      <c r="Z133" s="29" t="s">
        <v>51</v>
      </c>
      <c r="AA133" s="181"/>
      <c r="AB133" s="29"/>
      <c r="AC133" s="29"/>
      <c r="AD133" s="29"/>
      <c r="AE133" s="29" t="s">
        <v>2845</v>
      </c>
      <c r="AF133" s="29" t="s">
        <v>2244</v>
      </c>
      <c r="AG133" s="29" t="s">
        <v>2846</v>
      </c>
      <c r="AH133" s="29" t="s">
        <v>2847</v>
      </c>
      <c r="AI133" s="29"/>
      <c r="AJ133" s="29"/>
      <c r="AK133" s="29" t="s">
        <v>2848</v>
      </c>
      <c r="AL133" s="29" t="s">
        <v>561</v>
      </c>
      <c r="AM133" s="29" t="s">
        <v>154</v>
      </c>
      <c r="AN133" s="29"/>
      <c r="AO133" s="29"/>
      <c r="AP133" s="29" t="s">
        <v>2844</v>
      </c>
      <c r="AQ133" s="29" t="s">
        <v>625</v>
      </c>
      <c r="AR133" s="29" t="s">
        <v>30</v>
      </c>
      <c r="AS133" s="29" t="s">
        <v>1216</v>
      </c>
    </row>
    <row r="134" ht="15.75" customHeight="1" spans="1:45">
      <c r="A134" s="29"/>
      <c r="B134" s="29"/>
      <c r="C134" s="29"/>
      <c r="D134" s="29" t="s">
        <v>51</v>
      </c>
      <c r="E134" s="29" t="s">
        <v>2189</v>
      </c>
      <c r="F134" s="29" t="s">
        <v>1767</v>
      </c>
      <c r="G134" s="29"/>
      <c r="H134" s="29" t="s">
        <v>81</v>
      </c>
      <c r="I134" s="27" t="str">
        <f t="shared" si="0"/>
        <v>Misa, Althea Faith</v>
      </c>
      <c r="J134" s="29" t="s">
        <v>1208</v>
      </c>
      <c r="K134" s="29" t="s">
        <v>2849</v>
      </c>
      <c r="L134" s="29" t="s">
        <v>161</v>
      </c>
      <c r="M134" s="29" t="s">
        <v>57</v>
      </c>
      <c r="N134" s="29" t="s">
        <v>2850</v>
      </c>
      <c r="O134" s="29" t="s">
        <v>1211</v>
      </c>
      <c r="P134" s="29" t="s">
        <v>1554</v>
      </c>
      <c r="Q134" s="29" t="s">
        <v>2851</v>
      </c>
      <c r="R134" s="29" t="s">
        <v>2852</v>
      </c>
      <c r="S134" s="181">
        <v>38477</v>
      </c>
      <c r="T134" s="88">
        <f ca="1" t="shared" si="1"/>
        <v>21</v>
      </c>
      <c r="U134" s="29" t="s">
        <v>1734</v>
      </c>
      <c r="V134" s="29" t="s">
        <v>2853</v>
      </c>
      <c r="W134" s="29" t="s">
        <v>2854</v>
      </c>
      <c r="X134" s="29" t="s">
        <v>51</v>
      </c>
      <c r="Y134" s="235" t="s">
        <v>2351</v>
      </c>
      <c r="Z134" s="29" t="s">
        <v>51</v>
      </c>
      <c r="AA134" s="181" t="s">
        <v>2351</v>
      </c>
      <c r="AB134" s="29"/>
      <c r="AC134" s="29"/>
      <c r="AD134" s="29"/>
      <c r="AE134" s="29" t="s">
        <v>2092</v>
      </c>
      <c r="AF134" s="29" t="s">
        <v>2367</v>
      </c>
      <c r="AG134" s="29"/>
      <c r="AH134" s="29"/>
      <c r="AI134" s="29"/>
      <c r="AJ134" s="29"/>
      <c r="AK134" s="29" t="s">
        <v>2855</v>
      </c>
      <c r="AL134" s="29" t="s">
        <v>1771</v>
      </c>
      <c r="AM134" s="29" t="s">
        <v>2856</v>
      </c>
      <c r="AN134" s="29"/>
      <c r="AO134" s="29"/>
      <c r="AP134" s="29" t="s">
        <v>2857</v>
      </c>
      <c r="AQ134" s="29" t="s">
        <v>2858</v>
      </c>
      <c r="AR134" s="29" t="s">
        <v>608</v>
      </c>
      <c r="AS134" s="29" t="s">
        <v>1216</v>
      </c>
    </row>
    <row r="135" ht="15.75" customHeight="1" spans="1:45">
      <c r="A135" s="29"/>
      <c r="B135" s="29"/>
      <c r="C135" s="29"/>
      <c r="D135" s="29" t="s">
        <v>79</v>
      </c>
      <c r="E135" s="29" t="s">
        <v>2184</v>
      </c>
      <c r="F135" s="29" t="s">
        <v>2423</v>
      </c>
      <c r="G135" s="29"/>
      <c r="H135" s="29" t="s">
        <v>81</v>
      </c>
      <c r="I135" s="27" t="str">
        <f t="shared" si="0"/>
        <v>Morales, Cloe Aloi</v>
      </c>
      <c r="J135" s="29" t="s">
        <v>2859</v>
      </c>
      <c r="K135" s="29" t="s">
        <v>2860</v>
      </c>
      <c r="L135" s="29" t="s">
        <v>2211</v>
      </c>
      <c r="M135" s="29" t="s">
        <v>1642</v>
      </c>
      <c r="N135" s="29"/>
      <c r="O135" s="29"/>
      <c r="P135" s="29"/>
      <c r="Q135" s="29"/>
      <c r="R135" s="29"/>
      <c r="S135" s="181"/>
      <c r="T135" s="88" t="str">
        <f ca="1" t="shared" si="1"/>
        <v/>
      </c>
      <c r="U135" s="29"/>
      <c r="V135" s="29"/>
      <c r="W135" s="29"/>
      <c r="X135" s="29"/>
      <c r="Y135" s="29"/>
      <c r="Z135" s="29"/>
      <c r="AA135" s="181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</row>
    <row r="136" ht="15.75" customHeight="1" spans="1:45">
      <c r="A136" s="29"/>
      <c r="B136" s="29"/>
      <c r="C136" s="29"/>
      <c r="D136" s="29" t="s">
        <v>51</v>
      </c>
      <c r="E136" s="29" t="s">
        <v>2189</v>
      </c>
      <c r="F136" s="29" t="s">
        <v>2185</v>
      </c>
      <c r="G136" s="29"/>
      <c r="H136" s="29" t="s">
        <v>81</v>
      </c>
      <c r="I136" s="27" t="str">
        <f t="shared" si="0"/>
        <v>Morales, Clea Reins</v>
      </c>
      <c r="J136" s="29" t="s">
        <v>2859</v>
      </c>
      <c r="K136" s="29" t="s">
        <v>2861</v>
      </c>
      <c r="L136" s="29" t="s">
        <v>907</v>
      </c>
      <c r="M136" s="29" t="s">
        <v>57</v>
      </c>
      <c r="N136" s="29">
        <v>51</v>
      </c>
      <c r="O136" s="29" t="s">
        <v>2862</v>
      </c>
      <c r="P136" s="29"/>
      <c r="Q136" s="29" t="s">
        <v>2863</v>
      </c>
      <c r="R136" s="29"/>
      <c r="S136" s="181">
        <v>39022</v>
      </c>
      <c r="T136" s="88">
        <f ca="1" t="shared" si="1"/>
        <v>19</v>
      </c>
      <c r="U136" s="29" t="s">
        <v>123</v>
      </c>
      <c r="V136" s="29" t="s">
        <v>2864</v>
      </c>
      <c r="W136" s="29" t="s">
        <v>2865</v>
      </c>
      <c r="X136" s="29" t="s">
        <v>51</v>
      </c>
      <c r="Y136" s="235" t="s">
        <v>2866</v>
      </c>
      <c r="Z136" s="29" t="s">
        <v>51</v>
      </c>
      <c r="AA136" s="181" t="s">
        <v>1027</v>
      </c>
      <c r="AB136" s="29"/>
      <c r="AC136" s="29"/>
      <c r="AD136" s="29"/>
      <c r="AE136" s="29"/>
      <c r="AF136" s="29" t="s">
        <v>2244</v>
      </c>
      <c r="AG136" s="29"/>
      <c r="AH136" s="29"/>
      <c r="AI136" s="29" t="s">
        <v>2246</v>
      </c>
      <c r="AJ136" s="29"/>
      <c r="AK136" s="29"/>
      <c r="AL136" s="29" t="s">
        <v>268</v>
      </c>
      <c r="AM136" s="29" t="s">
        <v>269</v>
      </c>
      <c r="AN136" s="29" t="s">
        <v>2867</v>
      </c>
      <c r="AO136" s="29" t="s">
        <v>2867</v>
      </c>
      <c r="AP136" s="29" t="s">
        <v>2864</v>
      </c>
      <c r="AQ136" s="29" t="s">
        <v>625</v>
      </c>
      <c r="AR136" s="29" t="s">
        <v>29</v>
      </c>
      <c r="AS136" s="29" t="s">
        <v>2868</v>
      </c>
    </row>
    <row r="137" ht="15.75" customHeight="1" spans="1:45">
      <c r="A137" s="29"/>
      <c r="B137" s="29"/>
      <c r="C137" s="29"/>
      <c r="D137" s="29" t="s">
        <v>51</v>
      </c>
      <c r="E137" s="29"/>
      <c r="F137" s="29"/>
      <c r="G137" s="29"/>
      <c r="H137" s="29"/>
      <c r="I137" s="27" t="str">
        <f t="shared" si="0"/>
        <v>Morales, Jairus</v>
      </c>
      <c r="J137" s="29" t="s">
        <v>2859</v>
      </c>
      <c r="K137" s="29" t="s">
        <v>2869</v>
      </c>
      <c r="L137" s="29" t="s">
        <v>2870</v>
      </c>
      <c r="M137" s="29" t="s">
        <v>1642</v>
      </c>
      <c r="N137" s="29" t="s">
        <v>2627</v>
      </c>
      <c r="O137" s="29"/>
      <c r="P137" s="29" t="s">
        <v>806</v>
      </c>
      <c r="Q137" s="29"/>
      <c r="R137" s="29"/>
      <c r="S137" s="181">
        <v>38950</v>
      </c>
      <c r="T137" s="88">
        <f ca="1" t="shared" si="1"/>
        <v>20</v>
      </c>
      <c r="U137" s="29" t="s">
        <v>2633</v>
      </c>
      <c r="V137" s="29" t="s">
        <v>2871</v>
      </c>
      <c r="W137" s="29" t="s">
        <v>2872</v>
      </c>
      <c r="X137" s="29" t="s">
        <v>51</v>
      </c>
      <c r="Y137" s="181"/>
      <c r="Z137" s="29" t="s">
        <v>51</v>
      </c>
      <c r="AA137" s="181"/>
      <c r="AB137" s="29"/>
      <c r="AC137" s="29" t="s">
        <v>2634</v>
      </c>
      <c r="AD137" s="29" t="s">
        <v>2635</v>
      </c>
      <c r="AE137" s="29"/>
      <c r="AF137" s="29" t="s">
        <v>2687</v>
      </c>
      <c r="AG137" s="29"/>
      <c r="AH137" s="29"/>
      <c r="AI137" s="29"/>
      <c r="AJ137" s="29"/>
      <c r="AK137" s="29" t="s">
        <v>2873</v>
      </c>
      <c r="AL137" s="29" t="s">
        <v>2874</v>
      </c>
      <c r="AM137" s="29" t="s">
        <v>1777</v>
      </c>
      <c r="AN137" s="29">
        <v>8</v>
      </c>
      <c r="AO137" s="29">
        <v>8</v>
      </c>
      <c r="AP137" s="29" t="s">
        <v>2875</v>
      </c>
      <c r="AQ137" s="29"/>
      <c r="AR137" s="29"/>
      <c r="AS137" s="29"/>
    </row>
    <row r="138" ht="15.75" customHeight="1" spans="1:45">
      <c r="A138" s="29"/>
      <c r="B138" s="29"/>
      <c r="C138" s="29"/>
      <c r="D138" s="29" t="s">
        <v>79</v>
      </c>
      <c r="E138" s="29" t="s">
        <v>2181</v>
      </c>
      <c r="F138" s="29" t="s">
        <v>2617</v>
      </c>
      <c r="G138" s="29" t="s">
        <v>2186</v>
      </c>
      <c r="H138" s="29" t="s">
        <v>81</v>
      </c>
      <c r="I138" s="27" t="str">
        <f t="shared" si="0"/>
        <v>Moran, Sherwin</v>
      </c>
      <c r="J138" s="29" t="s">
        <v>1218</v>
      </c>
      <c r="K138" s="29" t="s">
        <v>2876</v>
      </c>
      <c r="L138" s="29"/>
      <c r="M138" s="29" t="s">
        <v>1642</v>
      </c>
      <c r="N138" s="29"/>
      <c r="O138" s="29"/>
      <c r="P138" s="29"/>
      <c r="Q138" s="29"/>
      <c r="R138" s="29"/>
      <c r="S138" s="181"/>
      <c r="T138" s="88" t="str">
        <f ca="1" t="shared" si="1"/>
        <v/>
      </c>
      <c r="U138" s="29"/>
      <c r="V138" s="29"/>
      <c r="W138" s="29"/>
      <c r="X138" s="29"/>
      <c r="Y138" s="29"/>
      <c r="Z138" s="29"/>
      <c r="AA138" s="181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</row>
    <row r="139" ht="15.75" customHeight="1" spans="1:45">
      <c r="A139" s="29"/>
      <c r="B139" s="29"/>
      <c r="C139" s="29"/>
      <c r="D139" s="29" t="s">
        <v>51</v>
      </c>
      <c r="E139" s="29" t="s">
        <v>2189</v>
      </c>
      <c r="F139" s="29" t="s">
        <v>2231</v>
      </c>
      <c r="G139" s="29"/>
      <c r="H139" s="29" t="s">
        <v>92</v>
      </c>
      <c r="I139" s="197" t="str">
        <f t="shared" si="0"/>
        <v>Naimes, Ruth</v>
      </c>
      <c r="J139" s="29" t="s">
        <v>1246</v>
      </c>
      <c r="K139" s="29" t="s">
        <v>2840</v>
      </c>
      <c r="L139" s="29"/>
      <c r="M139" s="29" t="s">
        <v>57</v>
      </c>
      <c r="N139" s="29" t="s">
        <v>2877</v>
      </c>
      <c r="O139" s="189" t="s">
        <v>193</v>
      </c>
      <c r="P139" s="29"/>
      <c r="Q139" s="29" t="s">
        <v>2878</v>
      </c>
      <c r="R139" s="29" t="s">
        <v>2879</v>
      </c>
      <c r="S139" s="181">
        <v>37355</v>
      </c>
      <c r="T139" s="88">
        <f ca="1" t="shared" si="1"/>
        <v>24</v>
      </c>
      <c r="U139" s="29" t="s">
        <v>1734</v>
      </c>
      <c r="V139" s="29" t="s">
        <v>1253</v>
      </c>
      <c r="W139" s="29" t="s">
        <v>192</v>
      </c>
      <c r="X139" s="29" t="s">
        <v>51</v>
      </c>
      <c r="Y139" s="181">
        <v>41210</v>
      </c>
      <c r="Z139" s="29" t="s">
        <v>51</v>
      </c>
      <c r="AA139" s="181" t="s">
        <v>2880</v>
      </c>
      <c r="AB139" s="29"/>
      <c r="AC139" s="29"/>
      <c r="AD139" s="29"/>
      <c r="AE139" s="29" t="s">
        <v>188</v>
      </c>
      <c r="AF139" s="29" t="s">
        <v>2367</v>
      </c>
      <c r="AG139" s="29"/>
      <c r="AH139" s="29"/>
      <c r="AI139" s="29" t="s">
        <v>2509</v>
      </c>
      <c r="AJ139" s="29"/>
      <c r="AK139" s="29" t="s">
        <v>2328</v>
      </c>
      <c r="AL139" s="29" t="s">
        <v>153</v>
      </c>
      <c r="AM139" s="29"/>
      <c r="AN139" s="29">
        <v>11</v>
      </c>
      <c r="AO139" s="29">
        <v>10</v>
      </c>
      <c r="AP139" s="29" t="s">
        <v>192</v>
      </c>
      <c r="AQ139" s="29" t="s">
        <v>625</v>
      </c>
      <c r="AR139" s="29" t="s">
        <v>30</v>
      </c>
      <c r="AS139" s="29"/>
    </row>
    <row r="140" ht="15.75" customHeight="1" spans="1:45">
      <c r="A140" s="29"/>
      <c r="B140" s="29"/>
      <c r="C140" s="29"/>
      <c r="D140" s="29" t="s">
        <v>79</v>
      </c>
      <c r="E140" s="29" t="s">
        <v>2189</v>
      </c>
      <c r="F140" s="29" t="s">
        <v>1742</v>
      </c>
      <c r="G140" s="29"/>
      <c r="H140" s="29" t="s">
        <v>92</v>
      </c>
      <c r="I140" s="190" t="str">
        <f t="shared" si="0"/>
        <v>Naimes, Geno Rey</v>
      </c>
      <c r="J140" s="29" t="s">
        <v>1246</v>
      </c>
      <c r="K140" s="29" t="s">
        <v>2881</v>
      </c>
      <c r="L140" s="29"/>
      <c r="M140" s="29" t="s">
        <v>1642</v>
      </c>
      <c r="N140" s="29"/>
      <c r="O140" s="29"/>
      <c r="P140" s="29"/>
      <c r="Q140" s="29"/>
      <c r="R140" s="29"/>
      <c r="S140" s="181"/>
      <c r="T140" s="88" t="str">
        <f ca="1" t="shared" si="1"/>
        <v/>
      </c>
      <c r="U140" s="29"/>
      <c r="V140" s="29"/>
      <c r="W140" s="29"/>
      <c r="X140" s="29"/>
      <c r="Y140" s="29"/>
      <c r="Z140" s="29"/>
      <c r="AA140" s="181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</row>
    <row r="141" ht="15.75" customHeight="1" spans="1:45">
      <c r="A141" s="29"/>
      <c r="B141" s="29"/>
      <c r="C141" s="29"/>
      <c r="D141" s="29" t="s">
        <v>79</v>
      </c>
      <c r="E141" s="29" t="s">
        <v>2177</v>
      </c>
      <c r="F141" s="29" t="s">
        <v>2423</v>
      </c>
      <c r="G141" s="29"/>
      <c r="H141" s="29" t="s">
        <v>81</v>
      </c>
      <c r="I141" s="27" t="str">
        <f t="shared" si="0"/>
        <v>Ngaosi, Chenkie</v>
      </c>
      <c r="J141" s="29" t="s">
        <v>2882</v>
      </c>
      <c r="K141" s="29" t="s">
        <v>2883</v>
      </c>
      <c r="L141" s="29"/>
      <c r="M141" s="29" t="s">
        <v>57</v>
      </c>
      <c r="N141" s="29"/>
      <c r="O141" s="29"/>
      <c r="P141" s="29"/>
      <c r="Q141" s="29"/>
      <c r="R141" s="29"/>
      <c r="S141" s="181"/>
      <c r="T141" s="88" t="str">
        <f ca="1" t="shared" si="1"/>
        <v/>
      </c>
      <c r="U141" s="29"/>
      <c r="V141" s="29"/>
      <c r="W141" s="29"/>
      <c r="X141" s="29"/>
      <c r="Y141" s="29"/>
      <c r="Z141" s="29"/>
      <c r="AA141" s="181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</row>
    <row r="142" ht="15.75" customHeight="1" spans="1:45">
      <c r="A142" s="29"/>
      <c r="B142" s="29"/>
      <c r="C142" s="29"/>
      <c r="D142" s="29" t="s">
        <v>51</v>
      </c>
      <c r="E142" s="29"/>
      <c r="F142" s="29"/>
      <c r="G142" s="29"/>
      <c r="H142" s="29"/>
      <c r="I142" s="27" t="str">
        <f t="shared" si="0"/>
        <v>Nollan, Liecie May</v>
      </c>
      <c r="J142" s="29" t="s">
        <v>2884</v>
      </c>
      <c r="K142" s="29" t="s">
        <v>2885</v>
      </c>
      <c r="L142" s="29" t="s">
        <v>113</v>
      </c>
      <c r="M142" s="29" t="s">
        <v>57</v>
      </c>
      <c r="N142" s="29" t="s">
        <v>2886</v>
      </c>
      <c r="O142" s="29"/>
      <c r="P142" s="29" t="s">
        <v>1005</v>
      </c>
      <c r="Q142" s="29" t="s">
        <v>2887</v>
      </c>
      <c r="R142" s="29" t="s">
        <v>2888</v>
      </c>
      <c r="S142" s="181">
        <v>36677</v>
      </c>
      <c r="T142" s="88">
        <f ca="1" t="shared" si="1"/>
        <v>26</v>
      </c>
      <c r="U142" s="29" t="s">
        <v>2889</v>
      </c>
      <c r="V142" s="29" t="s">
        <v>2890</v>
      </c>
      <c r="W142" s="29" t="s">
        <v>2891</v>
      </c>
      <c r="X142" s="29" t="s">
        <v>51</v>
      </c>
      <c r="Y142" s="198">
        <v>41407</v>
      </c>
      <c r="Z142" s="29" t="s">
        <v>51</v>
      </c>
      <c r="AA142" s="181">
        <v>41951</v>
      </c>
      <c r="AB142" s="29"/>
      <c r="AC142" s="29"/>
      <c r="AD142" s="29"/>
      <c r="AE142" s="29" t="s">
        <v>188</v>
      </c>
      <c r="AF142" s="29"/>
      <c r="AG142" s="29"/>
      <c r="AH142" s="29" t="s">
        <v>2892</v>
      </c>
      <c r="AI142" s="29"/>
      <c r="AJ142" s="29"/>
      <c r="AK142" s="29" t="s">
        <v>268</v>
      </c>
      <c r="AL142" s="29" t="s">
        <v>561</v>
      </c>
      <c r="AM142" s="29" t="s">
        <v>154</v>
      </c>
      <c r="AN142" s="29"/>
      <c r="AO142" s="29"/>
      <c r="AP142" s="29"/>
      <c r="AQ142" s="29"/>
      <c r="AR142" s="29"/>
      <c r="AS142" s="29"/>
    </row>
    <row r="143" ht="15.75" customHeight="1" spans="1:45">
      <c r="A143" s="29"/>
      <c r="B143" s="29"/>
      <c r="C143" s="29"/>
      <c r="D143" s="29" t="s">
        <v>79</v>
      </c>
      <c r="E143" s="29" t="s">
        <v>2181</v>
      </c>
      <c r="F143" s="29" t="s">
        <v>1648</v>
      </c>
      <c r="G143" s="29"/>
      <c r="H143" s="29" t="s">
        <v>81</v>
      </c>
      <c r="I143" s="27" t="str">
        <f t="shared" si="0"/>
        <v>Orowan, Ben</v>
      </c>
      <c r="J143" s="29" t="s">
        <v>1286</v>
      </c>
      <c r="K143" s="29" t="s">
        <v>2893</v>
      </c>
      <c r="L143" s="29"/>
      <c r="M143" s="29" t="s">
        <v>1642</v>
      </c>
      <c r="N143" s="29"/>
      <c r="O143" s="29"/>
      <c r="P143" s="29"/>
      <c r="Q143" s="29"/>
      <c r="R143" s="29"/>
      <c r="S143" s="181"/>
      <c r="T143" s="88" t="str">
        <f ca="1" t="shared" si="1"/>
        <v/>
      </c>
      <c r="U143" s="29"/>
      <c r="V143" s="29"/>
      <c r="W143" s="29"/>
      <c r="X143" s="29"/>
      <c r="Y143" s="29"/>
      <c r="Z143" s="29"/>
      <c r="AA143" s="181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</row>
    <row r="144" ht="15.75" customHeight="1" spans="1:45">
      <c r="A144" s="29"/>
      <c r="B144" s="29"/>
      <c r="C144" s="29"/>
      <c r="D144" s="29" t="s">
        <v>51</v>
      </c>
      <c r="E144" s="29" t="s">
        <v>2181</v>
      </c>
      <c r="F144" s="29" t="s">
        <v>2286</v>
      </c>
      <c r="G144" s="29"/>
      <c r="H144" s="29" t="s">
        <v>81</v>
      </c>
      <c r="I144" s="27" t="str">
        <f t="shared" si="0"/>
        <v>Pacsi, Kurt Rhanz Gabryl</v>
      </c>
      <c r="J144" s="29" t="s">
        <v>1289</v>
      </c>
      <c r="K144" s="29" t="s">
        <v>2894</v>
      </c>
      <c r="L144" s="29" t="s">
        <v>493</v>
      </c>
      <c r="M144" s="29" t="s">
        <v>1642</v>
      </c>
      <c r="N144" s="29" t="s">
        <v>2895</v>
      </c>
      <c r="O144" s="29" t="s">
        <v>1292</v>
      </c>
      <c r="P144" s="29"/>
      <c r="Q144" s="29"/>
      <c r="R144" s="29"/>
      <c r="S144" s="181">
        <v>40140</v>
      </c>
      <c r="T144" s="88">
        <f ca="1" t="shared" si="1"/>
        <v>16</v>
      </c>
      <c r="U144" s="29"/>
      <c r="V144" s="29"/>
      <c r="W144" s="29"/>
      <c r="X144" s="29" t="s">
        <v>51</v>
      </c>
      <c r="Y144" s="29"/>
      <c r="Z144" s="29" t="s">
        <v>51</v>
      </c>
      <c r="AA144" s="181"/>
      <c r="AB144" s="29"/>
      <c r="AC144" s="29"/>
      <c r="AD144" s="29"/>
      <c r="AE144" s="29"/>
      <c r="AF144" s="29" t="s">
        <v>2896</v>
      </c>
      <c r="AG144" s="29" t="s">
        <v>2897</v>
      </c>
      <c r="AH144" s="29"/>
      <c r="AI144" s="29"/>
      <c r="AJ144" s="29"/>
      <c r="AK144" s="29" t="s">
        <v>268</v>
      </c>
      <c r="AL144" s="29" t="s">
        <v>561</v>
      </c>
      <c r="AM144" s="29" t="s">
        <v>154</v>
      </c>
      <c r="AN144" s="29"/>
      <c r="AO144" s="29"/>
      <c r="AP144" s="29" t="s">
        <v>2040</v>
      </c>
      <c r="AQ144" s="29" t="s">
        <v>625</v>
      </c>
      <c r="AR144" s="29" t="s">
        <v>30</v>
      </c>
      <c r="AS144" s="29" t="s">
        <v>1303</v>
      </c>
    </row>
    <row r="145" ht="15.75" customHeight="1" spans="1:45">
      <c r="A145" s="29"/>
      <c r="B145" s="29"/>
      <c r="C145" s="29"/>
      <c r="D145" s="29" t="s">
        <v>79</v>
      </c>
      <c r="E145" s="29" t="s">
        <v>2189</v>
      </c>
      <c r="F145" s="29" t="s">
        <v>2617</v>
      </c>
      <c r="G145" s="29" t="s">
        <v>2186</v>
      </c>
      <c r="H145" s="29" t="s">
        <v>92</v>
      </c>
      <c r="I145" s="199" t="str">
        <f t="shared" si="0"/>
        <v>Padupad, Sharon</v>
      </c>
      <c r="J145" s="29" t="s">
        <v>2898</v>
      </c>
      <c r="K145" s="29" t="s">
        <v>2899</v>
      </c>
      <c r="L145" s="29"/>
      <c r="M145" s="29" t="s">
        <v>57</v>
      </c>
      <c r="N145" s="29"/>
      <c r="O145" s="29"/>
      <c r="P145" s="29"/>
      <c r="Q145" s="29"/>
      <c r="R145" s="29"/>
      <c r="S145" s="181"/>
      <c r="T145" s="88" t="str">
        <f ca="1" t="shared" si="1"/>
        <v/>
      </c>
      <c r="U145" s="29"/>
      <c r="V145" s="29"/>
      <c r="W145" s="29"/>
      <c r="X145" s="29"/>
      <c r="Y145" s="29"/>
      <c r="Z145" s="29"/>
      <c r="AA145" s="181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</row>
    <row r="146" ht="15.75" customHeight="1" spans="1:45">
      <c r="A146" s="29"/>
      <c r="B146" s="29"/>
      <c r="C146" s="29"/>
      <c r="D146" s="29" t="s">
        <v>79</v>
      </c>
      <c r="E146" s="29" t="s">
        <v>2189</v>
      </c>
      <c r="F146" s="29" t="s">
        <v>2617</v>
      </c>
      <c r="G146" s="29" t="s">
        <v>2186</v>
      </c>
      <c r="H146" s="29" t="s">
        <v>81</v>
      </c>
      <c r="I146" s="27" t="str">
        <f t="shared" si="0"/>
        <v>Padupad, Leony</v>
      </c>
      <c r="J146" s="29" t="s">
        <v>2898</v>
      </c>
      <c r="K146" s="29" t="s">
        <v>2900</v>
      </c>
      <c r="L146" s="29" t="s">
        <v>538</v>
      </c>
      <c r="M146" s="29" t="s">
        <v>57</v>
      </c>
      <c r="N146" s="29"/>
      <c r="O146" s="29"/>
      <c r="P146" s="29"/>
      <c r="Q146" s="29"/>
      <c r="R146" s="29"/>
      <c r="S146" s="181"/>
      <c r="T146" s="88" t="str">
        <f ca="1" t="shared" si="1"/>
        <v/>
      </c>
      <c r="U146" s="29"/>
      <c r="V146" s="29"/>
      <c r="W146" s="29"/>
      <c r="X146" s="29"/>
      <c r="Y146" s="29"/>
      <c r="Z146" s="29"/>
      <c r="AA146" s="181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</row>
    <row r="147" ht="15.75" customHeight="1" spans="1:45">
      <c r="A147" s="29"/>
      <c r="B147" s="29"/>
      <c r="C147" s="29"/>
      <c r="D147" s="29" t="s">
        <v>51</v>
      </c>
      <c r="E147" s="29" t="s">
        <v>2177</v>
      </c>
      <c r="F147" s="29" t="s">
        <v>1767</v>
      </c>
      <c r="G147" s="29"/>
      <c r="H147" s="29" t="s">
        <v>81</v>
      </c>
      <c r="I147" s="27" t="str">
        <f t="shared" si="0"/>
        <v>Patchang, Kyla</v>
      </c>
      <c r="J147" s="29" t="s">
        <v>2901</v>
      </c>
      <c r="K147" s="29" t="s">
        <v>2902</v>
      </c>
      <c r="L147" s="29" t="s">
        <v>554</v>
      </c>
      <c r="M147" s="29" t="s">
        <v>57</v>
      </c>
      <c r="N147" s="29" t="s">
        <v>2903</v>
      </c>
      <c r="O147" s="29" t="s">
        <v>1016</v>
      </c>
      <c r="P147" s="29" t="s">
        <v>2904</v>
      </c>
      <c r="Q147" s="29" t="s">
        <v>2905</v>
      </c>
      <c r="R147" s="29" t="s">
        <v>2906</v>
      </c>
      <c r="S147" s="181">
        <v>37696</v>
      </c>
      <c r="T147" s="88">
        <f ca="1" t="shared" si="1"/>
        <v>23</v>
      </c>
      <c r="U147" s="29" t="s">
        <v>806</v>
      </c>
      <c r="V147" s="29" t="s">
        <v>2907</v>
      </c>
      <c r="W147" s="29" t="s">
        <v>2908</v>
      </c>
      <c r="X147" s="29" t="s">
        <v>51</v>
      </c>
      <c r="Y147" s="181">
        <v>45711</v>
      </c>
      <c r="Z147" s="29" t="s">
        <v>79</v>
      </c>
      <c r="AA147" s="181"/>
      <c r="AB147" s="29" t="s">
        <v>149</v>
      </c>
      <c r="AC147" s="29"/>
      <c r="AD147" s="29"/>
      <c r="AE147" s="29" t="s">
        <v>2909</v>
      </c>
      <c r="AF147" s="29" t="s">
        <v>2910</v>
      </c>
      <c r="AG147" s="29"/>
      <c r="AH147" s="29"/>
      <c r="AI147" s="29" t="s">
        <v>2246</v>
      </c>
      <c r="AJ147" s="29" t="s">
        <v>2246</v>
      </c>
      <c r="AK147" s="29" t="s">
        <v>446</v>
      </c>
      <c r="AL147" s="29"/>
      <c r="AM147" s="29"/>
      <c r="AN147" s="29"/>
      <c r="AO147" s="29"/>
      <c r="AP147" s="29" t="s">
        <v>2911</v>
      </c>
      <c r="AQ147" s="29" t="s">
        <v>2912</v>
      </c>
      <c r="AR147" s="29" t="s">
        <v>30</v>
      </c>
      <c r="AS147" s="29" t="s">
        <v>2913</v>
      </c>
    </row>
    <row r="148" ht="15.75" customHeight="1" spans="1:45">
      <c r="A148" s="29"/>
      <c r="B148" s="29"/>
      <c r="C148" s="29"/>
      <c r="D148" s="29" t="s">
        <v>51</v>
      </c>
      <c r="E148" s="29" t="s">
        <v>2189</v>
      </c>
      <c r="F148" s="29" t="s">
        <v>2205</v>
      </c>
      <c r="G148" s="29"/>
      <c r="H148" s="29" t="s">
        <v>81</v>
      </c>
      <c r="I148" s="27" t="str">
        <f t="shared" si="0"/>
        <v>Pay-an, Jimuel John</v>
      </c>
      <c r="J148" s="29" t="s">
        <v>1325</v>
      </c>
      <c r="K148" s="29" t="s">
        <v>2914</v>
      </c>
      <c r="L148" s="29" t="s">
        <v>161</v>
      </c>
      <c r="M148" s="29" t="s">
        <v>1642</v>
      </c>
      <c r="N148" s="29" t="s">
        <v>2915</v>
      </c>
      <c r="O148" s="29" t="s">
        <v>163</v>
      </c>
      <c r="P148" s="29" t="s">
        <v>2916</v>
      </c>
      <c r="Q148" s="29" t="s">
        <v>2917</v>
      </c>
      <c r="R148" s="29" t="s">
        <v>2918</v>
      </c>
      <c r="S148" s="181">
        <v>39463</v>
      </c>
      <c r="T148" s="88">
        <f ca="1" t="shared" si="1"/>
        <v>18</v>
      </c>
      <c r="U148" s="29" t="s">
        <v>123</v>
      </c>
      <c r="V148" s="29" t="s">
        <v>2919</v>
      </c>
      <c r="W148" s="29" t="s">
        <v>2920</v>
      </c>
      <c r="X148" s="29" t="s">
        <v>51</v>
      </c>
      <c r="Y148" s="181">
        <v>44073</v>
      </c>
      <c r="Z148" s="29" t="s">
        <v>51</v>
      </c>
      <c r="AA148" s="181" t="s">
        <v>2338</v>
      </c>
      <c r="AB148" s="29"/>
      <c r="AC148" s="29"/>
      <c r="AD148" s="29"/>
      <c r="AE148" s="29" t="s">
        <v>2921</v>
      </c>
      <c r="AF148" s="29" t="s">
        <v>2922</v>
      </c>
      <c r="AG148" s="29" t="s">
        <v>2923</v>
      </c>
      <c r="AH148" s="29"/>
      <c r="AI148" s="29" t="s">
        <v>2924</v>
      </c>
      <c r="AJ148" s="29"/>
      <c r="AK148" s="29" t="s">
        <v>1738</v>
      </c>
      <c r="AL148" s="29"/>
      <c r="AM148" s="29"/>
      <c r="AN148" s="29">
        <v>4</v>
      </c>
      <c r="AO148" s="29">
        <v>3</v>
      </c>
      <c r="AP148" s="29"/>
      <c r="AQ148" s="29"/>
      <c r="AR148" s="29"/>
      <c r="AS148" s="29"/>
    </row>
    <row r="149" ht="15.75" customHeight="1" spans="1:45">
      <c r="A149" s="29"/>
      <c r="B149" s="29"/>
      <c r="C149" s="29"/>
      <c r="D149" s="29" t="s">
        <v>51</v>
      </c>
      <c r="E149" s="29" t="s">
        <v>2177</v>
      </c>
      <c r="F149" s="29" t="s">
        <v>1648</v>
      </c>
      <c r="G149" s="29"/>
      <c r="H149" s="29" t="s">
        <v>81</v>
      </c>
      <c r="I149" s="27" t="str">
        <f t="shared" si="0"/>
        <v>Pino, Shieba</v>
      </c>
      <c r="J149" s="29" t="s">
        <v>2925</v>
      </c>
      <c r="K149" s="29" t="s">
        <v>2926</v>
      </c>
      <c r="L149" s="29" t="s">
        <v>161</v>
      </c>
      <c r="M149" s="29" t="s">
        <v>57</v>
      </c>
      <c r="N149" s="29"/>
      <c r="O149" s="29"/>
      <c r="P149" s="29" t="s">
        <v>2927</v>
      </c>
      <c r="Q149" s="29" t="s">
        <v>2928</v>
      </c>
      <c r="R149" s="29" t="s">
        <v>2929</v>
      </c>
      <c r="S149" s="181">
        <v>36511</v>
      </c>
      <c r="T149" s="88">
        <f ca="1" t="shared" si="1"/>
        <v>26</v>
      </c>
      <c r="U149" s="29" t="s">
        <v>2930</v>
      </c>
      <c r="V149" s="29" t="s">
        <v>2931</v>
      </c>
      <c r="W149" s="29" t="s">
        <v>2932</v>
      </c>
      <c r="X149" s="29" t="s">
        <v>51</v>
      </c>
      <c r="Y149" s="181">
        <v>40034</v>
      </c>
      <c r="Z149" s="29" t="s">
        <v>51</v>
      </c>
      <c r="AA149" s="181">
        <v>40034</v>
      </c>
      <c r="AB149" s="29"/>
      <c r="AC149" s="29" t="s">
        <v>2933</v>
      </c>
      <c r="AD149" s="29" t="s">
        <v>2934</v>
      </c>
      <c r="AE149" s="29" t="s">
        <v>188</v>
      </c>
      <c r="AF149" s="29"/>
      <c r="AG149" s="29"/>
      <c r="AH149" s="29" t="s">
        <v>2935</v>
      </c>
      <c r="AI149" s="29" t="s">
        <v>2936</v>
      </c>
      <c r="AJ149" s="29" t="s">
        <v>2937</v>
      </c>
      <c r="AK149" s="29" t="s">
        <v>2938</v>
      </c>
      <c r="AL149" s="29" t="s">
        <v>547</v>
      </c>
      <c r="AM149" s="29" t="s">
        <v>154</v>
      </c>
      <c r="AN149" s="29" t="s">
        <v>2939</v>
      </c>
      <c r="AO149" s="29" t="s">
        <v>2939</v>
      </c>
      <c r="AP149" s="29" t="s">
        <v>2931</v>
      </c>
      <c r="AQ149" s="29" t="s">
        <v>625</v>
      </c>
      <c r="AR149" s="29" t="s">
        <v>29</v>
      </c>
      <c r="AS149" s="29" t="s">
        <v>2940</v>
      </c>
    </row>
    <row r="150" ht="15.75" customHeight="1" spans="1:45">
      <c r="A150" s="29"/>
      <c r="B150" s="29"/>
      <c r="C150" s="29"/>
      <c r="D150" s="29" t="s">
        <v>51</v>
      </c>
      <c r="E150" s="29" t="s">
        <v>2189</v>
      </c>
      <c r="F150" s="29" t="s">
        <v>2185</v>
      </c>
      <c r="G150" s="29"/>
      <c r="H150" s="29" t="s">
        <v>126</v>
      </c>
      <c r="I150" s="27" t="str">
        <f t="shared" si="0"/>
        <v>Prado, Ramon Christopher</v>
      </c>
      <c r="J150" s="29" t="s">
        <v>1333</v>
      </c>
      <c r="K150" s="29" t="s">
        <v>2941</v>
      </c>
      <c r="L150" s="29" t="s">
        <v>1041</v>
      </c>
      <c r="M150" s="29" t="s">
        <v>1642</v>
      </c>
      <c r="N150" s="29" t="s">
        <v>2942</v>
      </c>
      <c r="O150" s="189" t="s">
        <v>163</v>
      </c>
      <c r="P150" s="29"/>
      <c r="Q150" s="29" t="s">
        <v>2943</v>
      </c>
      <c r="R150" s="29" t="s">
        <v>2944</v>
      </c>
      <c r="S150" s="181">
        <v>37248</v>
      </c>
      <c r="T150" s="88">
        <f ca="1" t="shared" si="1"/>
        <v>24</v>
      </c>
      <c r="U150" s="29" t="s">
        <v>123</v>
      </c>
      <c r="V150" s="29" t="s">
        <v>2945</v>
      </c>
      <c r="W150" s="29" t="s">
        <v>2946</v>
      </c>
      <c r="X150" s="29" t="s">
        <v>51</v>
      </c>
      <c r="Y150" s="235" t="s">
        <v>2351</v>
      </c>
      <c r="Z150" s="29" t="s">
        <v>51</v>
      </c>
      <c r="AA150" s="181" t="s">
        <v>2351</v>
      </c>
      <c r="AB150" s="29"/>
      <c r="AC150" s="29"/>
      <c r="AD150" s="29"/>
      <c r="AE150" s="29" t="s">
        <v>2921</v>
      </c>
      <c r="AF150" s="29" t="s">
        <v>2195</v>
      </c>
      <c r="AG150" s="29"/>
      <c r="AH150" s="29"/>
      <c r="AI150" s="29"/>
      <c r="AJ150" s="29"/>
      <c r="AK150" s="29" t="s">
        <v>249</v>
      </c>
      <c r="AL150" s="29" t="s">
        <v>269</v>
      </c>
      <c r="AM150" s="29" t="s">
        <v>2947</v>
      </c>
      <c r="AN150" s="29">
        <v>8</v>
      </c>
      <c r="AO150" s="29">
        <v>8</v>
      </c>
      <c r="AP150" s="29" t="s">
        <v>2946</v>
      </c>
      <c r="AQ150" s="29" t="s">
        <v>625</v>
      </c>
      <c r="AR150" s="29" t="s">
        <v>30</v>
      </c>
      <c r="AS150" s="29" t="s">
        <v>1362</v>
      </c>
    </row>
    <row r="151" ht="15.75" customHeight="1" spans="1:45">
      <c r="A151" s="29"/>
      <c r="B151" s="29"/>
      <c r="C151" s="29"/>
      <c r="D151" s="29" t="s">
        <v>79</v>
      </c>
      <c r="E151" s="29" t="s">
        <v>2189</v>
      </c>
      <c r="F151" s="29" t="s">
        <v>1648</v>
      </c>
      <c r="G151" s="29"/>
      <c r="H151" s="29" t="s">
        <v>92</v>
      </c>
      <c r="I151" s="27" t="str">
        <f t="shared" si="0"/>
        <v>Prado, Nathaniel</v>
      </c>
      <c r="J151" s="29" t="s">
        <v>1333</v>
      </c>
      <c r="K151" s="29" t="s">
        <v>2357</v>
      </c>
      <c r="L151" s="29"/>
      <c r="M151" s="29" t="s">
        <v>1642</v>
      </c>
      <c r="N151" s="29"/>
      <c r="O151" s="29"/>
      <c r="P151" s="29"/>
      <c r="Q151" s="29"/>
      <c r="R151" s="29"/>
      <c r="S151" s="181"/>
      <c r="T151" s="88" t="str">
        <f ca="1" t="shared" si="1"/>
        <v/>
      </c>
      <c r="U151" s="29"/>
      <c r="V151" s="29"/>
      <c r="W151" s="29"/>
      <c r="X151" s="29"/>
      <c r="Y151" s="29"/>
      <c r="Z151" s="29"/>
      <c r="AA151" s="181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</row>
    <row r="152" ht="15.75" customHeight="1" spans="1:45">
      <c r="A152" s="29"/>
      <c r="B152" s="29"/>
      <c r="C152" s="29"/>
      <c r="D152" s="29" t="s">
        <v>51</v>
      </c>
      <c r="E152" s="29" t="s">
        <v>2189</v>
      </c>
      <c r="F152" s="29" t="s">
        <v>2185</v>
      </c>
      <c r="G152" s="29"/>
      <c r="H152" s="29" t="s">
        <v>81</v>
      </c>
      <c r="I152" s="27" t="str">
        <f t="shared" si="0"/>
        <v>Prado, Jubilee</v>
      </c>
      <c r="J152" s="29" t="s">
        <v>1333</v>
      </c>
      <c r="K152" s="29" t="s">
        <v>348</v>
      </c>
      <c r="L152" s="29" t="s">
        <v>1041</v>
      </c>
      <c r="M152" s="29" t="s">
        <v>57</v>
      </c>
      <c r="N152" s="29" t="s">
        <v>2942</v>
      </c>
      <c r="O152" s="189" t="s">
        <v>163</v>
      </c>
      <c r="P152" s="29" t="s">
        <v>1554</v>
      </c>
      <c r="Q152" s="29" t="s">
        <v>2948</v>
      </c>
      <c r="R152" s="29"/>
      <c r="S152" s="181">
        <v>36609</v>
      </c>
      <c r="T152" s="88">
        <f ca="1" t="shared" si="1"/>
        <v>26</v>
      </c>
      <c r="U152" s="29" t="s">
        <v>123</v>
      </c>
      <c r="V152" s="29" t="s">
        <v>2945</v>
      </c>
      <c r="W152" s="29" t="s">
        <v>2946</v>
      </c>
      <c r="X152" s="29" t="s">
        <v>51</v>
      </c>
      <c r="Y152" s="29"/>
      <c r="Z152" s="29" t="s">
        <v>51</v>
      </c>
      <c r="AA152" s="181"/>
      <c r="AB152" s="29"/>
      <c r="AC152" s="29"/>
      <c r="AD152" s="29"/>
      <c r="AE152" s="29" t="s">
        <v>2949</v>
      </c>
      <c r="AF152" s="29" t="s">
        <v>2950</v>
      </c>
      <c r="AG152" s="29"/>
      <c r="AH152" s="29" t="s">
        <v>2951</v>
      </c>
      <c r="AI152" s="29" t="s">
        <v>2952</v>
      </c>
      <c r="AJ152" s="29"/>
      <c r="AK152" s="29" t="s">
        <v>268</v>
      </c>
      <c r="AL152" s="29" t="s">
        <v>153</v>
      </c>
      <c r="AM152" s="29" t="s">
        <v>1078</v>
      </c>
      <c r="AN152" s="29">
        <v>10</v>
      </c>
      <c r="AO152" s="29">
        <v>10</v>
      </c>
      <c r="AP152" s="29" t="s">
        <v>2945</v>
      </c>
      <c r="AQ152" s="29" t="s">
        <v>625</v>
      </c>
      <c r="AR152" s="29" t="s">
        <v>29</v>
      </c>
      <c r="AS152" s="29" t="s">
        <v>1362</v>
      </c>
    </row>
    <row r="153" ht="15.75" customHeight="1" spans="1:45">
      <c r="A153" s="29"/>
      <c r="B153" s="29"/>
      <c r="C153" s="29"/>
      <c r="D153" s="29" t="s">
        <v>51</v>
      </c>
      <c r="E153" s="29" t="s">
        <v>2189</v>
      </c>
      <c r="F153" s="29" t="s">
        <v>2212</v>
      </c>
      <c r="G153" s="29"/>
      <c r="H153" s="29" t="s">
        <v>92</v>
      </c>
      <c r="I153" s="192" t="str">
        <f t="shared" si="0"/>
        <v>Prado, Emmanuel</v>
      </c>
      <c r="J153" s="29" t="s">
        <v>1333</v>
      </c>
      <c r="K153" s="29" t="s">
        <v>2953</v>
      </c>
      <c r="L153" s="29" t="s">
        <v>1041</v>
      </c>
      <c r="M153" s="29" t="s">
        <v>1642</v>
      </c>
      <c r="N153" s="29" t="s">
        <v>2942</v>
      </c>
      <c r="O153" s="189" t="s">
        <v>163</v>
      </c>
      <c r="P153" s="29" t="s">
        <v>1554</v>
      </c>
      <c r="Q153" s="29" t="s">
        <v>2954</v>
      </c>
      <c r="R153" s="29" t="s">
        <v>2955</v>
      </c>
      <c r="S153" s="181">
        <v>35788</v>
      </c>
      <c r="T153" s="88">
        <f ca="1" t="shared" si="1"/>
        <v>28</v>
      </c>
      <c r="U153" s="29" t="s">
        <v>123</v>
      </c>
      <c r="V153" s="29" t="s">
        <v>2945</v>
      </c>
      <c r="W153" s="29" t="s">
        <v>2946</v>
      </c>
      <c r="X153" s="29" t="s">
        <v>51</v>
      </c>
      <c r="Y153" s="181">
        <v>41370</v>
      </c>
      <c r="Z153" s="29" t="s">
        <v>51</v>
      </c>
      <c r="AA153" s="181">
        <v>40288</v>
      </c>
      <c r="AB153" s="29"/>
      <c r="AC153" s="29"/>
      <c r="AD153" s="29"/>
      <c r="AE153" s="29"/>
      <c r="AF153" s="29"/>
      <c r="AG153" s="29"/>
      <c r="AH153" s="29" t="s">
        <v>2956</v>
      </c>
      <c r="AI153" s="29" t="s">
        <v>2246</v>
      </c>
      <c r="AJ153" s="29"/>
      <c r="AK153" s="29" t="s">
        <v>2353</v>
      </c>
      <c r="AL153" s="29" t="s">
        <v>2656</v>
      </c>
      <c r="AM153" s="29" t="s">
        <v>2957</v>
      </c>
      <c r="AN153" s="29">
        <v>11</v>
      </c>
      <c r="AO153" s="29">
        <v>10</v>
      </c>
      <c r="AP153" s="29" t="s">
        <v>2946</v>
      </c>
      <c r="AQ153" s="29" t="s">
        <v>625</v>
      </c>
      <c r="AR153" s="29" t="s">
        <v>30</v>
      </c>
      <c r="AS153" s="29" t="s">
        <v>1362</v>
      </c>
    </row>
    <row r="154" ht="15.75" customHeight="1" spans="1:45">
      <c r="A154" s="29"/>
      <c r="B154" s="29"/>
      <c r="C154" s="29"/>
      <c r="D154" s="29" t="s">
        <v>79</v>
      </c>
      <c r="E154" s="29" t="s">
        <v>2189</v>
      </c>
      <c r="F154" s="29" t="s">
        <v>2205</v>
      </c>
      <c r="G154" s="29"/>
      <c r="H154" s="29" t="s">
        <v>81</v>
      </c>
      <c r="I154" s="27" t="str">
        <f t="shared" si="0"/>
        <v>Prado, Alexis</v>
      </c>
      <c r="J154" s="29" t="s">
        <v>1333</v>
      </c>
      <c r="K154" s="29" t="s">
        <v>2958</v>
      </c>
      <c r="L154" s="29" t="s">
        <v>2959</v>
      </c>
      <c r="M154" s="29" t="s">
        <v>1642</v>
      </c>
      <c r="N154" s="29" t="s">
        <v>2960</v>
      </c>
      <c r="O154" s="29" t="s">
        <v>163</v>
      </c>
      <c r="P154" s="29" t="s">
        <v>1554</v>
      </c>
      <c r="Q154" s="29"/>
      <c r="R154" s="29" t="s">
        <v>2961</v>
      </c>
      <c r="S154" s="181">
        <v>37878</v>
      </c>
      <c r="T154" s="88">
        <f ca="1" t="shared" si="1"/>
        <v>23</v>
      </c>
      <c r="U154" s="29" t="s">
        <v>123</v>
      </c>
      <c r="V154" s="29" t="s">
        <v>2945</v>
      </c>
      <c r="W154" s="29" t="s">
        <v>2946</v>
      </c>
      <c r="X154" s="29" t="s">
        <v>51</v>
      </c>
      <c r="Y154" s="29"/>
      <c r="Z154" s="29" t="s">
        <v>51</v>
      </c>
      <c r="AA154" s="181"/>
      <c r="AB154" s="29"/>
      <c r="AC154" s="29"/>
      <c r="AD154" s="29"/>
      <c r="AE154" s="29"/>
      <c r="AF154" s="29"/>
      <c r="AG154" s="29"/>
      <c r="AH154" s="29"/>
      <c r="AI154" s="29" t="s">
        <v>172</v>
      </c>
      <c r="AJ154" s="29"/>
      <c r="AK154" s="29"/>
      <c r="AL154" s="29" t="s">
        <v>269</v>
      </c>
      <c r="AM154" s="29" t="s">
        <v>2300</v>
      </c>
      <c r="AN154" s="29"/>
      <c r="AO154" s="29"/>
      <c r="AP154" s="29"/>
      <c r="AQ154" s="29"/>
      <c r="AR154" s="29"/>
      <c r="AS154" s="29"/>
    </row>
    <row r="155" ht="15.75" customHeight="1" spans="1:45">
      <c r="A155" s="29"/>
      <c r="B155" s="29"/>
      <c r="C155" s="29"/>
      <c r="D155" s="29" t="s">
        <v>79</v>
      </c>
      <c r="E155" s="29"/>
      <c r="F155" s="29"/>
      <c r="G155" s="29"/>
      <c r="H155" s="29"/>
      <c r="I155" s="27" t="str">
        <f t="shared" si="0"/>
        <v>Pulicay, Jan Iver</v>
      </c>
      <c r="J155" s="29" t="s">
        <v>1363</v>
      </c>
      <c r="K155" s="29" t="s">
        <v>2962</v>
      </c>
      <c r="L155" s="29"/>
      <c r="M155" s="29" t="s">
        <v>1642</v>
      </c>
      <c r="N155" s="29" t="s">
        <v>2227</v>
      </c>
      <c r="O155" s="29" t="s">
        <v>224</v>
      </c>
      <c r="P155" s="29" t="s">
        <v>1365</v>
      </c>
      <c r="Q155" s="29" t="s">
        <v>2963</v>
      </c>
      <c r="R155" s="29"/>
      <c r="S155" s="181">
        <v>38307</v>
      </c>
      <c r="T155" s="88">
        <f ca="1" t="shared" si="1"/>
        <v>21</v>
      </c>
      <c r="U155" s="29" t="s">
        <v>123</v>
      </c>
      <c r="V155" s="29" t="s">
        <v>1370</v>
      </c>
      <c r="W155" s="29" t="s">
        <v>2064</v>
      </c>
      <c r="X155" s="29" t="s">
        <v>51</v>
      </c>
      <c r="Y155" s="29"/>
      <c r="Z155" s="29" t="s">
        <v>51</v>
      </c>
      <c r="AA155" s="181"/>
      <c r="AB155" s="29"/>
      <c r="AC155" s="29"/>
      <c r="AD155" s="29"/>
      <c r="AE155" s="29" t="s">
        <v>2964</v>
      </c>
      <c r="AF155" s="29" t="s">
        <v>2195</v>
      </c>
      <c r="AG155" s="29"/>
      <c r="AH155" s="29"/>
      <c r="AI155" s="29"/>
      <c r="AJ155" s="29"/>
      <c r="AK155" s="29"/>
      <c r="AL155" s="29"/>
      <c r="AM155" s="29"/>
      <c r="AN155" s="29"/>
      <c r="AO155" s="29"/>
      <c r="AP155" s="29" t="s">
        <v>2064</v>
      </c>
      <c r="AQ155" s="29" t="s">
        <v>625</v>
      </c>
      <c r="AR155" s="29" t="s">
        <v>30</v>
      </c>
      <c r="AS155" s="29" t="s">
        <v>1366</v>
      </c>
    </row>
    <row r="156" ht="15.75" customHeight="1" spans="1:45">
      <c r="A156" s="29"/>
      <c r="B156" s="29"/>
      <c r="C156" s="29"/>
      <c r="D156" s="29" t="s">
        <v>51</v>
      </c>
      <c r="E156" s="29" t="s">
        <v>2189</v>
      </c>
      <c r="F156" s="29" t="s">
        <v>2212</v>
      </c>
      <c r="G156" s="29"/>
      <c r="H156" s="29" t="s">
        <v>81</v>
      </c>
      <c r="I156" s="27" t="str">
        <f t="shared" si="0"/>
        <v>Quevedo, Gwyneth Janielle</v>
      </c>
      <c r="J156" s="29" t="s">
        <v>1374</v>
      </c>
      <c r="K156" s="29" t="s">
        <v>2965</v>
      </c>
      <c r="L156" s="29" t="s">
        <v>493</v>
      </c>
      <c r="M156" s="29" t="s">
        <v>57</v>
      </c>
      <c r="N156" s="29" t="s">
        <v>1376</v>
      </c>
      <c r="O156" s="29" t="s">
        <v>224</v>
      </c>
      <c r="P156" s="29" t="s">
        <v>2966</v>
      </c>
      <c r="Q156" s="29" t="s">
        <v>1386</v>
      </c>
      <c r="R156" s="29" t="s">
        <v>2967</v>
      </c>
      <c r="S156" s="181">
        <v>39541</v>
      </c>
      <c r="T156" s="88">
        <f ca="1" t="shared" si="1"/>
        <v>18</v>
      </c>
      <c r="U156" s="29" t="s">
        <v>1734</v>
      </c>
      <c r="V156" s="29" t="s">
        <v>2968</v>
      </c>
      <c r="W156" s="29" t="s">
        <v>2969</v>
      </c>
      <c r="X156" s="29" t="s">
        <v>51</v>
      </c>
      <c r="Y156" s="181">
        <v>45139</v>
      </c>
      <c r="Z156" s="29" t="s">
        <v>51</v>
      </c>
      <c r="AA156" s="181">
        <v>44990</v>
      </c>
      <c r="AB156" s="29"/>
      <c r="AC156" s="29"/>
      <c r="AD156" s="29"/>
      <c r="AE156" s="29" t="s">
        <v>2970</v>
      </c>
      <c r="AF156" s="29" t="s">
        <v>2971</v>
      </c>
      <c r="AG156" s="29"/>
      <c r="AH156" s="29"/>
      <c r="AI156" s="29" t="s">
        <v>2327</v>
      </c>
      <c r="AJ156" s="29"/>
      <c r="AK156" s="29" t="s">
        <v>190</v>
      </c>
      <c r="AL156" s="29"/>
      <c r="AM156" s="29"/>
      <c r="AN156" s="29"/>
      <c r="AO156" s="29"/>
      <c r="AP156" s="29" t="s">
        <v>2969</v>
      </c>
      <c r="AQ156" s="29" t="s">
        <v>625</v>
      </c>
      <c r="AR156" s="29" t="s">
        <v>30</v>
      </c>
      <c r="AS156" s="29" t="s">
        <v>1378</v>
      </c>
    </row>
    <row r="157" ht="15.75" customHeight="1" spans="1:45">
      <c r="A157" s="29"/>
      <c r="B157" s="29"/>
      <c r="C157" s="29"/>
      <c r="D157" s="29" t="s">
        <v>51</v>
      </c>
      <c r="E157" s="29" t="s">
        <v>2189</v>
      </c>
      <c r="F157" s="29" t="s">
        <v>1767</v>
      </c>
      <c r="G157" s="29"/>
      <c r="H157" s="29" t="s">
        <v>81</v>
      </c>
      <c r="I157" s="27" t="str">
        <f t="shared" si="0"/>
        <v>Quintero, Mira Grace</v>
      </c>
      <c r="J157" s="29" t="s">
        <v>1400</v>
      </c>
      <c r="K157" s="29" t="s">
        <v>2972</v>
      </c>
      <c r="L157" s="29" t="s">
        <v>818</v>
      </c>
      <c r="M157" s="29" t="s">
        <v>57</v>
      </c>
      <c r="N157" s="29">
        <v>198</v>
      </c>
      <c r="O157" s="29" t="s">
        <v>1402</v>
      </c>
      <c r="P157" s="29"/>
      <c r="Q157" s="29" t="s">
        <v>2973</v>
      </c>
      <c r="R157" s="29" t="s">
        <v>2974</v>
      </c>
      <c r="S157" s="181">
        <v>40650</v>
      </c>
      <c r="T157" s="88">
        <f ca="1" t="shared" si="1"/>
        <v>15</v>
      </c>
      <c r="U157" s="29" t="s">
        <v>123</v>
      </c>
      <c r="V157" s="29" t="s">
        <v>2975</v>
      </c>
      <c r="W157" s="29" t="s">
        <v>2976</v>
      </c>
      <c r="X157" s="29" t="s">
        <v>51</v>
      </c>
      <c r="Y157" s="181">
        <v>44303</v>
      </c>
      <c r="Z157" s="29" t="s">
        <v>51</v>
      </c>
      <c r="AA157" s="181" t="s">
        <v>2977</v>
      </c>
      <c r="AB157" s="29"/>
      <c r="AC157" s="29"/>
      <c r="AD157" s="29"/>
      <c r="AE157" s="29"/>
      <c r="AF157" s="29" t="s">
        <v>2978</v>
      </c>
      <c r="AG157" s="29"/>
      <c r="AH157" s="29"/>
      <c r="AI157" s="29" t="s">
        <v>2246</v>
      </c>
      <c r="AJ157" s="29"/>
      <c r="AK157" s="29" t="s">
        <v>249</v>
      </c>
      <c r="AL157" s="29" t="s">
        <v>547</v>
      </c>
      <c r="AM157" s="29" t="s">
        <v>154</v>
      </c>
      <c r="AN157" s="29">
        <v>1</v>
      </c>
      <c r="AO157" s="29">
        <v>1</v>
      </c>
      <c r="AP157" s="29" t="s">
        <v>2979</v>
      </c>
      <c r="AQ157" s="29" t="s">
        <v>625</v>
      </c>
      <c r="AR157" s="29" t="s">
        <v>30</v>
      </c>
      <c r="AS157" s="29" t="s">
        <v>2980</v>
      </c>
    </row>
    <row r="158" ht="15.75" customHeight="1" spans="1:45">
      <c r="A158" s="29"/>
      <c r="B158" s="29"/>
      <c r="C158" s="29"/>
      <c r="D158" s="29" t="s">
        <v>79</v>
      </c>
      <c r="E158" s="29" t="s">
        <v>2181</v>
      </c>
      <c r="F158" s="29" t="s">
        <v>1767</v>
      </c>
      <c r="G158" s="29"/>
      <c r="H158" s="29" t="s">
        <v>81</v>
      </c>
      <c r="I158" s="27" t="str">
        <f t="shared" si="0"/>
        <v>Quintero, Edison Jr</v>
      </c>
      <c r="J158" s="29" t="s">
        <v>1400</v>
      </c>
      <c r="K158" s="29" t="s">
        <v>2981</v>
      </c>
      <c r="L158" s="29"/>
      <c r="M158" s="29" t="s">
        <v>1642</v>
      </c>
      <c r="N158" s="29"/>
      <c r="O158" s="29"/>
      <c r="P158" s="29"/>
      <c r="Q158" s="29"/>
      <c r="R158" s="29"/>
      <c r="S158" s="181"/>
      <c r="T158" s="88" t="str">
        <f ca="1" t="shared" si="1"/>
        <v/>
      </c>
      <c r="U158" s="29"/>
      <c r="V158" s="29"/>
      <c r="W158" s="29"/>
      <c r="X158" s="29"/>
      <c r="Y158" s="29"/>
      <c r="Z158" s="29"/>
      <c r="AA158" s="181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</row>
    <row r="159" ht="15.75" customHeight="1" spans="1:45">
      <c r="A159" s="29"/>
      <c r="B159" s="29"/>
      <c r="C159" s="29"/>
      <c r="D159" s="29" t="s">
        <v>51</v>
      </c>
      <c r="E159" s="29" t="s">
        <v>2181</v>
      </c>
      <c r="F159" s="29" t="s">
        <v>2423</v>
      </c>
      <c r="G159" s="29"/>
      <c r="H159" s="29" t="s">
        <v>81</v>
      </c>
      <c r="I159" s="27" t="str">
        <f t="shared" si="0"/>
        <v>Rafael, Yamiela Andrei</v>
      </c>
      <c r="J159" s="29" t="s">
        <v>2982</v>
      </c>
      <c r="K159" s="29" t="s">
        <v>2983</v>
      </c>
      <c r="L159" s="29" t="s">
        <v>222</v>
      </c>
      <c r="M159" s="29" t="s">
        <v>57</v>
      </c>
      <c r="N159" s="29" t="s">
        <v>2984</v>
      </c>
      <c r="O159" s="29" t="s">
        <v>524</v>
      </c>
      <c r="P159" s="29" t="s">
        <v>2627</v>
      </c>
      <c r="Q159" s="29"/>
      <c r="R159" s="29" t="s">
        <v>2985</v>
      </c>
      <c r="S159" s="181">
        <v>38716</v>
      </c>
      <c r="T159" s="88">
        <f ca="1" t="shared" si="1"/>
        <v>20</v>
      </c>
      <c r="U159" s="29" t="s">
        <v>123</v>
      </c>
      <c r="V159" s="29" t="s">
        <v>2986</v>
      </c>
      <c r="W159" s="29" t="s">
        <v>2987</v>
      </c>
      <c r="X159" s="29" t="s">
        <v>51</v>
      </c>
      <c r="Y159" s="181">
        <v>43842</v>
      </c>
      <c r="Z159" s="29" t="s">
        <v>51</v>
      </c>
      <c r="AA159" s="181" t="s">
        <v>2351</v>
      </c>
      <c r="AB159" s="29" t="s">
        <v>149</v>
      </c>
      <c r="AC159" s="29"/>
      <c r="AD159" s="29"/>
      <c r="AE159" s="29" t="s">
        <v>68</v>
      </c>
      <c r="AF159" s="29" t="s">
        <v>2988</v>
      </c>
      <c r="AG159" s="29"/>
      <c r="AH159" s="29"/>
      <c r="AI159" s="29"/>
      <c r="AJ159" s="29"/>
      <c r="AK159" s="29" t="s">
        <v>2094</v>
      </c>
      <c r="AL159" s="29"/>
      <c r="AM159" s="29"/>
      <c r="AN159" s="29">
        <v>2</v>
      </c>
      <c r="AO159" s="29">
        <v>1</v>
      </c>
      <c r="AP159" s="29" t="s">
        <v>1778</v>
      </c>
      <c r="AQ159" s="29" t="s">
        <v>625</v>
      </c>
      <c r="AR159" s="29" t="s">
        <v>30</v>
      </c>
      <c r="AS159" s="29" t="s">
        <v>525</v>
      </c>
    </row>
    <row r="160" ht="15.75" customHeight="1" spans="1:45">
      <c r="A160" s="29"/>
      <c r="B160" s="29"/>
      <c r="C160" s="29"/>
      <c r="D160" s="29" t="s">
        <v>79</v>
      </c>
      <c r="E160" s="29" t="s">
        <v>2383</v>
      </c>
      <c r="F160" s="29" t="s">
        <v>1767</v>
      </c>
      <c r="G160" s="29"/>
      <c r="H160" s="29" t="s">
        <v>81</v>
      </c>
      <c r="I160" s="27" t="str">
        <f t="shared" si="0"/>
        <v>Raguindin, Jasem</v>
      </c>
      <c r="J160" s="29" t="s">
        <v>1406</v>
      </c>
      <c r="K160" s="29" t="s">
        <v>2989</v>
      </c>
      <c r="L160" s="29"/>
      <c r="M160" s="29" t="s">
        <v>1642</v>
      </c>
      <c r="N160" s="29"/>
      <c r="O160" s="29"/>
      <c r="P160" s="29"/>
      <c r="Q160" s="29"/>
      <c r="R160" s="29"/>
      <c r="S160" s="181"/>
      <c r="T160" s="88" t="str">
        <f ca="1" t="shared" si="1"/>
        <v/>
      </c>
      <c r="U160" s="29"/>
      <c r="V160" s="29"/>
      <c r="W160" s="29"/>
      <c r="X160" s="29"/>
      <c r="Y160" s="29"/>
      <c r="Z160" s="29"/>
      <c r="AA160" s="181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</row>
    <row r="161" ht="15.75" customHeight="1" spans="1:45">
      <c r="A161" s="29"/>
      <c r="B161" s="29"/>
      <c r="C161" s="29"/>
      <c r="D161" s="29" t="s">
        <v>79</v>
      </c>
      <c r="E161" s="29" t="s">
        <v>2383</v>
      </c>
      <c r="F161" s="29" t="s">
        <v>1767</v>
      </c>
      <c r="G161" s="29"/>
      <c r="H161" s="29" t="s">
        <v>81</v>
      </c>
      <c r="I161" s="27" t="str">
        <f t="shared" si="0"/>
        <v>Raguindin, James</v>
      </c>
      <c r="J161" s="29" t="s">
        <v>1406</v>
      </c>
      <c r="K161" s="29" t="s">
        <v>2990</v>
      </c>
      <c r="L161" s="29"/>
      <c r="M161" s="29" t="s">
        <v>1642</v>
      </c>
      <c r="N161" s="29"/>
      <c r="O161" s="29"/>
      <c r="P161" s="29"/>
      <c r="Q161" s="29"/>
      <c r="R161" s="29"/>
      <c r="S161" s="181"/>
      <c r="T161" s="88" t="str">
        <f ca="1" t="shared" si="1"/>
        <v/>
      </c>
      <c r="U161" s="29"/>
      <c r="V161" s="29"/>
      <c r="W161" s="29"/>
      <c r="X161" s="29"/>
      <c r="Y161" s="29"/>
      <c r="Z161" s="29"/>
      <c r="AA161" s="181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</row>
    <row r="162" ht="15.75" customHeight="1" spans="1:45">
      <c r="A162" s="29"/>
      <c r="B162" s="29"/>
      <c r="C162" s="29"/>
      <c r="D162" s="29" t="s">
        <v>51</v>
      </c>
      <c r="E162" s="29"/>
      <c r="F162" s="29"/>
      <c r="G162" s="29"/>
      <c r="H162" s="29"/>
      <c r="I162" s="27" t="str">
        <f t="shared" si="0"/>
        <v>Ragunton, Jemimah</v>
      </c>
      <c r="J162" s="29" t="s">
        <v>2991</v>
      </c>
      <c r="K162" s="193" t="s">
        <v>2992</v>
      </c>
      <c r="L162" s="29"/>
      <c r="M162" s="29" t="s">
        <v>57</v>
      </c>
      <c r="N162" s="29" t="s">
        <v>2993</v>
      </c>
      <c r="O162" s="29" t="s">
        <v>1132</v>
      </c>
      <c r="P162" s="29"/>
      <c r="Q162" s="29" t="s">
        <v>2994</v>
      </c>
      <c r="R162" s="12" t="s">
        <v>2995</v>
      </c>
      <c r="S162" s="181">
        <v>36147</v>
      </c>
      <c r="T162" s="88">
        <f ca="1" t="shared" si="1"/>
        <v>27</v>
      </c>
      <c r="U162" s="29" t="s">
        <v>2996</v>
      </c>
      <c r="V162" s="29" t="s">
        <v>2997</v>
      </c>
      <c r="W162" s="29" t="s">
        <v>2998</v>
      </c>
      <c r="X162" s="29" t="s">
        <v>51</v>
      </c>
      <c r="Y162" s="181">
        <v>40811</v>
      </c>
      <c r="Z162" s="29" t="s">
        <v>51</v>
      </c>
      <c r="AA162" s="29">
        <v>2011</v>
      </c>
      <c r="AB162" s="29"/>
      <c r="AC162" s="29" t="s">
        <v>2999</v>
      </c>
      <c r="AD162" s="29" t="s">
        <v>2721</v>
      </c>
      <c r="AE162" s="29" t="s">
        <v>188</v>
      </c>
      <c r="AF162" s="29" t="s">
        <v>3000</v>
      </c>
      <c r="AG162" s="29"/>
      <c r="AH162" s="29" t="s">
        <v>3001</v>
      </c>
      <c r="AI162" s="29" t="s">
        <v>3002</v>
      </c>
      <c r="AJ162" s="29"/>
      <c r="AK162" s="29" t="s">
        <v>249</v>
      </c>
      <c r="AL162" s="29" t="s">
        <v>561</v>
      </c>
      <c r="AM162" s="29" t="s">
        <v>154</v>
      </c>
      <c r="AN162" s="29" t="s">
        <v>3003</v>
      </c>
      <c r="AO162" s="29" t="s">
        <v>2775</v>
      </c>
      <c r="AP162" s="29" t="s">
        <v>2998</v>
      </c>
      <c r="AQ162" s="29" t="s">
        <v>2996</v>
      </c>
      <c r="AR162" s="29" t="s">
        <v>30</v>
      </c>
      <c r="AS162" s="29" t="s">
        <v>3004</v>
      </c>
    </row>
    <row r="163" ht="15.75" customHeight="1" spans="1:45">
      <c r="A163" s="29"/>
      <c r="B163" s="29"/>
      <c r="C163" s="29"/>
      <c r="D163" s="29" t="s">
        <v>79</v>
      </c>
      <c r="E163" s="29" t="s">
        <v>2189</v>
      </c>
      <c r="F163" s="29" t="s">
        <v>2212</v>
      </c>
      <c r="G163" s="29"/>
      <c r="H163" s="29" t="s">
        <v>81</v>
      </c>
      <c r="I163" s="27" t="str">
        <f t="shared" si="0"/>
        <v>Rato, Regine</v>
      </c>
      <c r="J163" s="29" t="s">
        <v>3005</v>
      </c>
      <c r="K163" s="29" t="s">
        <v>3006</v>
      </c>
      <c r="L163" s="29"/>
      <c r="M163" s="29" t="s">
        <v>57</v>
      </c>
      <c r="N163" s="32" t="s">
        <v>883</v>
      </c>
      <c r="O163" s="32" t="s">
        <v>884</v>
      </c>
      <c r="P163" s="29"/>
      <c r="Q163" s="29"/>
      <c r="R163" s="29"/>
      <c r="S163" s="181"/>
      <c r="T163" s="88" t="str">
        <f ca="1" t="shared" si="1"/>
        <v/>
      </c>
      <c r="U163" s="29"/>
      <c r="V163" s="29"/>
      <c r="W163" s="29"/>
      <c r="X163" s="29"/>
      <c r="Y163" s="29"/>
      <c r="Z163" s="29"/>
      <c r="AA163" s="181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</row>
    <row r="164" ht="15.75" customHeight="1" spans="1:45">
      <c r="A164" s="29"/>
      <c r="B164" s="29"/>
      <c r="C164" s="29"/>
      <c r="D164" s="29" t="s">
        <v>51</v>
      </c>
      <c r="E164" s="29" t="s">
        <v>2189</v>
      </c>
      <c r="F164" s="29" t="s">
        <v>2617</v>
      </c>
      <c r="G164" s="29" t="s">
        <v>2186</v>
      </c>
      <c r="H164" s="29" t="s">
        <v>81</v>
      </c>
      <c r="I164" s="27" t="str">
        <f t="shared" si="0"/>
        <v>Regoso, Eriberto</v>
      </c>
      <c r="J164" s="29" t="s">
        <v>3007</v>
      </c>
      <c r="K164" s="29" t="s">
        <v>3008</v>
      </c>
      <c r="L164" s="29" t="s">
        <v>239</v>
      </c>
      <c r="M164" s="29" t="s">
        <v>1642</v>
      </c>
      <c r="N164" s="29" t="s">
        <v>1613</v>
      </c>
      <c r="O164" s="29" t="s">
        <v>1222</v>
      </c>
      <c r="P164" s="29"/>
      <c r="Q164" s="29" t="s">
        <v>3009</v>
      </c>
      <c r="R164" s="29" t="s">
        <v>3010</v>
      </c>
      <c r="S164" s="181">
        <v>32265</v>
      </c>
      <c r="T164" s="88">
        <f ca="1" t="shared" si="1"/>
        <v>38</v>
      </c>
      <c r="U164" s="29" t="s">
        <v>1734</v>
      </c>
      <c r="V164" s="29" t="s">
        <v>3011</v>
      </c>
      <c r="W164" s="29" t="s">
        <v>3012</v>
      </c>
      <c r="X164" s="29" t="s">
        <v>51</v>
      </c>
      <c r="Y164" s="181">
        <v>36282</v>
      </c>
      <c r="Z164" s="29" t="s">
        <v>51</v>
      </c>
      <c r="AA164" s="181"/>
      <c r="AB164" s="29" t="s">
        <v>121</v>
      </c>
      <c r="AC164" s="29"/>
      <c r="AD164" s="29"/>
      <c r="AE164" s="29" t="s">
        <v>188</v>
      </c>
      <c r="AF164" s="29" t="s">
        <v>2367</v>
      </c>
      <c r="AG164" s="29"/>
      <c r="AH164" s="29" t="s">
        <v>3013</v>
      </c>
      <c r="AI164" s="29" t="s">
        <v>3014</v>
      </c>
      <c r="AJ164" s="29"/>
      <c r="AK164" s="29" t="s">
        <v>2873</v>
      </c>
      <c r="AL164" s="29" t="s">
        <v>153</v>
      </c>
      <c r="AM164" s="29"/>
      <c r="AN164" s="29"/>
      <c r="AO164" s="29"/>
      <c r="AP164" s="29"/>
      <c r="AQ164" s="29"/>
      <c r="AR164" s="29"/>
      <c r="AS164" s="29"/>
    </row>
    <row r="165" ht="15.75" customHeight="1" spans="1:45">
      <c r="A165" s="29"/>
      <c r="B165" s="29"/>
      <c r="C165" s="29"/>
      <c r="D165" s="29" t="s">
        <v>79</v>
      </c>
      <c r="E165" s="29" t="s">
        <v>2177</v>
      </c>
      <c r="F165" s="29" t="s">
        <v>2205</v>
      </c>
      <c r="G165" s="29"/>
      <c r="H165" s="29" t="s">
        <v>81</v>
      </c>
      <c r="I165" s="27" t="str">
        <f t="shared" si="0"/>
        <v>Sacla, Kzy</v>
      </c>
      <c r="J165" s="29" t="s">
        <v>3015</v>
      </c>
      <c r="K165" s="29" t="s">
        <v>3016</v>
      </c>
      <c r="L165" s="29"/>
      <c r="M165" s="29" t="s">
        <v>57</v>
      </c>
      <c r="N165" s="29"/>
      <c r="O165" s="29"/>
      <c r="P165" s="29"/>
      <c r="Q165" s="29"/>
      <c r="R165" s="29"/>
      <c r="S165" s="181"/>
      <c r="T165" s="88" t="str">
        <f ca="1" t="shared" si="1"/>
        <v/>
      </c>
      <c r="U165" s="29"/>
      <c r="V165" s="29"/>
      <c r="W165" s="29"/>
      <c r="X165" s="29"/>
      <c r="Y165" s="29"/>
      <c r="Z165" s="29"/>
      <c r="AA165" s="181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</row>
    <row r="166" ht="15.75" customHeight="1" spans="1:45">
      <c r="A166" s="29"/>
      <c r="B166" s="29"/>
      <c r="C166" s="29"/>
      <c r="D166" s="29" t="s">
        <v>79</v>
      </c>
      <c r="E166" s="29" t="s">
        <v>2184</v>
      </c>
      <c r="F166" s="29" t="s">
        <v>1742</v>
      </c>
      <c r="G166" s="29"/>
      <c r="H166" s="29" t="s">
        <v>81</v>
      </c>
      <c r="I166" s="27" t="str">
        <f t="shared" si="0"/>
        <v>Salicob, Jasmine</v>
      </c>
      <c r="J166" s="29" t="s">
        <v>3017</v>
      </c>
      <c r="K166" s="195" t="s">
        <v>3018</v>
      </c>
      <c r="L166" s="29"/>
      <c r="M166" s="29" t="s">
        <v>57</v>
      </c>
      <c r="N166" s="29"/>
      <c r="O166" s="29"/>
      <c r="P166" s="29"/>
      <c r="Q166" s="29"/>
      <c r="R166" s="29"/>
      <c r="S166" s="181"/>
      <c r="T166" s="88" t="str">
        <f ca="1" t="shared" si="1"/>
        <v/>
      </c>
      <c r="U166" s="29"/>
      <c r="V166" s="29"/>
      <c r="W166" s="29"/>
      <c r="X166" s="29"/>
      <c r="Y166" s="29"/>
      <c r="Z166" s="29"/>
      <c r="AA166" s="181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</row>
    <row r="167" ht="15.75" customHeight="1" spans="1:45">
      <c r="A167" s="29"/>
      <c r="B167" s="29"/>
      <c r="C167" s="29"/>
      <c r="D167" s="29" t="s">
        <v>79</v>
      </c>
      <c r="E167" s="29" t="s">
        <v>2181</v>
      </c>
      <c r="F167" s="29" t="s">
        <v>2205</v>
      </c>
      <c r="G167" s="29"/>
      <c r="H167" s="29" t="s">
        <v>81</v>
      </c>
      <c r="I167" s="27" t="str">
        <f t="shared" si="0"/>
        <v>Sawad, Liquette</v>
      </c>
      <c r="J167" s="29" t="s">
        <v>1445</v>
      </c>
      <c r="K167" s="29" t="s">
        <v>3019</v>
      </c>
      <c r="L167" s="29"/>
      <c r="M167" s="29" t="s">
        <v>57</v>
      </c>
      <c r="N167" s="29"/>
      <c r="O167" s="29"/>
      <c r="P167" s="29"/>
      <c r="Q167" s="29"/>
      <c r="R167" s="29"/>
      <c r="S167" s="181"/>
      <c r="T167" s="88" t="str">
        <f ca="1" t="shared" si="1"/>
        <v/>
      </c>
      <c r="U167" s="29"/>
      <c r="V167" s="29"/>
      <c r="W167" s="29"/>
      <c r="X167" s="29"/>
      <c r="Y167" s="29"/>
      <c r="Z167" s="29"/>
      <c r="AA167" s="181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</row>
    <row r="168" ht="15.75" customHeight="1" spans="1:45">
      <c r="A168" s="29"/>
      <c r="B168" s="29"/>
      <c r="C168" s="29"/>
      <c r="D168" s="29" t="s">
        <v>51</v>
      </c>
      <c r="E168" s="29" t="s">
        <v>2189</v>
      </c>
      <c r="F168" s="29" t="s">
        <v>2178</v>
      </c>
      <c r="G168" s="29"/>
      <c r="H168" s="29" t="s">
        <v>81</v>
      </c>
      <c r="I168" s="197" t="str">
        <f t="shared" si="0"/>
        <v>Solis, Jonabel Ann</v>
      </c>
      <c r="J168" s="29" t="s">
        <v>3020</v>
      </c>
      <c r="K168" s="29" t="s">
        <v>3021</v>
      </c>
      <c r="L168" s="29" t="s">
        <v>907</v>
      </c>
      <c r="M168" s="29" t="s">
        <v>57</v>
      </c>
      <c r="N168" s="29">
        <v>51</v>
      </c>
      <c r="O168" s="29" t="s">
        <v>2862</v>
      </c>
      <c r="P168" s="29"/>
      <c r="Q168" s="29" t="s">
        <v>3022</v>
      </c>
      <c r="R168" s="29" t="s">
        <v>3023</v>
      </c>
      <c r="S168" s="181">
        <v>35248</v>
      </c>
      <c r="T168" s="88">
        <f ca="1" t="shared" si="1"/>
        <v>30</v>
      </c>
      <c r="U168" s="29" t="s">
        <v>123</v>
      </c>
      <c r="V168" s="29" t="s">
        <v>3024</v>
      </c>
      <c r="W168" s="29" t="s">
        <v>3025</v>
      </c>
      <c r="X168" s="29" t="s">
        <v>51</v>
      </c>
      <c r="Y168" s="235" t="s">
        <v>2441</v>
      </c>
      <c r="Z168" s="29" t="s">
        <v>51</v>
      </c>
      <c r="AA168" s="181"/>
      <c r="AB168" s="29"/>
      <c r="AC168" s="29"/>
      <c r="AD168" s="29"/>
      <c r="AE168" s="29" t="s">
        <v>188</v>
      </c>
      <c r="AF168" s="29"/>
      <c r="AG168" s="29"/>
      <c r="AH168" s="29" t="s">
        <v>3026</v>
      </c>
      <c r="AI168" s="29" t="s">
        <v>3027</v>
      </c>
      <c r="AJ168" s="29"/>
      <c r="AK168" s="29" t="s">
        <v>2343</v>
      </c>
      <c r="AL168" s="29" t="s">
        <v>3028</v>
      </c>
      <c r="AM168" s="29" t="s">
        <v>2300</v>
      </c>
      <c r="AN168" s="29" t="s">
        <v>3029</v>
      </c>
      <c r="AO168" s="29" t="s">
        <v>3029</v>
      </c>
      <c r="AP168" s="29" t="s">
        <v>3025</v>
      </c>
      <c r="AQ168" s="29" t="s">
        <v>625</v>
      </c>
      <c r="AR168" s="29" t="s">
        <v>30</v>
      </c>
      <c r="AS168" s="29" t="s">
        <v>3030</v>
      </c>
    </row>
    <row r="169" ht="15.75" customHeight="1" spans="1:45">
      <c r="A169" s="29"/>
      <c r="B169" s="29"/>
      <c r="C169" s="29"/>
      <c r="D169" s="29" t="s">
        <v>51</v>
      </c>
      <c r="E169" s="29" t="s">
        <v>2181</v>
      </c>
      <c r="F169" s="29" t="s">
        <v>2185</v>
      </c>
      <c r="G169" s="29"/>
      <c r="H169" s="29" t="s">
        <v>81</v>
      </c>
      <c r="I169" s="27" t="str">
        <f t="shared" si="0"/>
        <v>Solis, Jenessa Faith</v>
      </c>
      <c r="J169" s="29" t="s">
        <v>3020</v>
      </c>
      <c r="K169" s="29" t="s">
        <v>3031</v>
      </c>
      <c r="L169" s="29" t="s">
        <v>907</v>
      </c>
      <c r="M169" s="29" t="s">
        <v>57</v>
      </c>
      <c r="N169" s="29">
        <v>51</v>
      </c>
      <c r="O169" s="29" t="s">
        <v>2862</v>
      </c>
      <c r="P169" s="29"/>
      <c r="Q169" s="29" t="s">
        <v>3032</v>
      </c>
      <c r="R169" s="29" t="s">
        <v>3033</v>
      </c>
      <c r="S169" s="181">
        <v>36809</v>
      </c>
      <c r="T169" s="88">
        <f ca="1" t="shared" si="1"/>
        <v>26</v>
      </c>
      <c r="U169" s="29" t="s">
        <v>123</v>
      </c>
      <c r="V169" s="29" t="s">
        <v>3024</v>
      </c>
      <c r="W169" s="29" t="s">
        <v>3025</v>
      </c>
      <c r="X169" s="29" t="s">
        <v>51</v>
      </c>
      <c r="Y169" s="235" t="s">
        <v>2880</v>
      </c>
      <c r="Z169" s="29" t="s">
        <v>51</v>
      </c>
      <c r="AA169" s="181"/>
      <c r="AB169" s="29"/>
      <c r="AC169" s="29" t="s">
        <v>2000</v>
      </c>
      <c r="AD169" s="29" t="s">
        <v>3034</v>
      </c>
      <c r="AE169" s="29" t="s">
        <v>188</v>
      </c>
      <c r="AF169" s="29" t="s">
        <v>3035</v>
      </c>
      <c r="AG169" s="29"/>
      <c r="AH169" s="29" t="s">
        <v>3036</v>
      </c>
      <c r="AI169" s="29"/>
      <c r="AJ169" s="29"/>
      <c r="AK169" s="29" t="s">
        <v>3037</v>
      </c>
      <c r="AL169" s="29"/>
      <c r="AM169" s="29"/>
      <c r="AN169" s="29" t="s">
        <v>3038</v>
      </c>
      <c r="AO169" s="29" t="s">
        <v>3038</v>
      </c>
      <c r="AP169" s="29" t="s">
        <v>3025</v>
      </c>
      <c r="AQ169" s="29" t="s">
        <v>625</v>
      </c>
      <c r="AR169" s="29" t="s">
        <v>30</v>
      </c>
      <c r="AS169" s="29" t="s">
        <v>3030</v>
      </c>
    </row>
    <row r="170" ht="15.75" customHeight="1" spans="1:45">
      <c r="A170" s="29"/>
      <c r="B170" s="29"/>
      <c r="C170" s="29"/>
      <c r="D170" s="29" t="s">
        <v>51</v>
      </c>
      <c r="E170" s="29"/>
      <c r="F170" s="29"/>
      <c r="G170" s="29"/>
      <c r="H170" s="29"/>
      <c r="I170" s="27" t="str">
        <f t="shared" si="0"/>
        <v>Soposop, April Joy</v>
      </c>
      <c r="J170" s="29" t="s">
        <v>3039</v>
      </c>
      <c r="K170" s="29" t="s">
        <v>3040</v>
      </c>
      <c r="L170" s="29"/>
      <c r="M170" s="29" t="s">
        <v>57</v>
      </c>
      <c r="N170" s="29"/>
      <c r="O170" s="29" t="s">
        <v>617</v>
      </c>
      <c r="P170" s="29"/>
      <c r="Q170" s="29" t="s">
        <v>3041</v>
      </c>
      <c r="R170" s="29" t="s">
        <v>3042</v>
      </c>
      <c r="S170" s="181">
        <v>37368</v>
      </c>
      <c r="T170" s="88">
        <f ca="1" t="shared" si="1"/>
        <v>24</v>
      </c>
      <c r="U170" s="29" t="s">
        <v>806</v>
      </c>
      <c r="V170" s="29" t="s">
        <v>3043</v>
      </c>
      <c r="W170" s="29" t="s">
        <v>3044</v>
      </c>
      <c r="X170" s="29" t="s">
        <v>51</v>
      </c>
      <c r="Y170" s="29">
        <v>2020</v>
      </c>
      <c r="Z170" s="29" t="s">
        <v>51</v>
      </c>
      <c r="AA170" s="29">
        <v>2020</v>
      </c>
      <c r="AB170" s="29" t="s">
        <v>121</v>
      </c>
      <c r="AC170" s="29"/>
      <c r="AD170" s="29"/>
      <c r="AE170" s="29" t="s">
        <v>188</v>
      </c>
      <c r="AF170" s="29" t="s">
        <v>3045</v>
      </c>
      <c r="AG170" s="29"/>
      <c r="AH170" s="29"/>
      <c r="AI170" s="29" t="s">
        <v>3046</v>
      </c>
      <c r="AJ170" s="29"/>
      <c r="AK170" s="29" t="s">
        <v>3047</v>
      </c>
      <c r="AL170" s="29" t="s">
        <v>3048</v>
      </c>
      <c r="AM170" s="29" t="s">
        <v>3049</v>
      </c>
      <c r="AN170" s="29">
        <v>1</v>
      </c>
      <c r="AO170" s="29">
        <v>2</v>
      </c>
      <c r="AP170" s="29" t="s">
        <v>3050</v>
      </c>
      <c r="AQ170" s="29" t="s">
        <v>3051</v>
      </c>
      <c r="AR170" s="29" t="s">
        <v>949</v>
      </c>
      <c r="AS170" s="29" t="s">
        <v>3052</v>
      </c>
    </row>
    <row r="171" ht="15.75" customHeight="1" spans="1:45">
      <c r="A171" s="29"/>
      <c r="B171" s="29"/>
      <c r="C171" s="29"/>
      <c r="D171" s="29" t="s">
        <v>79</v>
      </c>
      <c r="E171" s="29" t="s">
        <v>2181</v>
      </c>
      <c r="F171" s="29" t="s">
        <v>2205</v>
      </c>
      <c r="G171" s="29"/>
      <c r="H171" s="29" t="s">
        <v>81</v>
      </c>
      <c r="I171" s="27" t="str">
        <f t="shared" si="0"/>
        <v>Tacbas, Clarissa</v>
      </c>
      <c r="J171" s="29" t="s">
        <v>1498</v>
      </c>
      <c r="K171" s="29" t="s">
        <v>3053</v>
      </c>
      <c r="L171" s="29"/>
      <c r="M171" s="29" t="s">
        <v>57</v>
      </c>
      <c r="N171" s="29"/>
      <c r="O171" s="29"/>
      <c r="P171" s="29"/>
      <c r="Q171" s="29"/>
      <c r="R171" s="29"/>
      <c r="S171" s="181"/>
      <c r="T171" s="88" t="str">
        <f ca="1" t="shared" si="1"/>
        <v/>
      </c>
      <c r="U171" s="29"/>
      <c r="V171" s="29"/>
      <c r="W171" s="29"/>
      <c r="X171" s="29"/>
      <c r="Y171" s="29"/>
      <c r="Z171" s="29"/>
      <c r="AA171" s="181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</row>
    <row r="172" ht="15.75" customHeight="1" spans="1:45">
      <c r="A172" s="29"/>
      <c r="B172" s="29"/>
      <c r="C172" s="29"/>
      <c r="D172" s="29" t="s">
        <v>79</v>
      </c>
      <c r="E172" s="29" t="s">
        <v>2189</v>
      </c>
      <c r="F172" s="29" t="s">
        <v>2286</v>
      </c>
      <c r="G172" s="29" t="s">
        <v>2186</v>
      </c>
      <c r="H172" s="29" t="s">
        <v>81</v>
      </c>
      <c r="I172" s="199" t="str">
        <f t="shared" si="0"/>
        <v>Tacbas, Chalisa Jasmine</v>
      </c>
      <c r="J172" s="29" t="s">
        <v>1498</v>
      </c>
      <c r="K172" s="29" t="s">
        <v>3054</v>
      </c>
      <c r="L172" s="29"/>
      <c r="M172" s="29" t="s">
        <v>57</v>
      </c>
      <c r="N172" s="29"/>
      <c r="O172" s="29"/>
      <c r="P172" s="29"/>
      <c r="Q172" s="29"/>
      <c r="R172" s="29"/>
      <c r="S172" s="181"/>
      <c r="T172" s="88" t="str">
        <f ca="1" t="shared" si="1"/>
        <v/>
      </c>
      <c r="U172" s="29"/>
      <c r="V172" s="29"/>
      <c r="W172" s="29"/>
      <c r="X172" s="29"/>
      <c r="Y172" s="29"/>
      <c r="Z172" s="29"/>
      <c r="AA172" s="181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</row>
    <row r="173" ht="15.75" customHeight="1" spans="1:45">
      <c r="A173" s="29"/>
      <c r="B173" s="29"/>
      <c r="C173" s="29"/>
      <c r="D173" s="29" t="s">
        <v>51</v>
      </c>
      <c r="E173" s="29" t="s">
        <v>2189</v>
      </c>
      <c r="F173" s="29" t="s">
        <v>1767</v>
      </c>
      <c r="G173" s="29"/>
      <c r="H173" s="29" t="s">
        <v>81</v>
      </c>
      <c r="I173" s="27" t="str">
        <f t="shared" si="0"/>
        <v>Talbo, Mykaela</v>
      </c>
      <c r="J173" s="29" t="s">
        <v>1512</v>
      </c>
      <c r="K173" s="29" t="s">
        <v>3055</v>
      </c>
      <c r="L173" s="29" t="s">
        <v>1666</v>
      </c>
      <c r="M173" s="29" t="s">
        <v>57</v>
      </c>
      <c r="N173" s="29" t="s">
        <v>1514</v>
      </c>
      <c r="O173" s="189" t="s">
        <v>1515</v>
      </c>
      <c r="P173" s="29" t="s">
        <v>2110</v>
      </c>
      <c r="Q173" s="29" t="s">
        <v>3056</v>
      </c>
      <c r="R173" s="29"/>
      <c r="S173" s="181">
        <v>40651</v>
      </c>
      <c r="T173" s="88">
        <f ca="1" t="shared" si="1"/>
        <v>15</v>
      </c>
      <c r="U173" s="29" t="s">
        <v>123</v>
      </c>
      <c r="V173" s="29" t="s">
        <v>3057</v>
      </c>
      <c r="W173" s="29" t="s">
        <v>3058</v>
      </c>
      <c r="X173" s="29" t="s">
        <v>51</v>
      </c>
      <c r="Y173" s="181">
        <v>44933</v>
      </c>
      <c r="Z173" s="29" t="s">
        <v>51</v>
      </c>
      <c r="AA173" s="181"/>
      <c r="AB173" s="29"/>
      <c r="AC173" s="29"/>
      <c r="AD173" s="29"/>
      <c r="AE173" s="29"/>
      <c r="AF173" s="29" t="s">
        <v>3059</v>
      </c>
      <c r="AG173" s="29" t="s">
        <v>2309</v>
      </c>
      <c r="AH173" s="29"/>
      <c r="AI173" s="29" t="s">
        <v>2509</v>
      </c>
      <c r="AJ173" s="29"/>
      <c r="AK173" s="29" t="s">
        <v>3060</v>
      </c>
      <c r="AL173" s="29" t="s">
        <v>305</v>
      </c>
      <c r="AM173" s="29"/>
      <c r="AN173" s="29">
        <v>1</v>
      </c>
      <c r="AO173" s="29">
        <v>2</v>
      </c>
      <c r="AP173" s="29" t="s">
        <v>3057</v>
      </c>
      <c r="AQ173" s="29" t="s">
        <v>625</v>
      </c>
      <c r="AR173" s="29" t="s">
        <v>29</v>
      </c>
      <c r="AS173" s="29" t="s">
        <v>2115</v>
      </c>
    </row>
    <row r="174" ht="15.75" customHeight="1" spans="1:45">
      <c r="A174" s="29"/>
      <c r="B174" s="29"/>
      <c r="C174" s="29"/>
      <c r="D174" s="29" t="s">
        <v>79</v>
      </c>
      <c r="E174" s="29" t="s">
        <v>2189</v>
      </c>
      <c r="F174" s="29" t="s">
        <v>2423</v>
      </c>
      <c r="G174" s="29"/>
      <c r="H174" s="29" t="s">
        <v>92</v>
      </c>
      <c r="I174" s="192" t="str">
        <f t="shared" si="0"/>
        <v>Taloban, Aurony John</v>
      </c>
      <c r="J174" s="29" t="s">
        <v>937</v>
      </c>
      <c r="K174" s="29" t="s">
        <v>3061</v>
      </c>
      <c r="L174" s="29"/>
      <c r="M174" s="29" t="s">
        <v>1642</v>
      </c>
      <c r="N174" s="29"/>
      <c r="O174" s="29"/>
      <c r="P174" s="29"/>
      <c r="Q174" s="29"/>
      <c r="R174" s="29"/>
      <c r="S174" s="181"/>
      <c r="T174" s="88" t="str">
        <f ca="1" t="shared" si="1"/>
        <v/>
      </c>
      <c r="U174" s="29"/>
      <c r="V174" s="29"/>
      <c r="W174" s="29"/>
      <c r="X174" s="29"/>
      <c r="Y174" s="29"/>
      <c r="Z174" s="29"/>
      <c r="AA174" s="181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</row>
    <row r="175" ht="15.75" customHeight="1" spans="1:45">
      <c r="A175" s="29"/>
      <c r="B175" s="29"/>
      <c r="C175" s="29"/>
      <c r="D175" s="29" t="s">
        <v>51</v>
      </c>
      <c r="E175" s="29" t="s">
        <v>2189</v>
      </c>
      <c r="F175" s="29" t="s">
        <v>2286</v>
      </c>
      <c r="G175" s="29"/>
      <c r="H175" s="29" t="s">
        <v>126</v>
      </c>
      <c r="I175" s="27" t="str">
        <f t="shared" si="0"/>
        <v>Taloban, Arabea Bless</v>
      </c>
      <c r="J175" s="29" t="s">
        <v>937</v>
      </c>
      <c r="K175" s="29" t="s">
        <v>3062</v>
      </c>
      <c r="L175" s="29" t="s">
        <v>554</v>
      </c>
      <c r="M175" s="29" t="s">
        <v>57</v>
      </c>
      <c r="N175" s="29" t="s">
        <v>3063</v>
      </c>
      <c r="O175" s="189" t="s">
        <v>200</v>
      </c>
      <c r="P175" s="29"/>
      <c r="Q175" s="29" t="s">
        <v>3064</v>
      </c>
      <c r="R175" s="29" t="s">
        <v>3065</v>
      </c>
      <c r="S175" s="181">
        <v>38867</v>
      </c>
      <c r="T175" s="88">
        <f ca="1" t="shared" si="1"/>
        <v>20</v>
      </c>
      <c r="U175" s="29" t="s">
        <v>123</v>
      </c>
      <c r="V175" s="29" t="s">
        <v>3066</v>
      </c>
      <c r="W175" s="29" t="s">
        <v>3067</v>
      </c>
      <c r="X175" s="29" t="s">
        <v>51</v>
      </c>
      <c r="Y175" s="235" t="s">
        <v>2866</v>
      </c>
      <c r="Z175" s="29" t="s">
        <v>51</v>
      </c>
      <c r="AA175" s="181" t="s">
        <v>2260</v>
      </c>
      <c r="AB175" s="29"/>
      <c r="AC175" s="29"/>
      <c r="AD175" s="29"/>
      <c r="AE175" s="29" t="s">
        <v>2282</v>
      </c>
      <c r="AF175" s="29" t="s">
        <v>2367</v>
      </c>
      <c r="AG175" s="29"/>
      <c r="AH175" s="29"/>
      <c r="AI175" s="29" t="s">
        <v>3068</v>
      </c>
      <c r="AJ175" s="29"/>
      <c r="AK175" s="29"/>
      <c r="AL175" s="29"/>
      <c r="AM175" s="29"/>
      <c r="AN175" s="29">
        <v>5</v>
      </c>
      <c r="AO175" s="29">
        <v>4</v>
      </c>
      <c r="AP175" s="29" t="s">
        <v>3069</v>
      </c>
      <c r="AQ175" s="29" t="s">
        <v>625</v>
      </c>
      <c r="AR175" s="29" t="s">
        <v>30</v>
      </c>
      <c r="AS175" s="29" t="s">
        <v>3064</v>
      </c>
    </row>
    <row r="176" ht="15.75" customHeight="1" spans="1:45">
      <c r="A176" s="29"/>
      <c r="B176" s="29"/>
      <c r="C176" s="29"/>
      <c r="D176" s="29" t="s">
        <v>51</v>
      </c>
      <c r="E176" s="29" t="s">
        <v>2181</v>
      </c>
      <c r="F176" s="29" t="s">
        <v>2286</v>
      </c>
      <c r="G176" s="29"/>
      <c r="H176" s="29" t="s">
        <v>81</v>
      </c>
      <c r="I176" s="27" t="str">
        <f t="shared" si="0"/>
        <v>Tamo, Alechk</v>
      </c>
      <c r="J176" s="29" t="s">
        <v>1528</v>
      </c>
      <c r="K176" s="29" t="s">
        <v>3070</v>
      </c>
      <c r="L176" s="29" t="s">
        <v>818</v>
      </c>
      <c r="M176" s="29" t="s">
        <v>1642</v>
      </c>
      <c r="N176" s="29" t="s">
        <v>3071</v>
      </c>
      <c r="O176" s="29" t="s">
        <v>1531</v>
      </c>
      <c r="P176" s="29"/>
      <c r="Q176" s="29" t="s">
        <v>3072</v>
      </c>
      <c r="R176" s="29" t="s">
        <v>3073</v>
      </c>
      <c r="S176" s="181">
        <v>39510</v>
      </c>
      <c r="T176" s="88">
        <f ca="1" t="shared" si="1"/>
        <v>18</v>
      </c>
      <c r="U176" s="29" t="s">
        <v>123</v>
      </c>
      <c r="V176" s="29" t="s">
        <v>3074</v>
      </c>
      <c r="W176" s="29" t="s">
        <v>3075</v>
      </c>
      <c r="X176" s="29" t="s">
        <v>51</v>
      </c>
      <c r="Y176" s="235" t="s">
        <v>2602</v>
      </c>
      <c r="Z176" s="29" t="s">
        <v>51</v>
      </c>
      <c r="AA176" s="181" t="s">
        <v>3076</v>
      </c>
      <c r="AB176" s="29"/>
      <c r="AC176" s="29"/>
      <c r="AD176" s="29"/>
      <c r="AE176" s="29"/>
      <c r="AF176" s="29" t="s">
        <v>2195</v>
      </c>
      <c r="AG176" s="29"/>
      <c r="AH176" s="29"/>
      <c r="AI176" s="29" t="s">
        <v>3077</v>
      </c>
      <c r="AJ176" s="29"/>
      <c r="AK176" s="29" t="s">
        <v>446</v>
      </c>
      <c r="AL176" s="29" t="s">
        <v>561</v>
      </c>
      <c r="AM176" s="29"/>
      <c r="AN176" s="29">
        <v>2</v>
      </c>
      <c r="AO176" s="29">
        <v>1</v>
      </c>
      <c r="AP176" s="29" t="s">
        <v>3078</v>
      </c>
      <c r="AQ176" s="29" t="s">
        <v>625</v>
      </c>
      <c r="AR176" s="29" t="s">
        <v>30</v>
      </c>
      <c r="AS176" s="29" t="s">
        <v>1532</v>
      </c>
    </row>
    <row r="177" ht="15.75" customHeight="1" spans="1:45">
      <c r="A177" s="29"/>
      <c r="B177" s="29"/>
      <c r="C177" s="29"/>
      <c r="D177" s="29" t="s">
        <v>79</v>
      </c>
      <c r="E177" s="29" t="s">
        <v>2383</v>
      </c>
      <c r="F177" s="29"/>
      <c r="G177" s="29"/>
      <c r="H177" s="29"/>
      <c r="I177" s="27" t="str">
        <f t="shared" si="0"/>
        <v>Tangalin, Czarina Katherine</v>
      </c>
      <c r="J177" s="29" t="s">
        <v>3079</v>
      </c>
      <c r="K177" s="29" t="s">
        <v>3080</v>
      </c>
      <c r="L177" s="29" t="s">
        <v>3081</v>
      </c>
      <c r="M177" s="29" t="s">
        <v>57</v>
      </c>
      <c r="N177" s="29" t="s">
        <v>3082</v>
      </c>
      <c r="O177" s="29" t="s">
        <v>224</v>
      </c>
      <c r="P177" s="29" t="s">
        <v>3083</v>
      </c>
      <c r="Q177" s="29" t="s">
        <v>3084</v>
      </c>
      <c r="R177" s="29" t="s">
        <v>3085</v>
      </c>
      <c r="S177" s="181">
        <v>36480</v>
      </c>
      <c r="T177" s="88">
        <f ca="1" t="shared" si="1"/>
        <v>26</v>
      </c>
      <c r="U177" s="29" t="s">
        <v>3086</v>
      </c>
      <c r="V177" s="29" t="s">
        <v>3087</v>
      </c>
      <c r="W177" s="29" t="s">
        <v>3088</v>
      </c>
      <c r="X177" s="29" t="s">
        <v>51</v>
      </c>
      <c r="Y177" s="181">
        <v>45711</v>
      </c>
      <c r="Z177" s="29" t="s">
        <v>51</v>
      </c>
      <c r="AA177" s="181" t="s">
        <v>2091</v>
      </c>
      <c r="AB177" s="29"/>
      <c r="AC177" s="29"/>
      <c r="AD177" s="29"/>
      <c r="AE177" s="29" t="s">
        <v>188</v>
      </c>
      <c r="AF177" s="29" t="s">
        <v>3089</v>
      </c>
      <c r="AG177" s="29" t="s">
        <v>3090</v>
      </c>
      <c r="AH177" s="29"/>
      <c r="AI177" s="29"/>
      <c r="AJ177" s="29"/>
      <c r="AK177" s="29" t="s">
        <v>3091</v>
      </c>
      <c r="AL177" s="29" t="s">
        <v>3092</v>
      </c>
      <c r="AM177" s="29"/>
      <c r="AN177" s="29"/>
      <c r="AO177" s="29"/>
      <c r="AP177" s="29" t="s">
        <v>3093</v>
      </c>
      <c r="AQ177" s="29" t="s">
        <v>3094</v>
      </c>
      <c r="AR177" s="29" t="s">
        <v>3095</v>
      </c>
      <c r="AS177" s="29" t="s">
        <v>3096</v>
      </c>
    </row>
    <row r="178" ht="15.75" customHeight="1" spans="1:45">
      <c r="A178" s="29"/>
      <c r="B178" s="29"/>
      <c r="C178" s="29"/>
      <c r="D178" s="29" t="s">
        <v>51</v>
      </c>
      <c r="E178" s="29" t="s">
        <v>2189</v>
      </c>
      <c r="F178" s="29" t="s">
        <v>2231</v>
      </c>
      <c r="G178" s="29"/>
      <c r="H178" s="29" t="s">
        <v>126</v>
      </c>
      <c r="I178" s="27" t="str">
        <f t="shared" si="0"/>
        <v>Tapnio, Rafael Jemiah</v>
      </c>
      <c r="J178" s="29" t="s">
        <v>1543</v>
      </c>
      <c r="K178" s="29" t="s">
        <v>3097</v>
      </c>
      <c r="L178" s="29" t="s">
        <v>538</v>
      </c>
      <c r="M178" s="29" t="s">
        <v>1642</v>
      </c>
      <c r="N178" s="29" t="s">
        <v>3098</v>
      </c>
      <c r="O178" s="180" t="s">
        <v>3099</v>
      </c>
      <c r="P178" s="29" t="s">
        <v>3100</v>
      </c>
      <c r="Q178" s="29" t="s">
        <v>3101</v>
      </c>
      <c r="R178" s="29" t="s">
        <v>3102</v>
      </c>
      <c r="S178" s="181">
        <v>40140</v>
      </c>
      <c r="T178" s="88">
        <f ca="1" t="shared" si="1"/>
        <v>16</v>
      </c>
      <c r="U178" s="29" t="s">
        <v>1554</v>
      </c>
      <c r="V178" s="180" t="s">
        <v>3103</v>
      </c>
      <c r="W178" s="29" t="s">
        <v>3104</v>
      </c>
      <c r="X178" s="29" t="s">
        <v>51</v>
      </c>
      <c r="Y178" s="235" t="s">
        <v>2602</v>
      </c>
      <c r="Z178" s="29" t="s">
        <v>51</v>
      </c>
      <c r="AA178" s="181">
        <v>44922</v>
      </c>
      <c r="AB178" s="29"/>
      <c r="AC178" s="29"/>
      <c r="AD178" s="29"/>
      <c r="AE178" s="29" t="s">
        <v>3105</v>
      </c>
      <c r="AF178" s="29" t="s">
        <v>3106</v>
      </c>
      <c r="AG178" s="29"/>
      <c r="AH178" s="29"/>
      <c r="AI178" s="29" t="s">
        <v>2327</v>
      </c>
      <c r="AJ178" s="29"/>
      <c r="AK178" s="29" t="s">
        <v>190</v>
      </c>
      <c r="AL178" s="29" t="s">
        <v>305</v>
      </c>
      <c r="AM178" s="29"/>
      <c r="AN178" s="29">
        <v>2</v>
      </c>
      <c r="AO178" s="29">
        <v>1</v>
      </c>
      <c r="AP178" s="29" t="s">
        <v>3104</v>
      </c>
      <c r="AQ178" s="29" t="s">
        <v>625</v>
      </c>
      <c r="AR178" s="29" t="s">
        <v>30</v>
      </c>
      <c r="AS178" s="29" t="s">
        <v>1546</v>
      </c>
    </row>
    <row r="179" ht="15.75" customHeight="1" spans="1:45">
      <c r="A179" s="29"/>
      <c r="B179" s="29"/>
      <c r="C179" s="29"/>
      <c r="D179" s="29" t="s">
        <v>51</v>
      </c>
      <c r="E179" s="29" t="s">
        <v>2189</v>
      </c>
      <c r="F179" s="29" t="s">
        <v>2182</v>
      </c>
      <c r="G179" s="29"/>
      <c r="H179" s="29" t="s">
        <v>81</v>
      </c>
      <c r="I179" s="27" t="str">
        <f t="shared" si="0"/>
        <v>Tayaban, Guiana</v>
      </c>
      <c r="J179" s="29" t="s">
        <v>3107</v>
      </c>
      <c r="K179" s="29" t="s">
        <v>3108</v>
      </c>
      <c r="L179" s="29"/>
      <c r="M179" s="29" t="s">
        <v>57</v>
      </c>
      <c r="N179" s="29">
        <v>306</v>
      </c>
      <c r="O179" s="29" t="s">
        <v>3109</v>
      </c>
      <c r="P179" s="29" t="s">
        <v>3110</v>
      </c>
      <c r="Q179" s="29" t="s">
        <v>3111</v>
      </c>
      <c r="R179" s="29" t="s">
        <v>3112</v>
      </c>
      <c r="S179" s="181">
        <v>36309</v>
      </c>
      <c r="T179" s="88">
        <f ca="1" t="shared" si="1"/>
        <v>27</v>
      </c>
      <c r="U179" s="29" t="s">
        <v>3113</v>
      </c>
      <c r="V179" s="29" t="s">
        <v>3114</v>
      </c>
      <c r="W179" s="29" t="s">
        <v>3115</v>
      </c>
      <c r="X179" s="29" t="s">
        <v>51</v>
      </c>
      <c r="Y179" s="181">
        <v>40857</v>
      </c>
      <c r="Z179" s="29" t="s">
        <v>51</v>
      </c>
      <c r="AA179" s="181"/>
      <c r="AB179" s="29" t="s">
        <v>265</v>
      </c>
      <c r="AC179" s="29" t="s">
        <v>3113</v>
      </c>
      <c r="AD179" s="29" t="s">
        <v>3116</v>
      </c>
      <c r="AE179" s="29" t="s">
        <v>188</v>
      </c>
      <c r="AF179" s="29" t="s">
        <v>2367</v>
      </c>
      <c r="AG179" s="29"/>
      <c r="AH179" s="29"/>
      <c r="AI179" s="29" t="s">
        <v>2453</v>
      </c>
      <c r="AJ179" s="29"/>
      <c r="AK179" s="29" t="s">
        <v>3091</v>
      </c>
      <c r="AL179" s="29"/>
      <c r="AM179" s="29"/>
      <c r="AN179" s="29">
        <v>10</v>
      </c>
      <c r="AO179" s="29">
        <v>10</v>
      </c>
      <c r="AP179" s="29" t="s">
        <v>3115</v>
      </c>
      <c r="AQ179" s="29" t="s">
        <v>3117</v>
      </c>
      <c r="AR179" s="29" t="s">
        <v>30</v>
      </c>
      <c r="AS179" s="29" t="s">
        <v>3118</v>
      </c>
    </row>
    <row r="180" ht="15.75" customHeight="1" spans="1:45">
      <c r="A180" s="29"/>
      <c r="B180" s="29"/>
      <c r="C180" s="29"/>
      <c r="D180" s="29" t="s">
        <v>79</v>
      </c>
      <c r="E180" s="29" t="s">
        <v>2184</v>
      </c>
      <c r="F180" s="29" t="s">
        <v>2212</v>
      </c>
      <c r="G180" s="29"/>
      <c r="H180" s="29" t="s">
        <v>81</v>
      </c>
      <c r="I180" s="27" t="str">
        <f t="shared" si="0"/>
        <v>Terrible, Ashley</v>
      </c>
      <c r="J180" s="29" t="s">
        <v>3119</v>
      </c>
      <c r="K180" s="29" t="s">
        <v>3120</v>
      </c>
      <c r="L180" s="29"/>
      <c r="M180" s="29" t="s">
        <v>57</v>
      </c>
      <c r="N180" s="29"/>
      <c r="O180" s="29"/>
      <c r="P180" s="29"/>
      <c r="Q180" s="29"/>
      <c r="R180" s="29"/>
      <c r="S180" s="181"/>
      <c r="T180" s="88" t="str">
        <f ca="1" t="shared" si="1"/>
        <v/>
      </c>
      <c r="U180" s="29"/>
      <c r="V180" s="29"/>
      <c r="W180" s="29"/>
      <c r="X180" s="29"/>
      <c r="Y180" s="29"/>
      <c r="Z180" s="29"/>
      <c r="AA180" s="181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</row>
    <row r="181" ht="15.75" customHeight="1" spans="1:45">
      <c r="A181" s="29"/>
      <c r="B181" s="29"/>
      <c r="C181" s="29"/>
      <c r="D181" s="29" t="s">
        <v>51</v>
      </c>
      <c r="E181" s="29" t="s">
        <v>2177</v>
      </c>
      <c r="F181" s="29" t="s">
        <v>2423</v>
      </c>
      <c r="G181" s="29"/>
      <c r="H181" s="29" t="s">
        <v>81</v>
      </c>
      <c r="I181" s="27" t="str">
        <f t="shared" si="0"/>
        <v>Tinacba, Christopher Steve</v>
      </c>
      <c r="J181" s="29" t="s">
        <v>3121</v>
      </c>
      <c r="K181" s="29" t="s">
        <v>3122</v>
      </c>
      <c r="L181" s="29" t="s">
        <v>1041</v>
      </c>
      <c r="M181" s="29" t="s">
        <v>1642</v>
      </c>
      <c r="N181" s="29"/>
      <c r="O181" s="29" t="s">
        <v>59</v>
      </c>
      <c r="P181" s="29" t="s">
        <v>3123</v>
      </c>
      <c r="Q181" s="29" t="s">
        <v>3124</v>
      </c>
      <c r="R181" s="29" t="s">
        <v>3125</v>
      </c>
      <c r="S181" s="181">
        <v>35766</v>
      </c>
      <c r="T181" s="88">
        <f ca="1" t="shared" si="1"/>
        <v>28</v>
      </c>
      <c r="U181" s="29" t="s">
        <v>2237</v>
      </c>
      <c r="V181" s="29" t="s">
        <v>3126</v>
      </c>
      <c r="W181" s="29" t="s">
        <v>3127</v>
      </c>
      <c r="X181" s="29" t="s">
        <v>51</v>
      </c>
      <c r="Y181" s="181" t="s">
        <v>3128</v>
      </c>
      <c r="Z181" s="29" t="s">
        <v>51</v>
      </c>
      <c r="AA181" s="181">
        <v>2012</v>
      </c>
      <c r="AB181" s="29"/>
      <c r="AC181" s="29" t="s">
        <v>3129</v>
      </c>
      <c r="AD181" s="29" t="s">
        <v>3130</v>
      </c>
      <c r="AE181" s="29" t="s">
        <v>188</v>
      </c>
      <c r="AF181" s="29" t="s">
        <v>2244</v>
      </c>
      <c r="AG181" s="29"/>
      <c r="AH181" s="29" t="s">
        <v>3131</v>
      </c>
      <c r="AI181" s="29"/>
      <c r="AJ181" s="29"/>
      <c r="AK181" s="29"/>
      <c r="AL181" s="29" t="s">
        <v>305</v>
      </c>
      <c r="AM181" s="29"/>
      <c r="AN181" s="29">
        <v>4</v>
      </c>
      <c r="AO181" s="29">
        <v>8</v>
      </c>
      <c r="AP181" s="29" t="s">
        <v>3132</v>
      </c>
      <c r="AQ181" s="29" t="s">
        <v>625</v>
      </c>
      <c r="AR181" s="29" t="s">
        <v>30</v>
      </c>
      <c r="AS181" s="29" t="s">
        <v>3133</v>
      </c>
    </row>
    <row r="182" ht="15.75" customHeight="1" spans="1:45">
      <c r="A182" s="29"/>
      <c r="B182" s="29"/>
      <c r="C182" s="29"/>
      <c r="D182" s="29" t="s">
        <v>51</v>
      </c>
      <c r="E182" s="29" t="s">
        <v>2181</v>
      </c>
      <c r="F182" s="29" t="s">
        <v>1767</v>
      </c>
      <c r="G182" s="29"/>
      <c r="H182" s="29" t="s">
        <v>81</v>
      </c>
      <c r="I182" s="27" t="str">
        <f t="shared" si="0"/>
        <v>Tindo, Melvin Josh</v>
      </c>
      <c r="J182" s="29" t="s">
        <v>3134</v>
      </c>
      <c r="K182" s="29" t="s">
        <v>3135</v>
      </c>
      <c r="L182" s="29" t="s">
        <v>628</v>
      </c>
      <c r="M182" s="29" t="s">
        <v>1642</v>
      </c>
      <c r="N182" s="29">
        <v>140</v>
      </c>
      <c r="O182" s="180" t="s">
        <v>3136</v>
      </c>
      <c r="P182" s="29"/>
      <c r="Q182" s="29"/>
      <c r="R182" s="29" t="s">
        <v>3137</v>
      </c>
      <c r="S182" s="181">
        <v>39346</v>
      </c>
      <c r="T182" s="88">
        <f ca="1" t="shared" si="1"/>
        <v>19</v>
      </c>
      <c r="U182" s="29" t="s">
        <v>3138</v>
      </c>
      <c r="V182" s="180" t="s">
        <v>3139</v>
      </c>
      <c r="W182" s="29"/>
      <c r="X182" s="29" t="s">
        <v>51</v>
      </c>
      <c r="Y182" s="235" t="s">
        <v>2430</v>
      </c>
      <c r="Z182" s="29" t="s">
        <v>51</v>
      </c>
      <c r="AA182" s="181">
        <v>45592</v>
      </c>
      <c r="AB182" s="29"/>
      <c r="AC182" s="29" t="s">
        <v>3140</v>
      </c>
      <c r="AD182" s="29" t="s">
        <v>3141</v>
      </c>
      <c r="AE182" s="29" t="s">
        <v>2970</v>
      </c>
      <c r="AF182" s="29" t="s">
        <v>2978</v>
      </c>
      <c r="AG182" s="29"/>
      <c r="AH182" s="29"/>
      <c r="AI182" s="29" t="s">
        <v>2952</v>
      </c>
      <c r="AJ182" s="29"/>
      <c r="AK182" s="29" t="s">
        <v>669</v>
      </c>
      <c r="AL182" s="29" t="s">
        <v>2656</v>
      </c>
      <c r="AM182" s="29"/>
      <c r="AN182" s="29">
        <v>4</v>
      </c>
      <c r="AO182" s="29">
        <v>1</v>
      </c>
      <c r="AP182" s="29" t="s">
        <v>3142</v>
      </c>
      <c r="AQ182" s="29" t="s">
        <v>712</v>
      </c>
      <c r="AR182" s="29" t="s">
        <v>2691</v>
      </c>
      <c r="AS182" s="29" t="s">
        <v>3143</v>
      </c>
    </row>
    <row r="183" ht="15.75" customHeight="1" spans="1:45">
      <c r="A183" s="29"/>
      <c r="B183" s="29"/>
      <c r="C183" s="29"/>
      <c r="D183" s="29" t="s">
        <v>51</v>
      </c>
      <c r="E183" s="29" t="s">
        <v>2181</v>
      </c>
      <c r="F183" s="29" t="s">
        <v>1767</v>
      </c>
      <c r="G183" s="29"/>
      <c r="H183" s="29" t="s">
        <v>81</v>
      </c>
      <c r="I183" s="27" t="str">
        <f t="shared" si="0"/>
        <v>Tindo, Marvin</v>
      </c>
      <c r="J183" s="29" t="s">
        <v>3134</v>
      </c>
      <c r="K183" s="29" t="s">
        <v>1985</v>
      </c>
      <c r="L183" s="29" t="s">
        <v>628</v>
      </c>
      <c r="M183" s="29" t="s">
        <v>1642</v>
      </c>
      <c r="N183" s="29">
        <v>140</v>
      </c>
      <c r="O183" s="180" t="s">
        <v>3136</v>
      </c>
      <c r="P183" s="29"/>
      <c r="Q183" s="29" t="s">
        <v>3144</v>
      </c>
      <c r="R183" s="29" t="s">
        <v>3145</v>
      </c>
      <c r="S183" s="181">
        <v>38921</v>
      </c>
      <c r="T183" s="88">
        <f ca="1" t="shared" si="1"/>
        <v>20</v>
      </c>
      <c r="U183" s="29" t="s">
        <v>3138</v>
      </c>
      <c r="V183" s="180" t="s">
        <v>3139</v>
      </c>
      <c r="W183" s="29"/>
      <c r="X183" s="29" t="s">
        <v>51</v>
      </c>
      <c r="Y183" s="181">
        <v>43468</v>
      </c>
      <c r="Z183" s="29" t="s">
        <v>51</v>
      </c>
      <c r="AA183" s="181">
        <v>43615</v>
      </c>
      <c r="AB183" s="29"/>
      <c r="AC183" s="29" t="s">
        <v>3140</v>
      </c>
      <c r="AD183" s="29" t="s">
        <v>3141</v>
      </c>
      <c r="AE183" s="29" t="s">
        <v>2921</v>
      </c>
      <c r="AF183" s="29" t="s">
        <v>2195</v>
      </c>
      <c r="AG183" s="29"/>
      <c r="AH183" s="29"/>
      <c r="AI183" s="29" t="s">
        <v>2952</v>
      </c>
      <c r="AJ183" s="29" t="s">
        <v>2246</v>
      </c>
      <c r="AK183" s="29" t="s">
        <v>669</v>
      </c>
      <c r="AL183" s="29" t="s">
        <v>269</v>
      </c>
      <c r="AM183" s="29"/>
      <c r="AN183" s="29">
        <v>4</v>
      </c>
      <c r="AO183" s="29">
        <v>1</v>
      </c>
      <c r="AP183" s="29" t="s">
        <v>3142</v>
      </c>
      <c r="AQ183" s="29" t="s">
        <v>712</v>
      </c>
      <c r="AR183" s="29" t="s">
        <v>2691</v>
      </c>
      <c r="AS183" s="29" t="s">
        <v>3143</v>
      </c>
    </row>
    <row r="184" ht="15.75" customHeight="1" spans="1:45">
      <c r="A184" s="29"/>
      <c r="B184" s="29"/>
      <c r="C184" s="29"/>
      <c r="D184" s="29" t="s">
        <v>79</v>
      </c>
      <c r="E184" s="29" t="s">
        <v>2189</v>
      </c>
      <c r="F184" s="29" t="s">
        <v>2617</v>
      </c>
      <c r="G184" s="29" t="s">
        <v>2186</v>
      </c>
      <c r="H184" s="29" t="s">
        <v>81</v>
      </c>
      <c r="I184" s="190" t="str">
        <f t="shared" si="0"/>
        <v>Tomas, Rodalyn</v>
      </c>
      <c r="J184" s="29" t="s">
        <v>1563</v>
      </c>
      <c r="K184" s="193" t="s">
        <v>3146</v>
      </c>
      <c r="L184" s="29"/>
      <c r="M184" s="29" t="s">
        <v>57</v>
      </c>
      <c r="N184" s="29"/>
      <c r="O184" s="29"/>
      <c r="P184" s="29"/>
      <c r="Q184" s="29"/>
      <c r="R184" s="29"/>
      <c r="S184" s="181"/>
      <c r="T184" s="88" t="str">
        <f ca="1" t="shared" si="1"/>
        <v/>
      </c>
      <c r="U184" s="29"/>
      <c r="V184" s="29"/>
      <c r="W184" s="29"/>
      <c r="X184" s="29"/>
      <c r="Y184" s="29"/>
      <c r="Z184" s="29"/>
      <c r="AA184" s="181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</row>
    <row r="185" ht="15.75" customHeight="1" spans="1:45">
      <c r="A185" s="29"/>
      <c r="B185" s="29"/>
      <c r="C185" s="29"/>
      <c r="D185" s="29" t="s">
        <v>79</v>
      </c>
      <c r="E185" s="29" t="s">
        <v>2184</v>
      </c>
      <c r="F185" s="29" t="s">
        <v>2423</v>
      </c>
      <c r="G185" s="29"/>
      <c r="H185" s="29" t="s">
        <v>81</v>
      </c>
      <c r="I185" s="27" t="str">
        <f t="shared" si="0"/>
        <v>Torres, Kenneth</v>
      </c>
      <c r="J185" s="29" t="s">
        <v>3147</v>
      </c>
      <c r="K185" s="29" t="s">
        <v>3148</v>
      </c>
      <c r="L185" s="29"/>
      <c r="M185" s="29" t="s">
        <v>1642</v>
      </c>
      <c r="N185" s="29"/>
      <c r="O185" s="29"/>
      <c r="P185" s="29"/>
      <c r="Q185" s="29"/>
      <c r="R185" s="29"/>
      <c r="S185" s="181"/>
      <c r="T185" s="88" t="str">
        <f ca="1" t="shared" si="1"/>
        <v/>
      </c>
      <c r="U185" s="29"/>
      <c r="V185" s="29"/>
      <c r="W185" s="29"/>
      <c r="X185" s="29"/>
      <c r="Y185" s="29"/>
      <c r="Z185" s="29"/>
      <c r="AA185" s="181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</row>
    <row r="186" ht="15.75" customHeight="1" spans="1:45">
      <c r="A186" s="29"/>
      <c r="B186" s="29"/>
      <c r="C186" s="29"/>
      <c r="D186" s="29" t="s">
        <v>79</v>
      </c>
      <c r="E186" s="29" t="s">
        <v>2181</v>
      </c>
      <c r="F186" s="29" t="s">
        <v>2185</v>
      </c>
      <c r="G186" s="29"/>
      <c r="H186" s="29" t="s">
        <v>81</v>
      </c>
      <c r="I186" s="27" t="str">
        <f t="shared" si="0"/>
        <v>Torres, Kathleen</v>
      </c>
      <c r="J186" s="29" t="s">
        <v>3147</v>
      </c>
      <c r="K186" s="29" t="s">
        <v>3149</v>
      </c>
      <c r="L186" s="29"/>
      <c r="M186" s="29" t="s">
        <v>57</v>
      </c>
      <c r="N186" s="29"/>
      <c r="O186" s="29"/>
      <c r="P186" s="29"/>
      <c r="Q186" s="29"/>
      <c r="R186" s="29"/>
      <c r="S186" s="181"/>
      <c r="T186" s="88" t="str">
        <f ca="1" t="shared" si="1"/>
        <v/>
      </c>
      <c r="U186" s="29"/>
      <c r="V186" s="29"/>
      <c r="W186" s="29"/>
      <c r="X186" s="29"/>
      <c r="Y186" s="29"/>
      <c r="Z186" s="29"/>
      <c r="AA186" s="181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</row>
    <row r="187" ht="15.75" customHeight="1" spans="1:45">
      <c r="A187" s="29"/>
      <c r="B187" s="29"/>
      <c r="C187" s="29"/>
      <c r="D187" s="29" t="s">
        <v>79</v>
      </c>
      <c r="E187" s="29" t="s">
        <v>2189</v>
      </c>
      <c r="F187" s="29" t="s">
        <v>2423</v>
      </c>
      <c r="G187" s="29" t="s">
        <v>2186</v>
      </c>
      <c r="H187" s="29" t="s">
        <v>81</v>
      </c>
      <c r="I187" s="190" t="str">
        <f t="shared" si="0"/>
        <v>Wakit, Fe</v>
      </c>
      <c r="J187" s="29" t="s">
        <v>1597</v>
      </c>
      <c r="K187" s="29" t="s">
        <v>3150</v>
      </c>
      <c r="L187" s="29"/>
      <c r="M187" s="29" t="s">
        <v>57</v>
      </c>
      <c r="N187" s="29"/>
      <c r="O187" s="29"/>
      <c r="P187" s="29"/>
      <c r="Q187" s="29"/>
      <c r="R187" s="29"/>
      <c r="S187" s="181"/>
      <c r="T187" s="88" t="str">
        <f ca="1" t="shared" si="1"/>
        <v/>
      </c>
      <c r="U187" s="29"/>
      <c r="V187" s="29"/>
      <c r="W187" s="29"/>
      <c r="X187" s="29"/>
      <c r="Y187" s="29"/>
      <c r="Z187" s="29"/>
      <c r="AA187" s="181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</row>
    <row r="188" ht="15.75" customHeight="1" spans="1:45">
      <c r="A188" s="29"/>
      <c r="B188" s="29"/>
      <c r="C188" s="29"/>
      <c r="D188" s="29" t="s">
        <v>51</v>
      </c>
      <c r="E188" s="29" t="s">
        <v>2383</v>
      </c>
      <c r="F188" s="29" t="s">
        <v>2231</v>
      </c>
      <c r="G188" s="29"/>
      <c r="H188" s="29" t="s">
        <v>81</v>
      </c>
      <c r="I188" s="27" t="str">
        <f t="shared" si="0"/>
        <v>Wakit, Aira May</v>
      </c>
      <c r="J188" s="29" t="s">
        <v>1597</v>
      </c>
      <c r="K188" s="29" t="s">
        <v>3151</v>
      </c>
      <c r="L188" s="29" t="s">
        <v>2148</v>
      </c>
      <c r="M188" s="29" t="s">
        <v>57</v>
      </c>
      <c r="N188" s="29"/>
      <c r="O188" s="29" t="s">
        <v>129</v>
      </c>
      <c r="P188" s="29" t="s">
        <v>1503</v>
      </c>
      <c r="Q188" s="29" t="s">
        <v>3152</v>
      </c>
      <c r="R188" s="29"/>
      <c r="S188" s="181">
        <v>40682</v>
      </c>
      <c r="T188" s="88">
        <f ca="1" t="shared" si="1"/>
        <v>15</v>
      </c>
      <c r="U188" s="29" t="s">
        <v>1734</v>
      </c>
      <c r="V188" s="29" t="s">
        <v>3153</v>
      </c>
      <c r="W188" s="29" t="s">
        <v>3154</v>
      </c>
      <c r="X188" s="29" t="s">
        <v>51</v>
      </c>
      <c r="Y188" s="181">
        <v>45711</v>
      </c>
      <c r="Z188" s="29"/>
      <c r="AA188" s="181"/>
      <c r="AB188" s="29" t="s">
        <v>2154</v>
      </c>
      <c r="AC188" s="29"/>
      <c r="AD188" s="29"/>
      <c r="AE188" s="29"/>
      <c r="AF188" s="29" t="s">
        <v>3155</v>
      </c>
      <c r="AG188" s="29"/>
      <c r="AH188" s="29"/>
      <c r="AI188" s="29"/>
      <c r="AJ188" s="29" t="s">
        <v>2246</v>
      </c>
      <c r="AK188" s="29" t="s">
        <v>3156</v>
      </c>
      <c r="AL188" s="29" t="s">
        <v>305</v>
      </c>
      <c r="AM188" s="29"/>
      <c r="AN188" s="29"/>
      <c r="AO188" s="29"/>
      <c r="AP188" s="29" t="s">
        <v>3154</v>
      </c>
      <c r="AQ188" s="29" t="s">
        <v>625</v>
      </c>
      <c r="AR188" s="29" t="s">
        <v>30</v>
      </c>
      <c r="AS188" s="29" t="s">
        <v>3157</v>
      </c>
    </row>
    <row r="189" ht="15.75" customHeight="1" spans="1:45">
      <c r="A189" s="29"/>
      <c r="B189" s="29"/>
      <c r="C189" s="29"/>
      <c r="D189" s="29" t="s">
        <v>79</v>
      </c>
      <c r="E189" s="29" t="s">
        <v>2177</v>
      </c>
      <c r="F189" s="29" t="s">
        <v>1742</v>
      </c>
      <c r="G189" s="29"/>
      <c r="H189" s="29" t="s">
        <v>81</v>
      </c>
      <c r="I189" s="27" t="str">
        <f t="shared" si="0"/>
        <v>Wanas, Leah-mar</v>
      </c>
      <c r="J189" s="29" t="s">
        <v>3158</v>
      </c>
      <c r="K189" s="194" t="s">
        <v>3159</v>
      </c>
      <c r="L189" s="29"/>
      <c r="M189" s="29" t="s">
        <v>57</v>
      </c>
      <c r="N189" s="29"/>
      <c r="O189" s="29"/>
      <c r="P189" s="29"/>
      <c r="Q189" s="29"/>
      <c r="R189" s="29"/>
      <c r="S189" s="181"/>
      <c r="T189" s="88" t="str">
        <f ca="1" t="shared" si="1"/>
        <v/>
      </c>
      <c r="U189" s="29"/>
      <c r="V189" s="29"/>
      <c r="W189" s="29"/>
      <c r="X189" s="29"/>
      <c r="Y189" s="29"/>
      <c r="Z189" s="29"/>
      <c r="AA189" s="181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</row>
    <row r="190" ht="15.75" customHeight="1" spans="1:45">
      <c r="A190" s="29"/>
      <c r="B190" s="29"/>
      <c r="C190" s="29"/>
      <c r="D190" s="29" t="s">
        <v>79</v>
      </c>
      <c r="E190" s="29" t="s">
        <v>2177</v>
      </c>
      <c r="F190" s="29" t="s">
        <v>2205</v>
      </c>
      <c r="G190" s="29"/>
      <c r="H190" s="29" t="s">
        <v>81</v>
      </c>
      <c r="I190" s="27" t="str">
        <f t="shared" si="0"/>
        <v>Wanas, Gracelyn</v>
      </c>
      <c r="J190" s="29" t="s">
        <v>3158</v>
      </c>
      <c r="K190" s="29" t="s">
        <v>3160</v>
      </c>
      <c r="L190" s="29"/>
      <c r="M190" s="29" t="s">
        <v>57</v>
      </c>
      <c r="N190" s="29"/>
      <c r="O190" s="29"/>
      <c r="P190" s="29"/>
      <c r="Q190" s="29"/>
      <c r="R190" s="29"/>
      <c r="S190" s="181"/>
      <c r="T190" s="88" t="str">
        <f ca="1" t="shared" si="1"/>
        <v/>
      </c>
      <c r="U190" s="29"/>
      <c r="V190" s="29"/>
      <c r="W190" s="29"/>
      <c r="X190" s="29"/>
      <c r="Y190" s="29"/>
      <c r="Z190" s="29"/>
      <c r="AA190" s="181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</row>
    <row r="191" ht="15.75" customHeight="1" spans="1:45">
      <c r="A191" s="29"/>
      <c r="B191" s="29"/>
      <c r="C191" s="29"/>
      <c r="D191" s="29" t="s">
        <v>51</v>
      </c>
      <c r="E191" s="29" t="s">
        <v>2189</v>
      </c>
      <c r="F191" s="29" t="s">
        <v>2185</v>
      </c>
      <c r="G191" s="29"/>
      <c r="H191" s="29" t="s">
        <v>81</v>
      </c>
      <c r="I191" s="27" t="str">
        <f t="shared" si="0"/>
        <v>Wasian, Matt Rodjun</v>
      </c>
      <c r="J191" s="29" t="s">
        <v>1611</v>
      </c>
      <c r="K191" s="29" t="s">
        <v>3161</v>
      </c>
      <c r="L191" s="29" t="s">
        <v>222</v>
      </c>
      <c r="M191" s="29" t="s">
        <v>1642</v>
      </c>
      <c r="N191" s="29" t="s">
        <v>1613</v>
      </c>
      <c r="O191" s="29" t="s">
        <v>1222</v>
      </c>
      <c r="P191" s="29"/>
      <c r="Q191" s="29" t="s">
        <v>3162</v>
      </c>
      <c r="R191" s="29"/>
      <c r="S191" s="181">
        <v>40481</v>
      </c>
      <c r="T191" s="88">
        <f ca="1" t="shared" si="1"/>
        <v>15</v>
      </c>
      <c r="U191" s="29" t="s">
        <v>1554</v>
      </c>
      <c r="V191" s="29" t="s">
        <v>1618</v>
      </c>
      <c r="W191" s="29" t="s">
        <v>3163</v>
      </c>
      <c r="X191" s="29" t="s">
        <v>79</v>
      </c>
      <c r="Y191" s="29"/>
      <c r="Z191" s="29" t="s">
        <v>79</v>
      </c>
      <c r="AA191" s="181"/>
      <c r="AB191" s="29"/>
      <c r="AC191" s="29"/>
      <c r="AD191" s="29"/>
      <c r="AE191" s="29" t="s">
        <v>2298</v>
      </c>
      <c r="AF191" s="29" t="s">
        <v>3059</v>
      </c>
      <c r="AG191" s="29"/>
      <c r="AH191" s="29"/>
      <c r="AI191" s="29"/>
      <c r="AJ191" s="29" t="s">
        <v>2246</v>
      </c>
      <c r="AK191" s="29" t="s">
        <v>446</v>
      </c>
      <c r="AL191" s="29" t="s">
        <v>876</v>
      </c>
      <c r="AM191" s="29"/>
      <c r="AN191" s="29" t="s">
        <v>3164</v>
      </c>
      <c r="AO191" s="29" t="s">
        <v>3164</v>
      </c>
      <c r="AP191" s="29" t="s">
        <v>1618</v>
      </c>
      <c r="AQ191" s="29" t="s">
        <v>625</v>
      </c>
      <c r="AR191" s="29" t="s">
        <v>29</v>
      </c>
      <c r="AS191" s="29" t="s">
        <v>1621</v>
      </c>
    </row>
    <row r="192" ht="15.75" customHeight="1" spans="1:45">
      <c r="A192" s="29"/>
      <c r="B192" s="29"/>
      <c r="C192" s="29"/>
      <c r="D192" s="29" t="s">
        <v>51</v>
      </c>
      <c r="E192" s="29" t="s">
        <v>2189</v>
      </c>
      <c r="F192" s="29" t="s">
        <v>2185</v>
      </c>
      <c r="G192" s="29"/>
      <c r="H192" s="29" t="s">
        <v>81</v>
      </c>
      <c r="I192" s="27" t="str">
        <f t="shared" si="0"/>
        <v>Wasian, Jairo Tristan</v>
      </c>
      <c r="J192" s="29" t="s">
        <v>1611</v>
      </c>
      <c r="K192" s="29" t="s">
        <v>3165</v>
      </c>
      <c r="L192" s="29" t="s">
        <v>222</v>
      </c>
      <c r="M192" s="29" t="s">
        <v>1642</v>
      </c>
      <c r="N192" s="29" t="s">
        <v>1613</v>
      </c>
      <c r="O192" s="29" t="s">
        <v>1222</v>
      </c>
      <c r="P192" s="29"/>
      <c r="Q192" s="29"/>
      <c r="R192" s="29"/>
      <c r="S192" s="181">
        <v>40998</v>
      </c>
      <c r="T192" s="88">
        <f ca="1" t="shared" si="1"/>
        <v>14</v>
      </c>
      <c r="U192" s="29" t="s">
        <v>1554</v>
      </c>
      <c r="V192" s="29" t="s">
        <v>1618</v>
      </c>
      <c r="W192" s="29" t="s">
        <v>3163</v>
      </c>
      <c r="X192" s="29" t="s">
        <v>79</v>
      </c>
      <c r="Y192" s="29"/>
      <c r="Z192" s="29" t="s">
        <v>51</v>
      </c>
      <c r="AA192" s="181">
        <v>2024</v>
      </c>
      <c r="AB192" s="29"/>
      <c r="AC192" s="29"/>
      <c r="AD192" s="29"/>
      <c r="AE192" s="29" t="s">
        <v>2291</v>
      </c>
      <c r="AF192" s="29" t="s">
        <v>3059</v>
      </c>
      <c r="AG192" s="29"/>
      <c r="AH192" s="29"/>
      <c r="AI192" s="29"/>
      <c r="AJ192" s="29" t="s">
        <v>2246</v>
      </c>
      <c r="AK192" s="29" t="s">
        <v>446</v>
      </c>
      <c r="AL192" s="29" t="s">
        <v>1832</v>
      </c>
      <c r="AM192" s="29"/>
      <c r="AN192" s="29"/>
      <c r="AO192" s="29"/>
      <c r="AP192" s="29" t="s">
        <v>1618</v>
      </c>
      <c r="AQ192" s="29" t="s">
        <v>625</v>
      </c>
      <c r="AR192" s="29" t="s">
        <v>29</v>
      </c>
      <c r="AS192" s="29" t="s">
        <v>1621</v>
      </c>
    </row>
    <row r="193" ht="15.75" customHeight="1" spans="1:45">
      <c r="A193" s="29"/>
      <c r="B193" s="29"/>
      <c r="C193" s="29"/>
      <c r="D193" s="29" t="s">
        <v>51</v>
      </c>
      <c r="E193" s="29" t="s">
        <v>2189</v>
      </c>
      <c r="F193" s="29" t="s">
        <v>2617</v>
      </c>
      <c r="G193" s="29" t="s">
        <v>2186</v>
      </c>
      <c r="H193" s="29" t="s">
        <v>81</v>
      </c>
      <c r="I193" s="27" t="str">
        <f t="shared" si="0"/>
        <v>Way-yas, Urany Marie</v>
      </c>
      <c r="J193" s="29" t="s">
        <v>3166</v>
      </c>
      <c r="K193" s="29" t="s">
        <v>3167</v>
      </c>
      <c r="L193" s="29" t="s">
        <v>628</v>
      </c>
      <c r="M193" s="29" t="s">
        <v>57</v>
      </c>
      <c r="N193" s="29" t="s">
        <v>3168</v>
      </c>
      <c r="O193" s="29" t="s">
        <v>3169</v>
      </c>
      <c r="P193" s="29" t="s">
        <v>3170</v>
      </c>
      <c r="Q193" s="29" t="s">
        <v>3171</v>
      </c>
      <c r="R193" s="29" t="s">
        <v>3172</v>
      </c>
      <c r="S193" s="181">
        <v>27614</v>
      </c>
      <c r="T193" s="88">
        <f ca="1" t="shared" si="1"/>
        <v>51</v>
      </c>
      <c r="U193" s="29" t="s">
        <v>3173</v>
      </c>
      <c r="V193" s="29" t="s">
        <v>3174</v>
      </c>
      <c r="W193" s="29" t="s">
        <v>3175</v>
      </c>
      <c r="X193" s="29" t="s">
        <v>51</v>
      </c>
      <c r="Y193" s="181">
        <v>34793</v>
      </c>
      <c r="Z193" s="29" t="s">
        <v>51</v>
      </c>
      <c r="AA193" s="181" t="s">
        <v>3176</v>
      </c>
      <c r="AB193" s="29" t="s">
        <v>3177</v>
      </c>
      <c r="AC193" s="29"/>
      <c r="AD193" s="29"/>
      <c r="AE193" s="29" t="s">
        <v>3178</v>
      </c>
      <c r="AF193" s="29" t="s">
        <v>3179</v>
      </c>
      <c r="AG193" s="29"/>
      <c r="AH193" s="29"/>
      <c r="AI193" s="29" t="s">
        <v>3180</v>
      </c>
      <c r="AJ193" s="29"/>
      <c r="AK193" s="29"/>
      <c r="AL193" s="29"/>
      <c r="AM193" s="29"/>
      <c r="AN193" s="29">
        <v>25</v>
      </c>
      <c r="AO193" s="29">
        <v>25</v>
      </c>
      <c r="AP193" s="29" t="s">
        <v>3174</v>
      </c>
      <c r="AQ193" s="29" t="s">
        <v>3181</v>
      </c>
      <c r="AR193" s="29" t="s">
        <v>3182</v>
      </c>
      <c r="AS193" s="29" t="s">
        <v>3183</v>
      </c>
    </row>
    <row r="194" ht="15.75" customHeight="1" spans="1:45">
      <c r="A194" s="29"/>
      <c r="B194" s="29"/>
      <c r="C194" s="29"/>
      <c r="D194" s="29" t="s">
        <v>79</v>
      </c>
      <c r="E194" s="29" t="s">
        <v>2181</v>
      </c>
      <c r="F194" s="29" t="s">
        <v>2212</v>
      </c>
      <c r="G194" s="29" t="s">
        <v>2186</v>
      </c>
      <c r="H194" s="29" t="s">
        <v>81</v>
      </c>
      <c r="I194" s="27" t="str">
        <f t="shared" si="0"/>
        <v>Wong, Ephraim</v>
      </c>
      <c r="J194" s="29" t="s">
        <v>1622</v>
      </c>
      <c r="K194" s="29" t="s">
        <v>3184</v>
      </c>
      <c r="L194" s="29"/>
      <c r="M194" s="29" t="s">
        <v>1642</v>
      </c>
      <c r="N194" s="29"/>
      <c r="O194" s="29"/>
      <c r="P194" s="29"/>
      <c r="Q194" s="29"/>
      <c r="R194" s="29"/>
      <c r="S194" s="181"/>
      <c r="T194" s="88" t="str">
        <f ca="1" t="shared" si="1"/>
        <v/>
      </c>
      <c r="U194" s="29"/>
      <c r="V194" s="29"/>
      <c r="W194" s="29"/>
      <c r="X194" s="29"/>
      <c r="Y194" s="29"/>
      <c r="Z194" s="29"/>
      <c r="AA194" s="181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</row>
    <row r="195" ht="15.75" customHeight="1" spans="1:45">
      <c r="A195" s="29"/>
      <c r="B195" s="29"/>
      <c r="C195" s="29"/>
      <c r="D195" s="29" t="s">
        <v>51</v>
      </c>
      <c r="E195" s="29" t="s">
        <v>2189</v>
      </c>
      <c r="F195" s="29" t="s">
        <v>2182</v>
      </c>
      <c r="G195" s="29"/>
      <c r="H195" s="29" t="s">
        <v>126</v>
      </c>
      <c r="I195" s="190" t="str">
        <f t="shared" si="0"/>
        <v>Zapata, Krisha Angelica</v>
      </c>
      <c r="J195" s="29" t="s">
        <v>1624</v>
      </c>
      <c r="K195" s="29" t="s">
        <v>3185</v>
      </c>
      <c r="L195" s="29" t="s">
        <v>161</v>
      </c>
      <c r="M195" s="29" t="s">
        <v>57</v>
      </c>
      <c r="N195" s="29" t="s">
        <v>3186</v>
      </c>
      <c r="O195" s="29" t="s">
        <v>1626</v>
      </c>
      <c r="P195" s="29"/>
      <c r="Q195" s="29" t="s">
        <v>3187</v>
      </c>
      <c r="R195" s="29" t="s">
        <v>3188</v>
      </c>
      <c r="S195" s="181">
        <v>37091</v>
      </c>
      <c r="T195" s="88">
        <f ca="1" t="shared" si="1"/>
        <v>25</v>
      </c>
      <c r="U195" s="29" t="s">
        <v>1734</v>
      </c>
      <c r="V195" s="29" t="s">
        <v>3189</v>
      </c>
      <c r="W195" s="29" t="s">
        <v>3190</v>
      </c>
      <c r="X195" s="29" t="s">
        <v>51</v>
      </c>
      <c r="Y195" s="181">
        <v>41210</v>
      </c>
      <c r="Z195" s="29" t="s">
        <v>51</v>
      </c>
      <c r="AA195" s="181" t="s">
        <v>2880</v>
      </c>
      <c r="AB195" s="29"/>
      <c r="AC195" s="29"/>
      <c r="AD195" s="29"/>
      <c r="AE195" s="29" t="s">
        <v>3191</v>
      </c>
      <c r="AF195" s="29" t="s">
        <v>3192</v>
      </c>
      <c r="AG195" s="29"/>
      <c r="AH195" s="29"/>
      <c r="AI195" s="29" t="s">
        <v>2453</v>
      </c>
      <c r="AJ195" s="29"/>
      <c r="AK195" s="29" t="s">
        <v>1704</v>
      </c>
      <c r="AL195" s="29"/>
      <c r="AM195" s="29"/>
      <c r="AN195" s="29">
        <v>10</v>
      </c>
      <c r="AO195" s="29">
        <v>9</v>
      </c>
      <c r="AP195" s="29" t="s">
        <v>3190</v>
      </c>
      <c r="AQ195" s="29" t="s">
        <v>625</v>
      </c>
      <c r="AR195" s="29" t="s">
        <v>30</v>
      </c>
      <c r="AS195" s="29" t="s">
        <v>1093</v>
      </c>
    </row>
    <row r="196" ht="15.75" customHeight="1" spans="1:45">
      <c r="A196" s="29"/>
      <c r="B196" s="29"/>
      <c r="C196" s="29"/>
      <c r="D196" s="29" t="s">
        <v>79</v>
      </c>
      <c r="E196" s="29" t="s">
        <v>2189</v>
      </c>
      <c r="F196" s="29" t="s">
        <v>2231</v>
      </c>
      <c r="G196" s="29"/>
      <c r="H196" s="29" t="s">
        <v>81</v>
      </c>
      <c r="I196" s="27" t="str">
        <f t="shared" si="0"/>
        <v>Zapata, John Ezekiel</v>
      </c>
      <c r="J196" s="29" t="s">
        <v>1624</v>
      </c>
      <c r="K196" s="29" t="s">
        <v>3193</v>
      </c>
      <c r="L196" s="29"/>
      <c r="M196" s="29" t="s">
        <v>1642</v>
      </c>
      <c r="N196" s="29"/>
      <c r="O196" s="29"/>
      <c r="P196" s="29"/>
      <c r="Q196" s="29"/>
      <c r="R196" s="29"/>
      <c r="S196" s="181"/>
      <c r="T196" s="88" t="str">
        <f ca="1" t="shared" si="1"/>
        <v/>
      </c>
      <c r="U196" s="29"/>
      <c r="V196" s="29"/>
      <c r="W196" s="29"/>
      <c r="X196" s="29"/>
      <c r="Y196" s="181"/>
      <c r="Z196" s="29"/>
      <c r="AA196" s="181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 t="s">
        <v>3190</v>
      </c>
      <c r="AQ196" s="29"/>
      <c r="AR196" s="29"/>
      <c r="AS196" s="29"/>
    </row>
    <row r="197" ht="15.75" customHeight="1" spans="1:45">
      <c r="A197" s="29"/>
      <c r="B197" s="29"/>
      <c r="C197" s="29"/>
      <c r="D197" s="29"/>
      <c r="E197" s="29"/>
      <c r="F197" s="29"/>
      <c r="G197" s="29"/>
      <c r="H197" s="29"/>
      <c r="I197" s="27" t="str">
        <f t="shared" si="0"/>
        <v/>
      </c>
      <c r="J197" s="29"/>
      <c r="K197" s="29"/>
      <c r="L197" s="29"/>
      <c r="M197" s="29"/>
      <c r="N197" s="29"/>
      <c r="O197" s="29"/>
      <c r="P197" s="29"/>
      <c r="Q197" s="29"/>
      <c r="R197" s="29"/>
      <c r="S197" s="181"/>
      <c r="T197" s="88" t="str">
        <f ca="1" t="shared" si="1"/>
        <v/>
      </c>
      <c r="U197" s="29"/>
      <c r="V197" s="29"/>
      <c r="W197" s="29"/>
      <c r="X197" s="29"/>
      <c r="Y197" s="29"/>
      <c r="Z197" s="29"/>
      <c r="AA197" s="181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</row>
    <row r="198" ht="15.75" customHeight="1" spans="1:45">
      <c r="A198" s="29"/>
      <c r="B198" s="29"/>
      <c r="C198" s="29"/>
      <c r="D198" s="29"/>
      <c r="E198" s="29"/>
      <c r="F198" s="29"/>
      <c r="G198" s="29"/>
      <c r="H198" s="29"/>
      <c r="I198" s="27" t="str">
        <f t="shared" si="0"/>
        <v/>
      </c>
      <c r="J198" s="29"/>
      <c r="K198" s="29"/>
      <c r="L198" s="29"/>
      <c r="M198" s="29"/>
      <c r="N198" s="29"/>
      <c r="O198" s="29"/>
      <c r="P198" s="29"/>
      <c r="Q198" s="29"/>
      <c r="R198" s="29"/>
      <c r="S198" s="181"/>
      <c r="T198" s="88" t="str">
        <f ca="1" t="shared" si="1"/>
        <v/>
      </c>
      <c r="U198" s="29"/>
      <c r="V198" s="29"/>
      <c r="W198" s="29"/>
      <c r="X198" s="29"/>
      <c r="Y198" s="29"/>
      <c r="Z198" s="29"/>
      <c r="AA198" s="181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</row>
    <row r="199" ht="15.75" customHeight="1" spans="1:45">
      <c r="A199" s="29"/>
      <c r="B199" s="29"/>
      <c r="C199" s="29"/>
      <c r="D199" s="29"/>
      <c r="E199" s="29"/>
      <c r="F199" s="29"/>
      <c r="G199" s="29"/>
      <c r="H199" s="29"/>
      <c r="I199" s="27" t="str">
        <f t="shared" si="0"/>
        <v/>
      </c>
      <c r="J199" s="29"/>
      <c r="K199" s="29"/>
      <c r="L199" s="29"/>
      <c r="M199" s="29"/>
      <c r="N199" s="29"/>
      <c r="O199" s="29"/>
      <c r="P199" s="29"/>
      <c r="Q199" s="29"/>
      <c r="R199" s="29"/>
      <c r="S199" s="181"/>
      <c r="T199" s="88" t="str">
        <f ca="1" t="shared" si="1"/>
        <v/>
      </c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</row>
    <row r="200" ht="15.75" customHeight="1" spans="1:45">
      <c r="A200" s="29"/>
      <c r="B200" s="29"/>
      <c r="C200" s="29"/>
      <c r="D200" s="29"/>
      <c r="E200" s="29"/>
      <c r="F200" s="29"/>
      <c r="G200" s="29"/>
      <c r="H200" s="29"/>
      <c r="I200" s="27" t="str">
        <f t="shared" si="0"/>
        <v/>
      </c>
      <c r="J200" s="29"/>
      <c r="K200" s="29"/>
      <c r="L200" s="29"/>
      <c r="M200" s="29"/>
      <c r="N200" s="29"/>
      <c r="O200" s="29"/>
      <c r="P200" s="29"/>
      <c r="Q200" s="29"/>
      <c r="R200" s="29"/>
      <c r="S200" s="181"/>
      <c r="T200" s="88" t="str">
        <f ca="1" t="shared" si="1"/>
        <v/>
      </c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</row>
    <row r="201" ht="15.75" customHeight="1" spans="1:45">
      <c r="A201" s="29"/>
      <c r="B201" s="29"/>
      <c r="C201" s="29"/>
      <c r="D201" s="29"/>
      <c r="E201" s="29"/>
      <c r="F201" s="29"/>
      <c r="G201" s="29"/>
      <c r="H201" s="29"/>
      <c r="I201" s="27" t="str">
        <f t="shared" si="0"/>
        <v/>
      </c>
      <c r="J201" s="29"/>
      <c r="K201" s="29"/>
      <c r="L201" s="29"/>
      <c r="M201" s="29"/>
      <c r="N201" s="29"/>
      <c r="O201" s="29"/>
      <c r="P201" s="29"/>
      <c r="Q201" s="29"/>
      <c r="R201" s="29"/>
      <c r="S201" s="181"/>
      <c r="T201" s="88" t="str">
        <f ca="1" t="shared" si="1"/>
        <v/>
      </c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</row>
    <row r="202" ht="15.75" customHeight="1" spans="1:45">
      <c r="A202" s="29"/>
      <c r="B202" s="29"/>
      <c r="C202" s="29"/>
      <c r="D202" s="29"/>
      <c r="E202" s="29"/>
      <c r="F202" s="29"/>
      <c r="G202" s="29"/>
      <c r="H202" s="29"/>
      <c r="I202" s="27" t="str">
        <f t="shared" si="0"/>
        <v/>
      </c>
      <c r="J202" s="29"/>
      <c r="K202" s="29"/>
      <c r="L202" s="29"/>
      <c r="M202" s="29"/>
      <c r="N202" s="29"/>
      <c r="O202" s="29"/>
      <c r="P202" s="29"/>
      <c r="Q202" s="29"/>
      <c r="R202" s="29"/>
      <c r="S202" s="181"/>
      <c r="T202" s="88" t="str">
        <f ca="1" t="shared" si="1"/>
        <v/>
      </c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</row>
    <row r="203" ht="15.75" customHeight="1" spans="1:45">
      <c r="A203" s="29"/>
      <c r="B203" s="29"/>
      <c r="C203" s="29"/>
      <c r="D203" s="29"/>
      <c r="E203" s="29"/>
      <c r="F203" s="29"/>
      <c r="G203" s="29"/>
      <c r="H203" s="29"/>
      <c r="I203" s="27" t="str">
        <f t="shared" si="0"/>
        <v/>
      </c>
      <c r="J203" s="29"/>
      <c r="K203" s="29"/>
      <c r="L203" s="29"/>
      <c r="M203" s="29"/>
      <c r="N203" s="29"/>
      <c r="O203" s="29"/>
      <c r="P203" s="29"/>
      <c r="Q203" s="29"/>
      <c r="R203" s="29"/>
      <c r="S203" s="181"/>
      <c r="T203" s="88" t="str">
        <f ca="1" t="shared" si="1"/>
        <v/>
      </c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</row>
    <row r="204" ht="15.75" customHeight="1" spans="1:45">
      <c r="A204" s="29"/>
      <c r="B204" s="29"/>
      <c r="C204" s="29"/>
      <c r="D204" s="29"/>
      <c r="E204" s="29"/>
      <c r="F204" s="29"/>
      <c r="G204" s="29"/>
      <c r="H204" s="29"/>
      <c r="I204" s="27" t="str">
        <f t="shared" si="0"/>
        <v/>
      </c>
      <c r="J204" s="29"/>
      <c r="K204" s="29"/>
      <c r="L204" s="29"/>
      <c r="M204" s="29"/>
      <c r="N204" s="29"/>
      <c r="O204" s="29"/>
      <c r="P204" s="29"/>
      <c r="Q204" s="29"/>
      <c r="R204" s="29"/>
      <c r="S204" s="181"/>
      <c r="T204" s="88" t="str">
        <f ca="1" t="shared" si="1"/>
        <v/>
      </c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</row>
    <row r="205" ht="15.75" customHeight="1" spans="1:45">
      <c r="A205" s="29"/>
      <c r="B205" s="29"/>
      <c r="C205" s="29"/>
      <c r="D205" s="29"/>
      <c r="E205" s="29"/>
      <c r="F205" s="29"/>
      <c r="G205" s="29"/>
      <c r="H205" s="29"/>
      <c r="I205" s="27" t="str">
        <f t="shared" si="0"/>
        <v/>
      </c>
      <c r="J205" s="29"/>
      <c r="K205" s="29"/>
      <c r="L205" s="29"/>
      <c r="M205" s="29"/>
      <c r="N205" s="29"/>
      <c r="O205" s="29"/>
      <c r="P205" s="29"/>
      <c r="Q205" s="29"/>
      <c r="R205" s="29"/>
      <c r="S205" s="181"/>
      <c r="T205" s="88" t="str">
        <f ca="1" t="shared" si="1"/>
        <v/>
      </c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</row>
    <row r="206" ht="15.75" customHeight="1" spans="1:45">
      <c r="A206" s="29"/>
      <c r="B206" s="29"/>
      <c r="C206" s="29"/>
      <c r="D206" s="29"/>
      <c r="E206" s="29"/>
      <c r="F206" s="29"/>
      <c r="G206" s="29"/>
      <c r="H206" s="29"/>
      <c r="I206" s="27" t="str">
        <f t="shared" si="0"/>
        <v/>
      </c>
      <c r="J206" s="29"/>
      <c r="K206" s="29"/>
      <c r="L206" s="29"/>
      <c r="M206" s="29"/>
      <c r="N206" s="29"/>
      <c r="O206" s="29"/>
      <c r="P206" s="29"/>
      <c r="Q206" s="29"/>
      <c r="R206" s="29"/>
      <c r="S206" s="181"/>
      <c r="T206" s="88" t="str">
        <f ca="1" t="shared" si="1"/>
        <v/>
      </c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</row>
    <row r="207" ht="15.75" customHeight="1" spans="1:45">
      <c r="A207" s="29"/>
      <c r="B207" s="29"/>
      <c r="C207" s="29"/>
      <c r="D207" s="29"/>
      <c r="E207" s="29"/>
      <c r="F207" s="29"/>
      <c r="G207" s="29"/>
      <c r="H207" s="29"/>
      <c r="I207" s="27" t="str">
        <f t="shared" si="0"/>
        <v/>
      </c>
      <c r="J207" s="29"/>
      <c r="K207" s="29"/>
      <c r="L207" s="29"/>
      <c r="M207" s="29"/>
      <c r="N207" s="29"/>
      <c r="O207" s="29"/>
      <c r="P207" s="29"/>
      <c r="Q207" s="29"/>
      <c r="R207" s="29"/>
      <c r="S207" s="181"/>
      <c r="T207" s="88" t="str">
        <f ca="1" t="shared" si="1"/>
        <v/>
      </c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</row>
    <row r="208" ht="15.75" customHeight="1" spans="1:45">
      <c r="A208" s="29"/>
      <c r="B208" s="29"/>
      <c r="C208" s="29"/>
      <c r="D208" s="29"/>
      <c r="E208" s="29"/>
      <c r="F208" s="29"/>
      <c r="G208" s="29"/>
      <c r="H208" s="29"/>
      <c r="I208" s="27" t="str">
        <f t="shared" si="0"/>
        <v/>
      </c>
      <c r="J208" s="29"/>
      <c r="K208" s="29"/>
      <c r="L208" s="29"/>
      <c r="M208" s="29"/>
      <c r="N208" s="29"/>
      <c r="O208" s="29"/>
      <c r="P208" s="29"/>
      <c r="Q208" s="29"/>
      <c r="R208" s="29"/>
      <c r="S208" s="181"/>
      <c r="T208" s="88" t="str">
        <f ca="1" t="shared" si="1"/>
        <v/>
      </c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</row>
    <row r="209" ht="15.75" customHeight="1" spans="1:45">
      <c r="A209" s="29"/>
      <c r="B209" s="29"/>
      <c r="C209" s="29"/>
      <c r="D209" s="29"/>
      <c r="E209" s="29"/>
      <c r="F209" s="29"/>
      <c r="G209" s="29"/>
      <c r="H209" s="29"/>
      <c r="I209" s="27" t="str">
        <f t="shared" si="0"/>
        <v/>
      </c>
      <c r="J209" s="29"/>
      <c r="K209" s="29"/>
      <c r="L209" s="29"/>
      <c r="M209" s="29"/>
      <c r="N209" s="29"/>
      <c r="O209" s="29"/>
      <c r="P209" s="29"/>
      <c r="Q209" s="29"/>
      <c r="R209" s="29"/>
      <c r="S209" s="181"/>
      <c r="T209" s="88" t="str">
        <f ca="1" t="shared" si="1"/>
        <v/>
      </c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</row>
    <row r="210" ht="15.75" customHeight="1" spans="1:45">
      <c r="A210" s="29"/>
      <c r="B210" s="29"/>
      <c r="C210" s="29"/>
      <c r="D210" s="29"/>
      <c r="E210" s="29"/>
      <c r="F210" s="29"/>
      <c r="G210" s="29"/>
      <c r="H210" s="29"/>
      <c r="I210" s="27" t="str">
        <f t="shared" si="0"/>
        <v/>
      </c>
      <c r="J210" s="29"/>
      <c r="K210" s="29"/>
      <c r="L210" s="29"/>
      <c r="M210" s="29"/>
      <c r="N210" s="29"/>
      <c r="O210" s="29"/>
      <c r="P210" s="29"/>
      <c r="Q210" s="29"/>
      <c r="R210" s="29"/>
      <c r="S210" s="181"/>
      <c r="T210" s="88" t="str">
        <f ca="1" t="shared" si="1"/>
        <v/>
      </c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</row>
    <row r="211" ht="15.75" customHeight="1" spans="1:45">
      <c r="A211" s="29"/>
      <c r="B211" s="29"/>
      <c r="C211" s="29"/>
      <c r="D211" s="29"/>
      <c r="E211" s="29"/>
      <c r="F211" s="29"/>
      <c r="G211" s="29"/>
      <c r="H211" s="29"/>
      <c r="I211" s="27" t="str">
        <f t="shared" si="0"/>
        <v/>
      </c>
      <c r="J211" s="29"/>
      <c r="K211" s="29"/>
      <c r="L211" s="29"/>
      <c r="M211" s="29"/>
      <c r="N211" s="29"/>
      <c r="O211" s="29"/>
      <c r="P211" s="29"/>
      <c r="Q211" s="29"/>
      <c r="R211" s="29"/>
      <c r="S211" s="181"/>
      <c r="T211" s="88" t="str">
        <f ca="1" t="shared" si="1"/>
        <v/>
      </c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</row>
    <row r="212" ht="15.75" customHeight="1" spans="1:45">
      <c r="A212" s="29"/>
      <c r="B212" s="29"/>
      <c r="C212" s="29"/>
      <c r="D212" s="29"/>
      <c r="E212" s="29"/>
      <c r="F212" s="29"/>
      <c r="G212" s="29"/>
      <c r="H212" s="29"/>
      <c r="I212" s="27" t="str">
        <f t="shared" si="0"/>
        <v/>
      </c>
      <c r="J212" s="29"/>
      <c r="K212" s="29"/>
      <c r="L212" s="29"/>
      <c r="M212" s="29"/>
      <c r="N212" s="29"/>
      <c r="O212" s="29"/>
      <c r="P212" s="29"/>
      <c r="Q212" s="29"/>
      <c r="R212" s="29"/>
      <c r="S212" s="181"/>
      <c r="T212" s="88" t="str">
        <f ca="1" t="shared" si="1"/>
        <v/>
      </c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</row>
    <row r="213" ht="15.75" customHeight="1" spans="1:45">
      <c r="A213" s="29"/>
      <c r="B213" s="29"/>
      <c r="C213" s="29"/>
      <c r="D213" s="29"/>
      <c r="E213" s="29"/>
      <c r="F213" s="29"/>
      <c r="G213" s="29"/>
      <c r="H213" s="29"/>
      <c r="I213" s="27" t="str">
        <f t="shared" si="0"/>
        <v/>
      </c>
      <c r="J213" s="29"/>
      <c r="K213" s="29"/>
      <c r="L213" s="29"/>
      <c r="M213" s="29"/>
      <c r="N213" s="29"/>
      <c r="O213" s="29"/>
      <c r="P213" s="29"/>
      <c r="Q213" s="29"/>
      <c r="R213" s="29"/>
      <c r="S213" s="181"/>
      <c r="T213" s="88" t="str">
        <f ca="1" t="shared" si="1"/>
        <v/>
      </c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</row>
    <row r="214" ht="15.75" customHeight="1" spans="1:45">
      <c r="A214" s="29"/>
      <c r="B214" s="29"/>
      <c r="C214" s="29"/>
      <c r="D214" s="29"/>
      <c r="E214" s="29"/>
      <c r="F214" s="29"/>
      <c r="G214" s="29"/>
      <c r="H214" s="29"/>
      <c r="I214" s="27" t="str">
        <f t="shared" si="0"/>
        <v/>
      </c>
      <c r="J214" s="29"/>
      <c r="K214" s="29"/>
      <c r="L214" s="29"/>
      <c r="M214" s="29"/>
      <c r="N214" s="29"/>
      <c r="O214" s="29"/>
      <c r="P214" s="29"/>
      <c r="Q214" s="29"/>
      <c r="R214" s="29"/>
      <c r="S214" s="181"/>
      <c r="T214" s="88" t="str">
        <f ca="1" t="shared" si="1"/>
        <v/>
      </c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</row>
    <row r="215" ht="15.75" customHeight="1" spans="1:45">
      <c r="A215" s="29"/>
      <c r="B215" s="29"/>
      <c r="C215" s="29"/>
      <c r="D215" s="29"/>
      <c r="E215" s="29"/>
      <c r="F215" s="29"/>
      <c r="G215" s="29"/>
      <c r="H215" s="29"/>
      <c r="I215" s="27" t="str">
        <f t="shared" si="0"/>
        <v/>
      </c>
      <c r="J215" s="29"/>
      <c r="K215" s="29"/>
      <c r="L215" s="29"/>
      <c r="M215" s="29"/>
      <c r="N215" s="29"/>
      <c r="O215" s="29"/>
      <c r="P215" s="29"/>
      <c r="Q215" s="29"/>
      <c r="R215" s="29"/>
      <c r="S215" s="181"/>
      <c r="T215" s="88" t="str">
        <f ca="1" t="shared" si="1"/>
        <v/>
      </c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</row>
    <row r="216" ht="15.75" customHeight="1" spans="1:45">
      <c r="A216" s="29"/>
      <c r="B216" s="29"/>
      <c r="C216" s="29"/>
      <c r="D216" s="29"/>
      <c r="E216" s="29"/>
      <c r="F216" s="29"/>
      <c r="G216" s="29"/>
      <c r="H216" s="29"/>
      <c r="I216" s="27" t="str">
        <f t="shared" si="0"/>
        <v/>
      </c>
      <c r="J216" s="29"/>
      <c r="K216" s="29"/>
      <c r="L216" s="29"/>
      <c r="M216" s="29"/>
      <c r="N216" s="29"/>
      <c r="O216" s="29"/>
      <c r="P216" s="29"/>
      <c r="Q216" s="29"/>
      <c r="R216" s="29"/>
      <c r="S216" s="181"/>
      <c r="T216" s="88" t="str">
        <f ca="1" t="shared" si="1"/>
        <v/>
      </c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</row>
    <row r="217" ht="15.75" customHeight="1" spans="1:45">
      <c r="A217" s="29"/>
      <c r="B217" s="29"/>
      <c r="C217" s="29"/>
      <c r="D217" s="29"/>
      <c r="E217" s="29"/>
      <c r="F217" s="29"/>
      <c r="G217" s="29"/>
      <c r="H217" s="29"/>
      <c r="I217" s="27" t="str">
        <f t="shared" si="0"/>
        <v/>
      </c>
      <c r="J217" s="29"/>
      <c r="K217" s="29"/>
      <c r="L217" s="29"/>
      <c r="M217" s="29"/>
      <c r="N217" s="29"/>
      <c r="O217" s="29"/>
      <c r="P217" s="29"/>
      <c r="Q217" s="29"/>
      <c r="R217" s="29"/>
      <c r="S217" s="181"/>
      <c r="T217" s="88" t="str">
        <f ca="1" t="shared" si="1"/>
        <v/>
      </c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</row>
    <row r="218" ht="15.75" customHeight="1" spans="1:45">
      <c r="A218" s="29"/>
      <c r="B218" s="29"/>
      <c r="C218" s="29"/>
      <c r="D218" s="29"/>
      <c r="E218" s="29"/>
      <c r="F218" s="29"/>
      <c r="G218" s="29"/>
      <c r="H218" s="29"/>
      <c r="I218" s="27" t="str">
        <f t="shared" si="0"/>
        <v/>
      </c>
      <c r="J218" s="29"/>
      <c r="K218" s="29"/>
      <c r="L218" s="29"/>
      <c r="M218" s="29"/>
      <c r="N218" s="29"/>
      <c r="O218" s="29"/>
      <c r="P218" s="29"/>
      <c r="Q218" s="29"/>
      <c r="R218" s="29"/>
      <c r="S218" s="181"/>
      <c r="T218" s="88" t="str">
        <f ca="1" t="shared" si="1"/>
        <v/>
      </c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</row>
    <row r="219" ht="15.75" customHeight="1" spans="1:45">
      <c r="A219" s="29"/>
      <c r="B219" s="29"/>
      <c r="C219" s="29"/>
      <c r="D219" s="29"/>
      <c r="E219" s="29"/>
      <c r="F219" s="29"/>
      <c r="G219" s="29"/>
      <c r="H219" s="29"/>
      <c r="I219" s="27" t="str">
        <f t="shared" si="0"/>
        <v/>
      </c>
      <c r="J219" s="29"/>
      <c r="K219" s="29"/>
      <c r="L219" s="29"/>
      <c r="M219" s="29"/>
      <c r="N219" s="29"/>
      <c r="O219" s="29"/>
      <c r="P219" s="29"/>
      <c r="Q219" s="29"/>
      <c r="R219" s="29"/>
      <c r="S219" s="181"/>
      <c r="T219" s="88" t="str">
        <f ca="1" t="shared" si="1"/>
        <v/>
      </c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</row>
    <row r="220" ht="15.75" customHeight="1" spans="1:45">
      <c r="A220" s="29"/>
      <c r="B220" s="29"/>
      <c r="C220" s="29"/>
      <c r="D220" s="29"/>
      <c r="E220" s="29"/>
      <c r="F220" s="29"/>
      <c r="G220" s="29"/>
      <c r="H220" s="29"/>
      <c r="I220" s="27" t="str">
        <f t="shared" si="0"/>
        <v/>
      </c>
      <c r="J220" s="29"/>
      <c r="K220" s="29"/>
      <c r="L220" s="29"/>
      <c r="M220" s="29"/>
      <c r="N220" s="29"/>
      <c r="O220" s="29"/>
      <c r="P220" s="29"/>
      <c r="Q220" s="29"/>
      <c r="R220" s="29"/>
      <c r="S220" s="181"/>
      <c r="T220" s="88" t="str">
        <f ca="1" t="shared" si="1"/>
        <v/>
      </c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</row>
    <row r="221" ht="15.75" customHeight="1" spans="1:45">
      <c r="A221" s="29"/>
      <c r="B221" s="29"/>
      <c r="C221" s="29"/>
      <c r="D221" s="29"/>
      <c r="E221" s="29"/>
      <c r="F221" s="29"/>
      <c r="G221" s="29"/>
      <c r="H221" s="29"/>
      <c r="I221" s="27" t="str">
        <f t="shared" si="0"/>
        <v/>
      </c>
      <c r="J221" s="29"/>
      <c r="K221" s="29"/>
      <c r="L221" s="29"/>
      <c r="M221" s="29"/>
      <c r="N221" s="29"/>
      <c r="O221" s="29"/>
      <c r="P221" s="29"/>
      <c r="Q221" s="29"/>
      <c r="R221" s="29"/>
      <c r="S221" s="181"/>
      <c r="T221" s="88" t="str">
        <f ca="1" t="shared" si="1"/>
        <v/>
      </c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</row>
    <row r="222" ht="15.75" customHeight="1" spans="1:45">
      <c r="A222" s="29"/>
      <c r="B222" s="29"/>
      <c r="C222" s="29"/>
      <c r="D222" s="29"/>
      <c r="E222" s="29"/>
      <c r="F222" s="29"/>
      <c r="G222" s="29"/>
      <c r="H222" s="29"/>
      <c r="I222" s="27" t="str">
        <f t="shared" si="0"/>
        <v/>
      </c>
      <c r="J222" s="29"/>
      <c r="K222" s="29"/>
      <c r="L222" s="29"/>
      <c r="M222" s="29"/>
      <c r="N222" s="29"/>
      <c r="O222" s="29"/>
      <c r="P222" s="29"/>
      <c r="Q222" s="29"/>
      <c r="R222" s="29"/>
      <c r="S222" s="181"/>
      <c r="T222" s="88" t="str">
        <f ca="1" t="shared" si="1"/>
        <v/>
      </c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</row>
    <row r="223" ht="15.75" customHeight="1" spans="1:45">
      <c r="A223" s="29"/>
      <c r="B223" s="29"/>
      <c r="C223" s="29"/>
      <c r="D223" s="29"/>
      <c r="E223" s="29"/>
      <c r="F223" s="29"/>
      <c r="G223" s="29"/>
      <c r="H223" s="29"/>
      <c r="I223" s="27" t="str">
        <f t="shared" si="0"/>
        <v/>
      </c>
      <c r="J223" s="29"/>
      <c r="K223" s="29"/>
      <c r="L223" s="29"/>
      <c r="M223" s="29"/>
      <c r="N223" s="29"/>
      <c r="O223" s="29"/>
      <c r="P223" s="29"/>
      <c r="Q223" s="29"/>
      <c r="R223" s="29"/>
      <c r="S223" s="181"/>
      <c r="T223" s="88" t="str">
        <f ca="1" t="shared" si="1"/>
        <v/>
      </c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</row>
    <row r="224" ht="15.75" customHeight="1" spans="1:45">
      <c r="A224" s="29"/>
      <c r="B224" s="29"/>
      <c r="C224" s="29"/>
      <c r="D224" s="29"/>
      <c r="E224" s="29"/>
      <c r="F224" s="29"/>
      <c r="G224" s="29"/>
      <c r="H224" s="29"/>
      <c r="I224" s="27" t="str">
        <f t="shared" si="0"/>
        <v/>
      </c>
      <c r="J224" s="29"/>
      <c r="K224" s="29"/>
      <c r="L224" s="29"/>
      <c r="M224" s="29"/>
      <c r="N224" s="29"/>
      <c r="O224" s="29"/>
      <c r="P224" s="29"/>
      <c r="Q224" s="29"/>
      <c r="R224" s="29"/>
      <c r="S224" s="181"/>
      <c r="T224" s="88" t="str">
        <f ca="1" t="shared" si="1"/>
        <v/>
      </c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</row>
    <row r="225" ht="15.75" customHeight="1" spans="1:45">
      <c r="A225" s="29"/>
      <c r="B225" s="29"/>
      <c r="C225" s="29"/>
      <c r="D225" s="29"/>
      <c r="E225" s="29"/>
      <c r="F225" s="29"/>
      <c r="G225" s="29"/>
      <c r="H225" s="29"/>
      <c r="I225" s="27" t="str">
        <f t="shared" si="0"/>
        <v/>
      </c>
      <c r="J225" s="29"/>
      <c r="K225" s="29"/>
      <c r="L225" s="29"/>
      <c r="M225" s="29"/>
      <c r="N225" s="29"/>
      <c r="O225" s="29"/>
      <c r="P225" s="29"/>
      <c r="Q225" s="29"/>
      <c r="R225" s="29"/>
      <c r="S225" s="181"/>
      <c r="T225" s="88" t="str">
        <f ca="1" t="shared" si="1"/>
        <v/>
      </c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</row>
    <row r="226" ht="15.75" customHeight="1" spans="1:45">
      <c r="A226" s="29"/>
      <c r="B226" s="29"/>
      <c r="C226" s="29"/>
      <c r="D226" s="29"/>
      <c r="E226" s="29"/>
      <c r="F226" s="29"/>
      <c r="G226" s="29"/>
      <c r="H226" s="29"/>
      <c r="I226" s="27" t="str">
        <f t="shared" si="0"/>
        <v/>
      </c>
      <c r="J226" s="29"/>
      <c r="K226" s="29"/>
      <c r="L226" s="29"/>
      <c r="M226" s="29"/>
      <c r="N226" s="29"/>
      <c r="O226" s="29"/>
      <c r="P226" s="29"/>
      <c r="Q226" s="29"/>
      <c r="R226" s="29"/>
      <c r="S226" s="181"/>
      <c r="T226" s="88" t="str">
        <f ca="1" t="shared" si="1"/>
        <v/>
      </c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</row>
    <row r="227" ht="15.75" customHeight="1" spans="1:45">
      <c r="A227" s="29"/>
      <c r="B227" s="29"/>
      <c r="C227" s="29"/>
      <c r="D227" s="29"/>
      <c r="E227" s="29"/>
      <c r="F227" s="29"/>
      <c r="G227" s="29"/>
      <c r="H227" s="29"/>
      <c r="I227" s="27" t="str">
        <f t="shared" si="0"/>
        <v/>
      </c>
      <c r="J227" s="29"/>
      <c r="K227" s="29"/>
      <c r="L227" s="29"/>
      <c r="M227" s="29"/>
      <c r="N227" s="29"/>
      <c r="O227" s="29"/>
      <c r="P227" s="29"/>
      <c r="Q227" s="29"/>
      <c r="R227" s="29"/>
      <c r="S227" s="181"/>
      <c r="T227" s="88" t="str">
        <f ca="1" t="shared" si="1"/>
        <v/>
      </c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</row>
    <row r="228" ht="15.75" customHeight="1" spans="1:45">
      <c r="A228" s="29"/>
      <c r="B228" s="29"/>
      <c r="C228" s="29"/>
      <c r="D228" s="29"/>
      <c r="E228" s="29"/>
      <c r="F228" s="29"/>
      <c r="G228" s="29"/>
      <c r="H228" s="29"/>
      <c r="I228" s="27" t="str">
        <f t="shared" si="0"/>
        <v/>
      </c>
      <c r="J228" s="29"/>
      <c r="K228" s="29"/>
      <c r="L228" s="29"/>
      <c r="M228" s="29"/>
      <c r="N228" s="29"/>
      <c r="O228" s="29"/>
      <c r="P228" s="29"/>
      <c r="Q228" s="29"/>
      <c r="R228" s="29"/>
      <c r="S228" s="181"/>
      <c r="T228" s="88" t="str">
        <f ca="1" t="shared" si="1"/>
        <v/>
      </c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</row>
    <row r="229" ht="15.75" customHeight="1" spans="1:45">
      <c r="A229" s="29"/>
      <c r="B229" s="29"/>
      <c r="C229" s="29"/>
      <c r="D229" s="29"/>
      <c r="E229" s="29"/>
      <c r="F229" s="29"/>
      <c r="G229" s="29"/>
      <c r="H229" s="29"/>
      <c r="I229" s="27" t="str">
        <f t="shared" si="0"/>
        <v/>
      </c>
      <c r="J229" s="29"/>
      <c r="K229" s="29"/>
      <c r="L229" s="29"/>
      <c r="M229" s="29"/>
      <c r="N229" s="29"/>
      <c r="O229" s="29"/>
      <c r="P229" s="29"/>
      <c r="Q229" s="29"/>
      <c r="R229" s="29"/>
      <c r="S229" s="181"/>
      <c r="T229" s="88" t="str">
        <f ca="1" t="shared" si="1"/>
        <v/>
      </c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</row>
    <row r="230" ht="15.75" customHeight="1" spans="1:45">
      <c r="A230" s="29"/>
      <c r="B230" s="29"/>
      <c r="C230" s="29"/>
      <c r="D230" s="29"/>
      <c r="E230" s="29"/>
      <c r="F230" s="29"/>
      <c r="G230" s="29"/>
      <c r="H230" s="29"/>
      <c r="I230" s="27" t="str">
        <f t="shared" si="0"/>
        <v/>
      </c>
      <c r="J230" s="29"/>
      <c r="K230" s="29"/>
      <c r="L230" s="29"/>
      <c r="M230" s="29"/>
      <c r="N230" s="29"/>
      <c r="O230" s="29"/>
      <c r="P230" s="29"/>
      <c r="Q230" s="29"/>
      <c r="R230" s="29"/>
      <c r="S230" s="181"/>
      <c r="T230" s="88" t="str">
        <f ca="1" t="shared" si="1"/>
        <v/>
      </c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</row>
    <row r="231" ht="15.75" customHeight="1" spans="1:45">
      <c r="A231" s="29"/>
      <c r="B231" s="29"/>
      <c r="C231" s="29"/>
      <c r="D231" s="29"/>
      <c r="E231" s="29"/>
      <c r="F231" s="29"/>
      <c r="G231" s="29"/>
      <c r="H231" s="29"/>
      <c r="I231" s="27" t="str">
        <f t="shared" si="0"/>
        <v/>
      </c>
      <c r="J231" s="29"/>
      <c r="K231" s="29"/>
      <c r="L231" s="29"/>
      <c r="M231" s="29"/>
      <c r="N231" s="29"/>
      <c r="O231" s="29"/>
      <c r="P231" s="29"/>
      <c r="Q231" s="29"/>
      <c r="R231" s="29"/>
      <c r="S231" s="181"/>
      <c r="T231" s="88" t="str">
        <f ca="1" t="shared" si="1"/>
        <v/>
      </c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</row>
    <row r="232" ht="15.75" customHeight="1" spans="1:45">
      <c r="A232" s="29"/>
      <c r="B232" s="29"/>
      <c r="C232" s="29"/>
      <c r="D232" s="29"/>
      <c r="E232" s="29"/>
      <c r="F232" s="29"/>
      <c r="G232" s="29"/>
      <c r="H232" s="29"/>
      <c r="I232" s="27" t="str">
        <f t="shared" si="0"/>
        <v/>
      </c>
      <c r="J232" s="29"/>
      <c r="K232" s="29"/>
      <c r="L232" s="29"/>
      <c r="M232" s="29"/>
      <c r="N232" s="29"/>
      <c r="O232" s="29"/>
      <c r="P232" s="29"/>
      <c r="Q232" s="29"/>
      <c r="R232" s="29"/>
      <c r="S232" s="181"/>
      <c r="T232" s="88" t="str">
        <f ca="1" t="shared" si="1"/>
        <v/>
      </c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</row>
    <row r="233" ht="15.75" customHeight="1" spans="1:45">
      <c r="A233" s="29"/>
      <c r="B233" s="29"/>
      <c r="C233" s="29"/>
      <c r="D233" s="29"/>
      <c r="E233" s="29"/>
      <c r="F233" s="29"/>
      <c r="G233" s="29"/>
      <c r="H233" s="29"/>
      <c r="I233" s="27" t="str">
        <f t="shared" si="0"/>
        <v/>
      </c>
      <c r="J233" s="29"/>
      <c r="K233" s="29"/>
      <c r="L233" s="29"/>
      <c r="M233" s="29"/>
      <c r="N233" s="29"/>
      <c r="O233" s="29"/>
      <c r="P233" s="29"/>
      <c r="Q233" s="29"/>
      <c r="R233" s="29"/>
      <c r="S233" s="181"/>
      <c r="T233" s="88" t="str">
        <f ca="1" t="shared" si="1"/>
        <v/>
      </c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</row>
    <row r="234" ht="15.75" customHeight="1" spans="1:45">
      <c r="A234" s="29"/>
      <c r="B234" s="29"/>
      <c r="C234" s="29"/>
      <c r="D234" s="29"/>
      <c r="E234" s="29"/>
      <c r="F234" s="29"/>
      <c r="G234" s="29"/>
      <c r="H234" s="29"/>
      <c r="I234" s="27" t="str">
        <f t="shared" si="0"/>
        <v/>
      </c>
      <c r="J234" s="29"/>
      <c r="K234" s="29"/>
      <c r="L234" s="29"/>
      <c r="M234" s="29"/>
      <c r="N234" s="29"/>
      <c r="O234" s="29"/>
      <c r="P234" s="29"/>
      <c r="Q234" s="29"/>
      <c r="R234" s="29"/>
      <c r="S234" s="181"/>
      <c r="T234" s="88" t="str">
        <f ca="1" t="shared" si="1"/>
        <v/>
      </c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</row>
    <row r="235" ht="15.75" customHeight="1" spans="1:45">
      <c r="A235" s="29"/>
      <c r="B235" s="29"/>
      <c r="C235" s="29"/>
      <c r="D235" s="29"/>
      <c r="E235" s="29"/>
      <c r="F235" s="29"/>
      <c r="G235" s="29"/>
      <c r="H235" s="29"/>
      <c r="I235" s="27" t="str">
        <f t="shared" si="0"/>
        <v/>
      </c>
      <c r="J235" s="29"/>
      <c r="K235" s="29"/>
      <c r="L235" s="29"/>
      <c r="M235" s="29"/>
      <c r="N235" s="29"/>
      <c r="O235" s="29"/>
      <c r="P235" s="29"/>
      <c r="Q235" s="29"/>
      <c r="R235" s="29"/>
      <c r="S235" s="181"/>
      <c r="T235" s="88" t="str">
        <f ca="1" t="shared" si="1"/>
        <v/>
      </c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</row>
    <row r="236" ht="15.75" customHeight="1" spans="1:45">
      <c r="A236" s="29"/>
      <c r="B236" s="29"/>
      <c r="C236" s="29"/>
      <c r="D236" s="29"/>
      <c r="E236" s="29"/>
      <c r="F236" s="29"/>
      <c r="G236" s="29"/>
      <c r="H236" s="29"/>
      <c r="I236" s="27" t="str">
        <f t="shared" si="0"/>
        <v/>
      </c>
      <c r="J236" s="29"/>
      <c r="K236" s="29"/>
      <c r="L236" s="29"/>
      <c r="M236" s="29"/>
      <c r="N236" s="29"/>
      <c r="O236" s="29"/>
      <c r="P236" s="29"/>
      <c r="Q236" s="29"/>
      <c r="R236" s="29"/>
      <c r="S236" s="181"/>
      <c r="T236" s="88" t="str">
        <f ca="1" t="shared" si="1"/>
        <v/>
      </c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</row>
    <row r="237" ht="15.75" customHeight="1" spans="1:45">
      <c r="A237" s="29"/>
      <c r="B237" s="29"/>
      <c r="C237" s="29"/>
      <c r="D237" s="29"/>
      <c r="E237" s="29"/>
      <c r="F237" s="29"/>
      <c r="G237" s="29"/>
      <c r="H237" s="29"/>
      <c r="I237" s="27" t="str">
        <f t="shared" si="0"/>
        <v/>
      </c>
      <c r="J237" s="29"/>
      <c r="K237" s="29"/>
      <c r="L237" s="29"/>
      <c r="M237" s="29"/>
      <c r="N237" s="29"/>
      <c r="O237" s="29"/>
      <c r="P237" s="29"/>
      <c r="Q237" s="29"/>
      <c r="R237" s="29"/>
      <c r="S237" s="181"/>
      <c r="T237" s="88" t="str">
        <f ca="1" t="shared" si="1"/>
        <v/>
      </c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</row>
    <row r="238" ht="15.75" customHeight="1" spans="1:45">
      <c r="A238" s="29"/>
      <c r="B238" s="29"/>
      <c r="C238" s="29"/>
      <c r="D238" s="29"/>
      <c r="E238" s="29"/>
      <c r="F238" s="29"/>
      <c r="G238" s="29"/>
      <c r="H238" s="29"/>
      <c r="I238" s="27" t="str">
        <f t="shared" si="0"/>
        <v/>
      </c>
      <c r="J238" s="29"/>
      <c r="K238" s="29"/>
      <c r="L238" s="29"/>
      <c r="M238" s="29"/>
      <c r="N238" s="29"/>
      <c r="O238" s="29"/>
      <c r="P238" s="29"/>
      <c r="Q238" s="29"/>
      <c r="R238" s="29"/>
      <c r="S238" s="181"/>
      <c r="T238" s="88" t="str">
        <f ca="1" t="shared" si="1"/>
        <v/>
      </c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</row>
    <row r="239" ht="15.75" customHeight="1" spans="1:45">
      <c r="A239" s="29"/>
      <c r="B239" s="29"/>
      <c r="C239" s="29"/>
      <c r="D239" s="29"/>
      <c r="E239" s="29"/>
      <c r="F239" s="29"/>
      <c r="G239" s="29"/>
      <c r="H239" s="29"/>
      <c r="I239" s="27" t="str">
        <f t="shared" si="0"/>
        <v/>
      </c>
      <c r="J239" s="29"/>
      <c r="K239" s="29"/>
      <c r="L239" s="29"/>
      <c r="M239" s="29"/>
      <c r="N239" s="29"/>
      <c r="O239" s="29"/>
      <c r="P239" s="29"/>
      <c r="Q239" s="29"/>
      <c r="R239" s="29"/>
      <c r="S239" s="181"/>
      <c r="T239" s="88" t="str">
        <f ca="1" t="shared" si="1"/>
        <v/>
      </c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</row>
    <row r="240" ht="15.75" customHeight="1" spans="1:45">
      <c r="A240" s="29"/>
      <c r="B240" s="29"/>
      <c r="C240" s="29"/>
      <c r="D240" s="29"/>
      <c r="E240" s="29"/>
      <c r="F240" s="29"/>
      <c r="G240" s="29"/>
      <c r="H240" s="29"/>
      <c r="I240" s="27" t="str">
        <f t="shared" si="0"/>
        <v/>
      </c>
      <c r="J240" s="29"/>
      <c r="K240" s="29"/>
      <c r="L240" s="29"/>
      <c r="M240" s="29"/>
      <c r="N240" s="29"/>
      <c r="O240" s="29"/>
      <c r="P240" s="29"/>
      <c r="Q240" s="29"/>
      <c r="R240" s="29"/>
      <c r="S240" s="181"/>
      <c r="T240" s="88" t="str">
        <f ca="1" t="shared" si="1"/>
        <v/>
      </c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</row>
    <row r="241" ht="15.75" customHeight="1" spans="1:45">
      <c r="A241" s="29"/>
      <c r="B241" s="29"/>
      <c r="C241" s="29"/>
      <c r="D241" s="29"/>
      <c r="E241" s="29"/>
      <c r="F241" s="29"/>
      <c r="G241" s="29"/>
      <c r="H241" s="29"/>
      <c r="I241" s="27" t="str">
        <f t="shared" si="0"/>
        <v/>
      </c>
      <c r="J241" s="29"/>
      <c r="K241" s="29"/>
      <c r="L241" s="29"/>
      <c r="M241" s="29"/>
      <c r="N241" s="29"/>
      <c r="O241" s="29"/>
      <c r="P241" s="29"/>
      <c r="Q241" s="29"/>
      <c r="R241" s="29"/>
      <c r="S241" s="181"/>
      <c r="T241" s="88" t="str">
        <f ca="1" t="shared" si="1"/>
        <v/>
      </c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</row>
    <row r="242" ht="15.75" customHeight="1" spans="1:45">
      <c r="A242" s="29"/>
      <c r="B242" s="29"/>
      <c r="C242" s="29"/>
      <c r="D242" s="29"/>
      <c r="E242" s="29"/>
      <c r="F242" s="29"/>
      <c r="G242" s="29"/>
      <c r="H242" s="29"/>
      <c r="I242" s="27" t="str">
        <f t="shared" si="0"/>
        <v/>
      </c>
      <c r="J242" s="29"/>
      <c r="K242" s="29"/>
      <c r="L242" s="29"/>
      <c r="M242" s="29"/>
      <c r="N242" s="29"/>
      <c r="O242" s="29"/>
      <c r="P242" s="29"/>
      <c r="Q242" s="29"/>
      <c r="R242" s="29"/>
      <c r="S242" s="181"/>
      <c r="T242" s="88" t="str">
        <f ca="1" t="shared" si="1"/>
        <v/>
      </c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</row>
    <row r="243" ht="15.75" customHeight="1" spans="1:45">
      <c r="A243" s="29"/>
      <c r="B243" s="29"/>
      <c r="C243" s="29"/>
      <c r="D243" s="29"/>
      <c r="E243" s="29"/>
      <c r="F243" s="29"/>
      <c r="G243" s="29"/>
      <c r="H243" s="29"/>
      <c r="I243" s="27" t="str">
        <f t="shared" si="0"/>
        <v/>
      </c>
      <c r="J243" s="29"/>
      <c r="K243" s="29"/>
      <c r="L243" s="29"/>
      <c r="M243" s="29"/>
      <c r="N243" s="29"/>
      <c r="O243" s="29"/>
      <c r="P243" s="29"/>
      <c r="Q243" s="29"/>
      <c r="R243" s="29"/>
      <c r="S243" s="181"/>
      <c r="T243" s="88" t="str">
        <f ca="1" t="shared" si="1"/>
        <v/>
      </c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</row>
    <row r="244" ht="15.75" customHeight="1" spans="1:45">
      <c r="A244" s="29"/>
      <c r="B244" s="29"/>
      <c r="C244" s="29"/>
      <c r="D244" s="29"/>
      <c r="E244" s="29"/>
      <c r="F244" s="29"/>
      <c r="G244" s="29"/>
      <c r="H244" s="29"/>
      <c r="I244" s="27" t="str">
        <f t="shared" si="0"/>
        <v/>
      </c>
      <c r="J244" s="29"/>
      <c r="K244" s="29"/>
      <c r="L244" s="29"/>
      <c r="M244" s="29"/>
      <c r="N244" s="29"/>
      <c r="O244" s="29"/>
      <c r="P244" s="29"/>
      <c r="Q244" s="29"/>
      <c r="R244" s="29"/>
      <c r="S244" s="181"/>
      <c r="T244" s="88" t="str">
        <f ca="1" t="shared" si="1"/>
        <v/>
      </c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</row>
    <row r="245" ht="15.75" customHeight="1" spans="1:45">
      <c r="A245" s="29"/>
      <c r="B245" s="29"/>
      <c r="C245" s="29"/>
      <c r="D245" s="29"/>
      <c r="E245" s="29"/>
      <c r="F245" s="29"/>
      <c r="G245" s="29"/>
      <c r="H245" s="29"/>
      <c r="I245" s="27" t="str">
        <f t="shared" si="0"/>
        <v/>
      </c>
      <c r="J245" s="29"/>
      <c r="K245" s="29"/>
      <c r="L245" s="29"/>
      <c r="M245" s="29"/>
      <c r="N245" s="29"/>
      <c r="O245" s="29"/>
      <c r="P245" s="29"/>
      <c r="Q245" s="29"/>
      <c r="R245" s="29"/>
      <c r="S245" s="181"/>
      <c r="T245" s="88" t="str">
        <f ca="1" t="shared" si="1"/>
        <v/>
      </c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</row>
    <row r="246" ht="15.75" customHeight="1" spans="1:45">
      <c r="A246" s="29"/>
      <c r="B246" s="29"/>
      <c r="C246" s="29"/>
      <c r="D246" s="29"/>
      <c r="E246" s="29"/>
      <c r="F246" s="29"/>
      <c r="G246" s="29"/>
      <c r="H246" s="29"/>
      <c r="I246" s="27" t="str">
        <f t="shared" si="0"/>
        <v/>
      </c>
      <c r="J246" s="29"/>
      <c r="K246" s="29"/>
      <c r="L246" s="29"/>
      <c r="M246" s="29"/>
      <c r="N246" s="29"/>
      <c r="O246" s="29"/>
      <c r="P246" s="29"/>
      <c r="Q246" s="29"/>
      <c r="R246" s="29"/>
      <c r="S246" s="181"/>
      <c r="T246" s="88" t="str">
        <f ca="1" t="shared" si="1"/>
        <v/>
      </c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</row>
    <row r="247" ht="15.75" customHeight="1" spans="1:45">
      <c r="A247" s="29"/>
      <c r="B247" s="29"/>
      <c r="C247" s="29"/>
      <c r="D247" s="29"/>
      <c r="E247" s="29"/>
      <c r="F247" s="29"/>
      <c r="G247" s="29"/>
      <c r="H247" s="29"/>
      <c r="I247" s="27" t="str">
        <f t="shared" si="0"/>
        <v/>
      </c>
      <c r="J247" s="29"/>
      <c r="K247" s="29"/>
      <c r="L247" s="29"/>
      <c r="M247" s="29"/>
      <c r="N247" s="29"/>
      <c r="O247" s="29"/>
      <c r="P247" s="29"/>
      <c r="Q247" s="29"/>
      <c r="R247" s="29"/>
      <c r="S247" s="181"/>
      <c r="T247" s="88" t="str">
        <f ca="1" t="shared" si="1"/>
        <v/>
      </c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</row>
    <row r="248" ht="15.75" customHeight="1" spans="1:45">
      <c r="A248" s="29"/>
      <c r="B248" s="29"/>
      <c r="C248" s="29"/>
      <c r="D248" s="29"/>
      <c r="E248" s="29"/>
      <c r="F248" s="29"/>
      <c r="G248" s="29"/>
      <c r="H248" s="29"/>
      <c r="I248" s="27" t="str">
        <f t="shared" si="0"/>
        <v/>
      </c>
      <c r="J248" s="29"/>
      <c r="K248" s="29"/>
      <c r="L248" s="29"/>
      <c r="M248" s="29"/>
      <c r="N248" s="29"/>
      <c r="O248" s="29"/>
      <c r="P248" s="29"/>
      <c r="Q248" s="29"/>
      <c r="R248" s="29"/>
      <c r="S248" s="181"/>
      <c r="T248" s="88" t="str">
        <f ca="1" t="shared" si="1"/>
        <v/>
      </c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</row>
    <row r="249" ht="15.75" customHeight="1" spans="1:45">
      <c r="A249" s="29"/>
      <c r="B249" s="29"/>
      <c r="C249" s="29"/>
      <c r="D249" s="29"/>
      <c r="E249" s="29"/>
      <c r="F249" s="29"/>
      <c r="G249" s="29"/>
      <c r="H249" s="29"/>
      <c r="I249" s="27" t="str">
        <f t="shared" si="0"/>
        <v/>
      </c>
      <c r="J249" s="29"/>
      <c r="K249" s="29"/>
      <c r="L249" s="29"/>
      <c r="M249" s="29"/>
      <c r="N249" s="29"/>
      <c r="O249" s="29"/>
      <c r="P249" s="29"/>
      <c r="Q249" s="29"/>
      <c r="R249" s="29"/>
      <c r="S249" s="181"/>
      <c r="T249" s="88" t="str">
        <f ca="1" t="shared" si="1"/>
        <v/>
      </c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</row>
    <row r="250" ht="15.75" customHeight="1" spans="1:45">
      <c r="A250" s="29"/>
      <c r="B250" s="29"/>
      <c r="C250" s="29"/>
      <c r="D250" s="29"/>
      <c r="E250" s="29"/>
      <c r="F250" s="29"/>
      <c r="G250" s="29"/>
      <c r="H250" s="29"/>
      <c r="I250" s="27" t="str">
        <f t="shared" si="0"/>
        <v/>
      </c>
      <c r="J250" s="29"/>
      <c r="K250" s="29"/>
      <c r="L250" s="29"/>
      <c r="M250" s="29"/>
      <c r="N250" s="29"/>
      <c r="O250" s="29"/>
      <c r="P250" s="29"/>
      <c r="Q250" s="29"/>
      <c r="R250" s="29"/>
      <c r="S250" s="181"/>
      <c r="T250" s="88" t="str">
        <f ca="1" t="shared" si="1"/>
        <v/>
      </c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</row>
    <row r="251" ht="15.75" customHeight="1" spans="1:45">
      <c r="A251" s="29"/>
      <c r="B251" s="29"/>
      <c r="C251" s="29"/>
      <c r="D251" s="29"/>
      <c r="E251" s="29"/>
      <c r="F251" s="29"/>
      <c r="G251" s="29"/>
      <c r="H251" s="29"/>
      <c r="I251" s="27" t="str">
        <f t="shared" si="0"/>
        <v/>
      </c>
      <c r="J251" s="29"/>
      <c r="K251" s="29"/>
      <c r="L251" s="29"/>
      <c r="M251" s="29"/>
      <c r="N251" s="29"/>
      <c r="O251" s="29"/>
      <c r="P251" s="29"/>
      <c r="Q251" s="29"/>
      <c r="R251" s="29"/>
      <c r="S251" s="181"/>
      <c r="T251" s="88" t="str">
        <f ca="1" t="shared" si="1"/>
        <v/>
      </c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</row>
    <row r="252" ht="15.75" customHeight="1" spans="1:45">
      <c r="A252" s="29"/>
      <c r="B252" s="29"/>
      <c r="C252" s="29"/>
      <c r="D252" s="29"/>
      <c r="E252" s="29"/>
      <c r="F252" s="29"/>
      <c r="G252" s="29"/>
      <c r="H252" s="29"/>
      <c r="I252" s="27" t="str">
        <f t="shared" si="0"/>
        <v/>
      </c>
      <c r="J252" s="29"/>
      <c r="K252" s="29"/>
      <c r="L252" s="29"/>
      <c r="M252" s="29"/>
      <c r="N252" s="29"/>
      <c r="O252" s="29"/>
      <c r="P252" s="29"/>
      <c r="Q252" s="29"/>
      <c r="R252" s="29"/>
      <c r="S252" s="181"/>
      <c r="T252" s="88" t="str">
        <f ca="1" t="shared" si="1"/>
        <v/>
      </c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</row>
    <row r="253" ht="15.75" customHeight="1" spans="1:45">
      <c r="A253" s="29"/>
      <c r="B253" s="29"/>
      <c r="C253" s="29"/>
      <c r="D253" s="29"/>
      <c r="E253" s="29"/>
      <c r="F253" s="29"/>
      <c r="G253" s="29"/>
      <c r="H253" s="29"/>
      <c r="I253" s="27" t="str">
        <f t="shared" si="0"/>
        <v/>
      </c>
      <c r="J253" s="29"/>
      <c r="K253" s="29"/>
      <c r="L253" s="29"/>
      <c r="M253" s="29"/>
      <c r="N253" s="29"/>
      <c r="O253" s="29"/>
      <c r="P253" s="29"/>
      <c r="Q253" s="29"/>
      <c r="R253" s="29"/>
      <c r="S253" s="181"/>
      <c r="T253" s="88" t="str">
        <f ca="1" t="shared" si="1"/>
        <v/>
      </c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</row>
    <row r="254" ht="15.75" customHeight="1" spans="1:45">
      <c r="A254" s="29"/>
      <c r="B254" s="29"/>
      <c r="C254" s="29"/>
      <c r="D254" s="29"/>
      <c r="E254" s="29"/>
      <c r="F254" s="29"/>
      <c r="G254" s="29"/>
      <c r="H254" s="29"/>
      <c r="I254" s="27" t="str">
        <f t="shared" si="0"/>
        <v/>
      </c>
      <c r="J254" s="29"/>
      <c r="K254" s="29"/>
      <c r="L254" s="29"/>
      <c r="M254" s="29"/>
      <c r="N254" s="29"/>
      <c r="O254" s="29"/>
      <c r="P254" s="29"/>
      <c r="Q254" s="29"/>
      <c r="R254" s="29"/>
      <c r="S254" s="181"/>
      <c r="T254" s="88" t="str">
        <f ca="1" t="shared" si="1"/>
        <v/>
      </c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</row>
    <row r="255" ht="15.75" customHeight="1" spans="1:45">
      <c r="A255" s="29"/>
      <c r="B255" s="29"/>
      <c r="C255" s="29"/>
      <c r="D255" s="29"/>
      <c r="E255" s="29"/>
      <c r="F255" s="29"/>
      <c r="G255" s="29"/>
      <c r="H255" s="29"/>
      <c r="I255" s="27" t="str">
        <f t="shared" si="0"/>
        <v/>
      </c>
      <c r="J255" s="29"/>
      <c r="K255" s="29"/>
      <c r="L255" s="29"/>
      <c r="M255" s="29"/>
      <c r="N255" s="29"/>
      <c r="O255" s="29"/>
      <c r="P255" s="29"/>
      <c r="Q255" s="29"/>
      <c r="R255" s="29"/>
      <c r="S255" s="181"/>
      <c r="T255" s="88" t="str">
        <f ca="1" t="shared" si="1"/>
        <v/>
      </c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</row>
    <row r="256" ht="15.75" customHeight="1" spans="1:45">
      <c r="A256" s="29"/>
      <c r="B256" s="29"/>
      <c r="C256" s="29"/>
      <c r="D256" s="29"/>
      <c r="E256" s="29"/>
      <c r="F256" s="29"/>
      <c r="G256" s="29"/>
      <c r="H256" s="29"/>
      <c r="I256" s="27" t="str">
        <f t="shared" si="0"/>
        <v/>
      </c>
      <c r="J256" s="29"/>
      <c r="K256" s="29"/>
      <c r="L256" s="29"/>
      <c r="M256" s="29"/>
      <c r="N256" s="29"/>
      <c r="O256" s="29"/>
      <c r="P256" s="29"/>
      <c r="Q256" s="29"/>
      <c r="R256" s="29"/>
      <c r="S256" s="181"/>
      <c r="T256" s="88" t="str">
        <f ca="1" t="shared" si="1"/>
        <v/>
      </c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</row>
    <row r="257" ht="15.75" customHeight="1" spans="1:45">
      <c r="A257" s="29"/>
      <c r="B257" s="29"/>
      <c r="C257" s="29"/>
      <c r="D257" s="29"/>
      <c r="E257" s="29"/>
      <c r="F257" s="29"/>
      <c r="G257" s="29"/>
      <c r="H257" s="29"/>
      <c r="I257" s="27" t="str">
        <f t="shared" si="0"/>
        <v/>
      </c>
      <c r="J257" s="29"/>
      <c r="K257" s="29"/>
      <c r="L257" s="29"/>
      <c r="M257" s="29"/>
      <c r="N257" s="29"/>
      <c r="O257" s="29"/>
      <c r="P257" s="29"/>
      <c r="Q257" s="29"/>
      <c r="R257" s="29"/>
      <c r="S257" s="181"/>
      <c r="T257" s="88" t="str">
        <f ca="1" t="shared" si="1"/>
        <v/>
      </c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</row>
    <row r="258" ht="15.75" customHeight="1" spans="1:45">
      <c r="A258" s="29"/>
      <c r="B258" s="29"/>
      <c r="C258" s="29"/>
      <c r="D258" s="29"/>
      <c r="E258" s="29"/>
      <c r="F258" s="29"/>
      <c r="G258" s="29"/>
      <c r="H258" s="29"/>
      <c r="I258" s="27" t="str">
        <f t="shared" si="0"/>
        <v/>
      </c>
      <c r="J258" s="29"/>
      <c r="K258" s="29"/>
      <c r="L258" s="29"/>
      <c r="M258" s="29"/>
      <c r="N258" s="29"/>
      <c r="O258" s="29"/>
      <c r="P258" s="29"/>
      <c r="Q258" s="29"/>
      <c r="R258" s="29"/>
      <c r="S258" s="181"/>
      <c r="T258" s="88" t="str">
        <f ca="1" t="shared" si="1"/>
        <v/>
      </c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</row>
    <row r="259" ht="15.75" customHeight="1" spans="1:45">
      <c r="A259" s="29"/>
      <c r="B259" s="29"/>
      <c r="C259" s="29"/>
      <c r="D259" s="29"/>
      <c r="E259" s="29"/>
      <c r="F259" s="29"/>
      <c r="G259" s="29"/>
      <c r="H259" s="29"/>
      <c r="I259" s="27" t="str">
        <f t="shared" si="0"/>
        <v/>
      </c>
      <c r="J259" s="29"/>
      <c r="K259" s="29"/>
      <c r="L259" s="29"/>
      <c r="M259" s="29"/>
      <c r="N259" s="29"/>
      <c r="O259" s="29"/>
      <c r="P259" s="29"/>
      <c r="Q259" s="29"/>
      <c r="R259" s="29"/>
      <c r="S259" s="181"/>
      <c r="T259" s="88" t="str">
        <f ca="1" t="shared" si="1"/>
        <v/>
      </c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</row>
    <row r="260" ht="15.75" customHeight="1" spans="1:45">
      <c r="A260" s="29"/>
      <c r="B260" s="29"/>
      <c r="C260" s="29"/>
      <c r="D260" s="29"/>
      <c r="E260" s="29"/>
      <c r="F260" s="29"/>
      <c r="G260" s="29"/>
      <c r="H260" s="29"/>
      <c r="I260" s="27" t="str">
        <f t="shared" si="0"/>
        <v/>
      </c>
      <c r="J260" s="29"/>
      <c r="K260" s="29"/>
      <c r="L260" s="29"/>
      <c r="M260" s="29"/>
      <c r="N260" s="29"/>
      <c r="O260" s="29"/>
      <c r="P260" s="29"/>
      <c r="Q260" s="29"/>
      <c r="R260" s="29"/>
      <c r="S260" s="181"/>
      <c r="T260" s="88" t="str">
        <f ca="1" t="shared" si="1"/>
        <v/>
      </c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</row>
    <row r="261" ht="15.75" customHeight="1" spans="1:45">
      <c r="A261" s="29"/>
      <c r="B261" s="29"/>
      <c r="C261" s="29"/>
      <c r="D261" s="29"/>
      <c r="E261" s="29"/>
      <c r="F261" s="29"/>
      <c r="G261" s="29"/>
      <c r="H261" s="29"/>
      <c r="I261" s="27" t="str">
        <f t="shared" si="0"/>
        <v/>
      </c>
      <c r="J261" s="29"/>
      <c r="K261" s="29"/>
      <c r="L261" s="29"/>
      <c r="M261" s="29"/>
      <c r="N261" s="29"/>
      <c r="O261" s="29"/>
      <c r="P261" s="29"/>
      <c r="Q261" s="29"/>
      <c r="R261" s="29"/>
      <c r="S261" s="181"/>
      <c r="T261" s="88" t="str">
        <f ca="1" t="shared" si="1"/>
        <v/>
      </c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</row>
    <row r="262" ht="15.75" customHeight="1" spans="1:45">
      <c r="A262" s="29"/>
      <c r="B262" s="29"/>
      <c r="C262" s="29"/>
      <c r="D262" s="29"/>
      <c r="E262" s="29"/>
      <c r="F262" s="29"/>
      <c r="G262" s="29"/>
      <c r="H262" s="29"/>
      <c r="I262" s="27" t="str">
        <f t="shared" si="0"/>
        <v/>
      </c>
      <c r="J262" s="29"/>
      <c r="K262" s="29"/>
      <c r="L262" s="29"/>
      <c r="M262" s="29"/>
      <c r="N262" s="29"/>
      <c r="O262" s="29"/>
      <c r="P262" s="29"/>
      <c r="Q262" s="29"/>
      <c r="R262" s="29"/>
      <c r="S262" s="181"/>
      <c r="T262" s="88" t="str">
        <f ca="1" t="shared" si="1"/>
        <v/>
      </c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</row>
    <row r="263" ht="15.75" customHeight="1" spans="1:45">
      <c r="A263" s="29"/>
      <c r="B263" s="29"/>
      <c r="C263" s="29"/>
      <c r="D263" s="29"/>
      <c r="E263" s="29"/>
      <c r="F263" s="29"/>
      <c r="G263" s="29"/>
      <c r="H263" s="29"/>
      <c r="I263" s="27" t="str">
        <f t="shared" si="0"/>
        <v/>
      </c>
      <c r="J263" s="29"/>
      <c r="K263" s="29"/>
      <c r="L263" s="29"/>
      <c r="M263" s="29"/>
      <c r="N263" s="29"/>
      <c r="O263" s="29"/>
      <c r="P263" s="29"/>
      <c r="Q263" s="29"/>
      <c r="R263" s="29"/>
      <c r="S263" s="181"/>
      <c r="T263" s="88" t="str">
        <f ca="1" t="shared" si="1"/>
        <v/>
      </c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</row>
    <row r="264" ht="15.75" customHeight="1" spans="1:45">
      <c r="A264" s="29"/>
      <c r="B264" s="29"/>
      <c r="C264" s="29"/>
      <c r="D264" s="29"/>
      <c r="E264" s="29"/>
      <c r="F264" s="29"/>
      <c r="G264" s="29"/>
      <c r="H264" s="29"/>
      <c r="I264" s="27" t="str">
        <f t="shared" si="0"/>
        <v/>
      </c>
      <c r="J264" s="29"/>
      <c r="K264" s="29"/>
      <c r="L264" s="29"/>
      <c r="M264" s="29"/>
      <c r="N264" s="29"/>
      <c r="O264" s="29"/>
      <c r="P264" s="29"/>
      <c r="Q264" s="29"/>
      <c r="R264" s="29"/>
      <c r="S264" s="181"/>
      <c r="T264" s="88" t="str">
        <f ca="1" t="shared" si="1"/>
        <v/>
      </c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</row>
    <row r="265" ht="15.75" customHeight="1" spans="1:45">
      <c r="A265" s="29"/>
      <c r="B265" s="29"/>
      <c r="C265" s="29"/>
      <c r="D265" s="29"/>
      <c r="E265" s="29"/>
      <c r="F265" s="29"/>
      <c r="G265" s="29"/>
      <c r="H265" s="29"/>
      <c r="I265" s="27" t="str">
        <f t="shared" si="0"/>
        <v/>
      </c>
      <c r="J265" s="29"/>
      <c r="K265" s="29"/>
      <c r="L265" s="29"/>
      <c r="M265" s="29"/>
      <c r="N265" s="29"/>
      <c r="O265" s="29"/>
      <c r="P265" s="29"/>
      <c r="Q265" s="29"/>
      <c r="R265" s="29"/>
      <c r="S265" s="181"/>
      <c r="T265" s="88" t="str">
        <f ca="1" t="shared" si="1"/>
        <v/>
      </c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</row>
    <row r="266" ht="15.75" customHeight="1" spans="1:45">
      <c r="A266" s="29"/>
      <c r="B266" s="29"/>
      <c r="C266" s="29"/>
      <c r="D266" s="29"/>
      <c r="E266" s="29"/>
      <c r="F266" s="29"/>
      <c r="G266" s="29"/>
      <c r="H266" s="29"/>
      <c r="I266" s="27" t="str">
        <f t="shared" si="0"/>
        <v/>
      </c>
      <c r="J266" s="29"/>
      <c r="K266" s="29"/>
      <c r="L266" s="29"/>
      <c r="M266" s="29"/>
      <c r="N266" s="29"/>
      <c r="O266" s="29"/>
      <c r="P266" s="29"/>
      <c r="Q266" s="29"/>
      <c r="R266" s="29"/>
      <c r="S266" s="181"/>
      <c r="T266" s="88" t="str">
        <f ca="1" t="shared" si="1"/>
        <v/>
      </c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</row>
    <row r="267" ht="15.75" customHeight="1" spans="1:45">
      <c r="A267" s="29"/>
      <c r="B267" s="29"/>
      <c r="C267" s="29"/>
      <c r="D267" s="29"/>
      <c r="E267" s="29"/>
      <c r="F267" s="29"/>
      <c r="G267" s="29"/>
      <c r="H267" s="29"/>
      <c r="I267" s="27" t="str">
        <f t="shared" si="0"/>
        <v/>
      </c>
      <c r="J267" s="29"/>
      <c r="K267" s="29"/>
      <c r="L267" s="29"/>
      <c r="M267" s="29"/>
      <c r="N267" s="29"/>
      <c r="O267" s="29"/>
      <c r="P267" s="29"/>
      <c r="Q267" s="29"/>
      <c r="R267" s="29"/>
      <c r="S267" s="181"/>
      <c r="T267" s="88" t="str">
        <f ca="1" t="shared" si="1"/>
        <v/>
      </c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</row>
    <row r="268" ht="15.75" customHeight="1" spans="1:45">
      <c r="A268" s="29"/>
      <c r="B268" s="29"/>
      <c r="C268" s="29"/>
      <c r="D268" s="29"/>
      <c r="E268" s="29"/>
      <c r="F268" s="29"/>
      <c r="G268" s="29"/>
      <c r="H268" s="29"/>
      <c r="I268" s="27" t="str">
        <f t="shared" si="0"/>
        <v/>
      </c>
      <c r="J268" s="29"/>
      <c r="K268" s="29"/>
      <c r="L268" s="29"/>
      <c r="M268" s="29"/>
      <c r="N268" s="29"/>
      <c r="O268" s="29"/>
      <c r="P268" s="29"/>
      <c r="Q268" s="29"/>
      <c r="R268" s="29"/>
      <c r="S268" s="181"/>
      <c r="T268" s="88" t="str">
        <f ca="1" t="shared" si="1"/>
        <v/>
      </c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</row>
    <row r="269" ht="15.75" customHeight="1" spans="1:45">
      <c r="A269" s="29"/>
      <c r="B269" s="29"/>
      <c r="C269" s="29"/>
      <c r="D269" s="29"/>
      <c r="E269" s="29"/>
      <c r="F269" s="29"/>
      <c r="G269" s="29"/>
      <c r="H269" s="29"/>
      <c r="I269" s="27" t="str">
        <f t="shared" si="0"/>
        <v/>
      </c>
      <c r="J269" s="29"/>
      <c r="K269" s="29"/>
      <c r="L269" s="29"/>
      <c r="M269" s="29"/>
      <c r="N269" s="29"/>
      <c r="O269" s="29"/>
      <c r="P269" s="29"/>
      <c r="Q269" s="29"/>
      <c r="R269" s="29"/>
      <c r="S269" s="181"/>
      <c r="T269" s="88" t="str">
        <f ca="1" t="shared" si="1"/>
        <v/>
      </c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</row>
    <row r="270" ht="15.75" customHeight="1" spans="1:45">
      <c r="A270" s="29"/>
      <c r="B270" s="29"/>
      <c r="C270" s="29"/>
      <c r="D270" s="29"/>
      <c r="E270" s="29"/>
      <c r="F270" s="29"/>
      <c r="G270" s="29"/>
      <c r="H270" s="29"/>
      <c r="I270" s="27" t="str">
        <f t="shared" si="0"/>
        <v/>
      </c>
      <c r="J270" s="29"/>
      <c r="K270" s="29"/>
      <c r="L270" s="29"/>
      <c r="M270" s="29"/>
      <c r="N270" s="29"/>
      <c r="O270" s="29"/>
      <c r="P270" s="29"/>
      <c r="Q270" s="29"/>
      <c r="R270" s="29"/>
      <c r="S270" s="181"/>
      <c r="T270" s="88" t="str">
        <f ca="1" t="shared" si="1"/>
        <v/>
      </c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</row>
    <row r="271" ht="15.75" customHeight="1" spans="1:45">
      <c r="A271" s="29"/>
      <c r="B271" s="29"/>
      <c r="C271" s="29"/>
      <c r="D271" s="29"/>
      <c r="E271" s="29"/>
      <c r="F271" s="29"/>
      <c r="G271" s="29"/>
      <c r="H271" s="29"/>
      <c r="I271" s="27" t="str">
        <f t="shared" si="0"/>
        <v/>
      </c>
      <c r="J271" s="29"/>
      <c r="K271" s="29"/>
      <c r="L271" s="29"/>
      <c r="M271" s="29"/>
      <c r="N271" s="29"/>
      <c r="O271" s="29"/>
      <c r="P271" s="29"/>
      <c r="Q271" s="29"/>
      <c r="R271" s="29"/>
      <c r="S271" s="181"/>
      <c r="T271" s="88" t="str">
        <f ca="1" t="shared" si="1"/>
        <v/>
      </c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</row>
    <row r="272" ht="15.75" customHeight="1" spans="1:45">
      <c r="A272" s="29"/>
      <c r="B272" s="29"/>
      <c r="C272" s="29"/>
      <c r="D272" s="29"/>
      <c r="E272" s="29"/>
      <c r="F272" s="29"/>
      <c r="G272" s="29"/>
      <c r="H272" s="29"/>
      <c r="I272" s="27" t="str">
        <f t="shared" si="0"/>
        <v/>
      </c>
      <c r="J272" s="29"/>
      <c r="K272" s="29"/>
      <c r="L272" s="29"/>
      <c r="M272" s="29"/>
      <c r="N272" s="29"/>
      <c r="O272" s="29"/>
      <c r="P272" s="29"/>
      <c r="Q272" s="29"/>
      <c r="R272" s="29"/>
      <c r="S272" s="181"/>
      <c r="T272" s="88" t="str">
        <f ca="1" t="shared" si="1"/>
        <v/>
      </c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</row>
    <row r="273" ht="15.75" customHeight="1" spans="1:45">
      <c r="A273" s="29"/>
      <c r="B273" s="29"/>
      <c r="C273" s="29"/>
      <c r="D273" s="29"/>
      <c r="E273" s="29"/>
      <c r="F273" s="29"/>
      <c r="G273" s="29"/>
      <c r="H273" s="29"/>
      <c r="I273" s="27" t="str">
        <f t="shared" si="0"/>
        <v/>
      </c>
      <c r="J273" s="29"/>
      <c r="K273" s="29"/>
      <c r="L273" s="29"/>
      <c r="M273" s="29"/>
      <c r="N273" s="29"/>
      <c r="O273" s="29"/>
      <c r="P273" s="29"/>
      <c r="Q273" s="29"/>
      <c r="R273" s="29"/>
      <c r="S273" s="181"/>
      <c r="T273" s="88" t="str">
        <f ca="1" t="shared" si="1"/>
        <v/>
      </c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</row>
    <row r="274" ht="15.75" customHeight="1" spans="1:45">
      <c r="A274" s="29"/>
      <c r="B274" s="29"/>
      <c r="C274" s="29"/>
      <c r="D274" s="29"/>
      <c r="E274" s="29"/>
      <c r="F274" s="29"/>
      <c r="G274" s="29"/>
      <c r="H274" s="29"/>
      <c r="I274" s="27" t="str">
        <f t="shared" si="0"/>
        <v/>
      </c>
      <c r="J274" s="29"/>
      <c r="K274" s="29"/>
      <c r="L274" s="29"/>
      <c r="M274" s="29"/>
      <c r="N274" s="29"/>
      <c r="O274" s="29"/>
      <c r="P274" s="29"/>
      <c r="Q274" s="29"/>
      <c r="R274" s="29"/>
      <c r="S274" s="181"/>
      <c r="T274" s="88" t="str">
        <f ca="1" t="shared" si="1"/>
        <v/>
      </c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</row>
    <row r="275" ht="15.75" customHeight="1" spans="1:45">
      <c r="A275" s="29"/>
      <c r="B275" s="29"/>
      <c r="C275" s="29"/>
      <c r="D275" s="29"/>
      <c r="E275" s="29"/>
      <c r="F275" s="29"/>
      <c r="G275" s="29"/>
      <c r="H275" s="29"/>
      <c r="I275" s="27" t="str">
        <f t="shared" si="0"/>
        <v/>
      </c>
      <c r="J275" s="29"/>
      <c r="K275" s="29"/>
      <c r="L275" s="29"/>
      <c r="M275" s="29"/>
      <c r="N275" s="29"/>
      <c r="O275" s="29"/>
      <c r="P275" s="29"/>
      <c r="Q275" s="29"/>
      <c r="R275" s="29"/>
      <c r="S275" s="181"/>
      <c r="T275" s="88" t="str">
        <f ca="1" t="shared" si="1"/>
        <v/>
      </c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</row>
    <row r="276" ht="15.75" customHeight="1" spans="1:45">
      <c r="A276" s="29"/>
      <c r="B276" s="29"/>
      <c r="C276" s="29"/>
      <c r="D276" s="29"/>
      <c r="E276" s="29"/>
      <c r="F276" s="29"/>
      <c r="G276" s="29"/>
      <c r="H276" s="29"/>
      <c r="I276" s="27" t="str">
        <f t="shared" si="0"/>
        <v/>
      </c>
      <c r="J276" s="29"/>
      <c r="K276" s="29"/>
      <c r="L276" s="29"/>
      <c r="M276" s="29"/>
      <c r="N276" s="29"/>
      <c r="O276" s="29"/>
      <c r="P276" s="29"/>
      <c r="Q276" s="29"/>
      <c r="R276" s="29"/>
      <c r="S276" s="181"/>
      <c r="T276" s="88" t="str">
        <f ca="1" t="shared" si="1"/>
        <v/>
      </c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</row>
    <row r="277" ht="15.75" customHeight="1" spans="1:45">
      <c r="A277" s="29"/>
      <c r="B277" s="29"/>
      <c r="C277" s="29"/>
      <c r="D277" s="29"/>
      <c r="E277" s="29"/>
      <c r="F277" s="29"/>
      <c r="G277" s="29"/>
      <c r="H277" s="29"/>
      <c r="I277" s="27" t="str">
        <f t="shared" si="0"/>
        <v/>
      </c>
      <c r="J277" s="29"/>
      <c r="K277" s="29"/>
      <c r="L277" s="29"/>
      <c r="M277" s="29"/>
      <c r="N277" s="29"/>
      <c r="O277" s="29"/>
      <c r="P277" s="29"/>
      <c r="Q277" s="29"/>
      <c r="R277" s="29"/>
      <c r="S277" s="181"/>
      <c r="T277" s="88" t="str">
        <f ca="1" t="shared" si="1"/>
        <v/>
      </c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</row>
    <row r="278" ht="15.75" customHeight="1" spans="1:45">
      <c r="A278" s="29"/>
      <c r="B278" s="29"/>
      <c r="C278" s="29"/>
      <c r="D278" s="29"/>
      <c r="E278" s="29"/>
      <c r="F278" s="29"/>
      <c r="G278" s="29"/>
      <c r="H278" s="29"/>
      <c r="I278" s="27" t="str">
        <f t="shared" si="0"/>
        <v/>
      </c>
      <c r="J278" s="29"/>
      <c r="K278" s="29"/>
      <c r="L278" s="29"/>
      <c r="M278" s="29"/>
      <c r="N278" s="29"/>
      <c r="O278" s="29"/>
      <c r="P278" s="29"/>
      <c r="Q278" s="29"/>
      <c r="R278" s="29"/>
      <c r="S278" s="181"/>
      <c r="T278" s="88" t="str">
        <f ca="1" t="shared" si="1"/>
        <v/>
      </c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</row>
    <row r="279" ht="15.75" customHeight="1" spans="1:45">
      <c r="A279" s="29"/>
      <c r="B279" s="29"/>
      <c r="C279" s="29"/>
      <c r="D279" s="29"/>
      <c r="E279" s="29"/>
      <c r="F279" s="29"/>
      <c r="G279" s="29"/>
      <c r="H279" s="29"/>
      <c r="I279" s="27" t="str">
        <f t="shared" si="0"/>
        <v/>
      </c>
      <c r="J279" s="29"/>
      <c r="K279" s="29"/>
      <c r="L279" s="29"/>
      <c r="M279" s="29"/>
      <c r="N279" s="29"/>
      <c r="O279" s="29"/>
      <c r="P279" s="29"/>
      <c r="Q279" s="29"/>
      <c r="R279" s="29"/>
      <c r="S279" s="181"/>
      <c r="T279" s="88" t="str">
        <f ca="1" t="shared" si="1"/>
        <v/>
      </c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</row>
    <row r="280" ht="15.75" customHeight="1" spans="1:45">
      <c r="A280" s="29"/>
      <c r="B280" s="29"/>
      <c r="C280" s="29"/>
      <c r="D280" s="29"/>
      <c r="E280" s="29"/>
      <c r="F280" s="29"/>
      <c r="G280" s="29"/>
      <c r="H280" s="29"/>
      <c r="I280" s="27" t="str">
        <f t="shared" si="0"/>
        <v/>
      </c>
      <c r="J280" s="29"/>
      <c r="K280" s="29"/>
      <c r="L280" s="29"/>
      <c r="M280" s="29"/>
      <c r="N280" s="29"/>
      <c r="O280" s="29"/>
      <c r="P280" s="29"/>
      <c r="Q280" s="29"/>
      <c r="R280" s="29"/>
      <c r="S280" s="181"/>
      <c r="T280" s="88" t="str">
        <f ca="1" t="shared" si="1"/>
        <v/>
      </c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</row>
    <row r="281" ht="15.75" customHeight="1" spans="1:45">
      <c r="A281" s="29"/>
      <c r="B281" s="29"/>
      <c r="C281" s="29"/>
      <c r="D281" s="29"/>
      <c r="E281" s="29"/>
      <c r="F281" s="29"/>
      <c r="G281" s="29"/>
      <c r="H281" s="29"/>
      <c r="I281" s="27" t="str">
        <f t="shared" si="0"/>
        <v/>
      </c>
      <c r="J281" s="29"/>
      <c r="K281" s="29"/>
      <c r="L281" s="29"/>
      <c r="M281" s="29"/>
      <c r="N281" s="29"/>
      <c r="O281" s="29"/>
      <c r="P281" s="29"/>
      <c r="Q281" s="29"/>
      <c r="R281" s="29"/>
      <c r="S281" s="181"/>
      <c r="T281" s="88" t="str">
        <f ca="1" t="shared" si="1"/>
        <v/>
      </c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</row>
    <row r="282" ht="15.75" customHeight="1" spans="1:45">
      <c r="A282" s="29"/>
      <c r="B282" s="29"/>
      <c r="C282" s="29"/>
      <c r="D282" s="29"/>
      <c r="E282" s="29"/>
      <c r="F282" s="29"/>
      <c r="G282" s="29"/>
      <c r="H282" s="29"/>
      <c r="I282" s="27" t="str">
        <f t="shared" si="0"/>
        <v/>
      </c>
      <c r="J282" s="29"/>
      <c r="K282" s="29"/>
      <c r="L282" s="29"/>
      <c r="M282" s="29"/>
      <c r="N282" s="29"/>
      <c r="O282" s="29"/>
      <c r="P282" s="29"/>
      <c r="Q282" s="29"/>
      <c r="R282" s="29"/>
      <c r="S282" s="181"/>
      <c r="T282" s="88" t="str">
        <f ca="1" t="shared" si="1"/>
        <v/>
      </c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</row>
    <row r="283" ht="15.75" customHeight="1" spans="1:45">
      <c r="A283" s="29"/>
      <c r="B283" s="29"/>
      <c r="C283" s="29"/>
      <c r="D283" s="29"/>
      <c r="E283" s="29"/>
      <c r="F283" s="29"/>
      <c r="G283" s="29"/>
      <c r="H283" s="29"/>
      <c r="I283" s="27" t="str">
        <f t="shared" si="0"/>
        <v/>
      </c>
      <c r="J283" s="29"/>
      <c r="K283" s="29"/>
      <c r="L283" s="29"/>
      <c r="M283" s="29"/>
      <c r="N283" s="29"/>
      <c r="O283" s="29"/>
      <c r="P283" s="29"/>
      <c r="Q283" s="29"/>
      <c r="R283" s="29"/>
      <c r="S283" s="181"/>
      <c r="T283" s="88" t="str">
        <f ca="1" t="shared" si="1"/>
        <v/>
      </c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</row>
    <row r="284" ht="15.75" customHeight="1" spans="1:45">
      <c r="A284" s="29"/>
      <c r="B284" s="29"/>
      <c r="C284" s="29"/>
      <c r="D284" s="29"/>
      <c r="E284" s="29"/>
      <c r="F284" s="29"/>
      <c r="G284" s="29"/>
      <c r="H284" s="29"/>
      <c r="I284" s="27" t="str">
        <f t="shared" si="0"/>
        <v/>
      </c>
      <c r="J284" s="29"/>
      <c r="K284" s="29"/>
      <c r="L284" s="29"/>
      <c r="M284" s="29"/>
      <c r="N284" s="29"/>
      <c r="O284" s="29"/>
      <c r="P284" s="29"/>
      <c r="Q284" s="29"/>
      <c r="R284" s="29"/>
      <c r="S284" s="181"/>
      <c r="T284" s="88" t="str">
        <f ca="1" t="shared" si="1"/>
        <v/>
      </c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</row>
    <row r="285" ht="15.75" customHeight="1" spans="1:45">
      <c r="A285" s="29"/>
      <c r="B285" s="29"/>
      <c r="C285" s="29"/>
      <c r="D285" s="29"/>
      <c r="E285" s="29"/>
      <c r="F285" s="29"/>
      <c r="G285" s="29"/>
      <c r="H285" s="29"/>
      <c r="I285" s="27" t="str">
        <f t="shared" si="0"/>
        <v/>
      </c>
      <c r="J285" s="29"/>
      <c r="K285" s="29"/>
      <c r="L285" s="29"/>
      <c r="M285" s="29"/>
      <c r="N285" s="29"/>
      <c r="O285" s="29"/>
      <c r="P285" s="29"/>
      <c r="Q285" s="29"/>
      <c r="R285" s="29"/>
      <c r="S285" s="181"/>
      <c r="T285" s="88" t="str">
        <f ca="1" t="shared" si="1"/>
        <v/>
      </c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</row>
    <row r="286" ht="15.75" customHeight="1" spans="1:45">
      <c r="A286" s="29"/>
      <c r="B286" s="29"/>
      <c r="C286" s="29"/>
      <c r="D286" s="29"/>
      <c r="E286" s="29"/>
      <c r="F286" s="29"/>
      <c r="G286" s="29"/>
      <c r="H286" s="29"/>
      <c r="I286" s="27" t="str">
        <f t="shared" si="0"/>
        <v/>
      </c>
      <c r="J286" s="29"/>
      <c r="K286" s="29"/>
      <c r="L286" s="29"/>
      <c r="M286" s="29"/>
      <c r="N286" s="29"/>
      <c r="O286" s="29"/>
      <c r="P286" s="29"/>
      <c r="Q286" s="29"/>
      <c r="R286" s="29"/>
      <c r="S286" s="181"/>
      <c r="T286" s="88" t="str">
        <f ca="1" t="shared" si="1"/>
        <v/>
      </c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</row>
    <row r="287" ht="15.75" customHeight="1" spans="1:45">
      <c r="A287" s="29"/>
      <c r="B287" s="29"/>
      <c r="C287" s="29"/>
      <c r="D287" s="29"/>
      <c r="E287" s="29"/>
      <c r="F287" s="29"/>
      <c r="G287" s="29"/>
      <c r="H287" s="29"/>
      <c r="I287" s="27" t="str">
        <f t="shared" si="0"/>
        <v/>
      </c>
      <c r="J287" s="29"/>
      <c r="K287" s="29"/>
      <c r="L287" s="29"/>
      <c r="M287" s="29"/>
      <c r="N287" s="29"/>
      <c r="O287" s="29"/>
      <c r="P287" s="29"/>
      <c r="Q287" s="29"/>
      <c r="R287" s="29"/>
      <c r="S287" s="181"/>
      <c r="T287" s="88" t="str">
        <f ca="1" t="shared" si="1"/>
        <v/>
      </c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</row>
    <row r="288" ht="15.75" customHeight="1" spans="1:45">
      <c r="A288" s="29"/>
      <c r="B288" s="29"/>
      <c r="C288" s="29"/>
      <c r="D288" s="29"/>
      <c r="E288" s="29"/>
      <c r="F288" s="29"/>
      <c r="G288" s="29"/>
      <c r="H288" s="29"/>
      <c r="I288" s="27" t="str">
        <f t="shared" si="0"/>
        <v/>
      </c>
      <c r="J288" s="29"/>
      <c r="K288" s="29"/>
      <c r="L288" s="29"/>
      <c r="M288" s="29"/>
      <c r="N288" s="29"/>
      <c r="O288" s="29"/>
      <c r="P288" s="29"/>
      <c r="Q288" s="29"/>
      <c r="R288" s="29"/>
      <c r="S288" s="181"/>
      <c r="T288" s="88" t="str">
        <f ca="1" t="shared" si="1"/>
        <v/>
      </c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</row>
    <row r="289" ht="15.75" customHeight="1" spans="1:45">
      <c r="A289" s="29"/>
      <c r="B289" s="29"/>
      <c r="C289" s="29"/>
      <c r="D289" s="29"/>
      <c r="E289" s="29"/>
      <c r="F289" s="29"/>
      <c r="G289" s="29"/>
      <c r="H289" s="29"/>
      <c r="I289" s="27" t="str">
        <f t="shared" si="0"/>
        <v/>
      </c>
      <c r="J289" s="29"/>
      <c r="K289" s="29"/>
      <c r="L289" s="29"/>
      <c r="M289" s="29"/>
      <c r="N289" s="29"/>
      <c r="O289" s="29"/>
      <c r="P289" s="29"/>
      <c r="Q289" s="29"/>
      <c r="R289" s="29"/>
      <c r="S289" s="181"/>
      <c r="T289" s="88" t="str">
        <f ca="1" t="shared" si="1"/>
        <v/>
      </c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</row>
    <row r="290" ht="15.75" customHeight="1" spans="1:45">
      <c r="A290" s="29"/>
      <c r="B290" s="29"/>
      <c r="C290" s="29"/>
      <c r="D290" s="29"/>
      <c r="E290" s="29"/>
      <c r="F290" s="29"/>
      <c r="G290" s="29"/>
      <c r="H290" s="29"/>
      <c r="I290" s="27" t="str">
        <f t="shared" si="0"/>
        <v/>
      </c>
      <c r="J290" s="29"/>
      <c r="K290" s="29"/>
      <c r="L290" s="29"/>
      <c r="M290" s="29"/>
      <c r="N290" s="29"/>
      <c r="O290" s="29"/>
      <c r="P290" s="29"/>
      <c r="Q290" s="29"/>
      <c r="R290" s="29"/>
      <c r="S290" s="181"/>
      <c r="T290" s="88" t="str">
        <f ca="1" t="shared" si="1"/>
        <v/>
      </c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</row>
    <row r="291" ht="15.75" customHeight="1" spans="1:45">
      <c r="A291" s="29"/>
      <c r="B291" s="29"/>
      <c r="C291" s="29"/>
      <c r="D291" s="29"/>
      <c r="E291" s="29"/>
      <c r="F291" s="29"/>
      <c r="G291" s="29"/>
      <c r="H291" s="29"/>
      <c r="I291" s="27" t="str">
        <f t="shared" si="0"/>
        <v/>
      </c>
      <c r="J291" s="29"/>
      <c r="K291" s="29"/>
      <c r="L291" s="29"/>
      <c r="M291" s="29"/>
      <c r="N291" s="29"/>
      <c r="O291" s="29"/>
      <c r="P291" s="29"/>
      <c r="Q291" s="29"/>
      <c r="R291" s="29"/>
      <c r="S291" s="181"/>
      <c r="T291" s="88" t="str">
        <f ca="1" t="shared" si="1"/>
        <v/>
      </c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</row>
    <row r="292" ht="15.75" customHeight="1" spans="1:45">
      <c r="A292" s="29"/>
      <c r="B292" s="29"/>
      <c r="C292" s="29"/>
      <c r="D292" s="29"/>
      <c r="E292" s="29"/>
      <c r="F292" s="29"/>
      <c r="G292" s="29"/>
      <c r="H292" s="29"/>
      <c r="I292" s="27" t="str">
        <f t="shared" si="0"/>
        <v/>
      </c>
      <c r="J292" s="29"/>
      <c r="K292" s="29"/>
      <c r="L292" s="29"/>
      <c r="M292" s="29"/>
      <c r="N292" s="29"/>
      <c r="O292" s="29"/>
      <c r="P292" s="29"/>
      <c r="Q292" s="29"/>
      <c r="R292" s="29"/>
      <c r="S292" s="181"/>
      <c r="T292" s="88" t="str">
        <f ca="1" t="shared" si="1"/>
        <v/>
      </c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</row>
    <row r="293" ht="15.75" customHeight="1" spans="1:45">
      <c r="A293" s="29"/>
      <c r="B293" s="29"/>
      <c r="C293" s="29"/>
      <c r="D293" s="29"/>
      <c r="E293" s="29"/>
      <c r="F293" s="29"/>
      <c r="G293" s="29"/>
      <c r="H293" s="29"/>
      <c r="I293" s="27" t="str">
        <f t="shared" si="0"/>
        <v/>
      </c>
      <c r="J293" s="29"/>
      <c r="K293" s="29"/>
      <c r="L293" s="29"/>
      <c r="M293" s="29"/>
      <c r="N293" s="29"/>
      <c r="O293" s="29"/>
      <c r="P293" s="29"/>
      <c r="Q293" s="29"/>
      <c r="R293" s="29"/>
      <c r="S293" s="181"/>
      <c r="T293" s="88" t="str">
        <f ca="1" t="shared" si="1"/>
        <v/>
      </c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</row>
    <row r="294" ht="15.75" customHeight="1" spans="1:45">
      <c r="A294" s="29"/>
      <c r="B294" s="29"/>
      <c r="C294" s="29"/>
      <c r="D294" s="29"/>
      <c r="E294" s="29"/>
      <c r="F294" s="29"/>
      <c r="G294" s="29"/>
      <c r="H294" s="29"/>
      <c r="I294" s="27" t="str">
        <f t="shared" si="0"/>
        <v/>
      </c>
      <c r="J294" s="29"/>
      <c r="K294" s="29"/>
      <c r="L294" s="29"/>
      <c r="M294" s="29"/>
      <c r="N294" s="29"/>
      <c r="O294" s="29"/>
      <c r="P294" s="29"/>
      <c r="Q294" s="29"/>
      <c r="R294" s="29"/>
      <c r="S294" s="181"/>
      <c r="T294" s="88" t="str">
        <f ca="1" t="shared" si="1"/>
        <v/>
      </c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</row>
    <row r="295" ht="15.75" customHeight="1" spans="1:45">
      <c r="A295" s="29"/>
      <c r="B295" s="29"/>
      <c r="C295" s="29"/>
      <c r="D295" s="29"/>
      <c r="E295" s="29"/>
      <c r="F295" s="29"/>
      <c r="G295" s="29"/>
      <c r="H295" s="29"/>
      <c r="I295" s="27" t="str">
        <f t="shared" si="0"/>
        <v/>
      </c>
      <c r="J295" s="29"/>
      <c r="K295" s="29"/>
      <c r="L295" s="29"/>
      <c r="M295" s="29"/>
      <c r="N295" s="29"/>
      <c r="O295" s="29"/>
      <c r="P295" s="29"/>
      <c r="Q295" s="29"/>
      <c r="R295" s="29"/>
      <c r="S295" s="181"/>
      <c r="T295" s="88" t="str">
        <f ca="1" t="shared" si="1"/>
        <v/>
      </c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</row>
    <row r="296" ht="15.75" customHeight="1" spans="1:45">
      <c r="A296" s="29"/>
      <c r="B296" s="29"/>
      <c r="C296" s="29"/>
      <c r="D296" s="29"/>
      <c r="E296" s="29"/>
      <c r="F296" s="29"/>
      <c r="G296" s="29"/>
      <c r="H296" s="29"/>
      <c r="I296" s="27" t="str">
        <f t="shared" si="0"/>
        <v/>
      </c>
      <c r="J296" s="29"/>
      <c r="K296" s="29"/>
      <c r="L296" s="29"/>
      <c r="M296" s="29"/>
      <c r="N296" s="29"/>
      <c r="O296" s="29"/>
      <c r="P296" s="29"/>
      <c r="Q296" s="29"/>
      <c r="R296" s="29"/>
      <c r="S296" s="181"/>
      <c r="T296" s="88" t="str">
        <f ca="1" t="shared" si="1"/>
        <v/>
      </c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</row>
    <row r="297" ht="15.75" customHeight="1" spans="1:45">
      <c r="A297" s="29"/>
      <c r="B297" s="29"/>
      <c r="C297" s="29"/>
      <c r="D297" s="29"/>
      <c r="E297" s="29"/>
      <c r="F297" s="29"/>
      <c r="G297" s="29"/>
      <c r="H297" s="29"/>
      <c r="I297" s="27" t="str">
        <f t="shared" si="0"/>
        <v/>
      </c>
      <c r="J297" s="29"/>
      <c r="K297" s="29"/>
      <c r="L297" s="29"/>
      <c r="M297" s="29"/>
      <c r="N297" s="29"/>
      <c r="O297" s="29"/>
      <c r="P297" s="29"/>
      <c r="Q297" s="29"/>
      <c r="R297" s="29"/>
      <c r="S297" s="181"/>
      <c r="T297" s="88" t="str">
        <f ca="1" t="shared" si="1"/>
        <v/>
      </c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</row>
    <row r="298" ht="15.75" customHeight="1" spans="1:45">
      <c r="A298" s="29"/>
      <c r="B298" s="29"/>
      <c r="C298" s="29"/>
      <c r="D298" s="29"/>
      <c r="E298" s="29"/>
      <c r="F298" s="29"/>
      <c r="G298" s="29"/>
      <c r="H298" s="29"/>
      <c r="I298" s="27" t="str">
        <f t="shared" si="0"/>
        <v/>
      </c>
      <c r="J298" s="29"/>
      <c r="K298" s="29"/>
      <c r="L298" s="29"/>
      <c r="M298" s="29"/>
      <c r="N298" s="29"/>
      <c r="O298" s="29"/>
      <c r="P298" s="29"/>
      <c r="Q298" s="29"/>
      <c r="R298" s="29"/>
      <c r="S298" s="181"/>
      <c r="T298" s="88" t="str">
        <f ca="1" t="shared" si="1"/>
        <v/>
      </c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</row>
    <row r="299" ht="15.75" customHeight="1" spans="1:45">
      <c r="A299" s="29"/>
      <c r="B299" s="29"/>
      <c r="C299" s="29"/>
      <c r="D299" s="29"/>
      <c r="E299" s="29"/>
      <c r="F299" s="29"/>
      <c r="G299" s="29"/>
      <c r="H299" s="29"/>
      <c r="I299" s="27" t="str">
        <f t="shared" si="0"/>
        <v/>
      </c>
      <c r="J299" s="29"/>
      <c r="K299" s="29"/>
      <c r="L299" s="29"/>
      <c r="M299" s="29"/>
      <c r="N299" s="29"/>
      <c r="O299" s="29"/>
      <c r="P299" s="29"/>
      <c r="Q299" s="29"/>
      <c r="R299" s="29"/>
      <c r="S299" s="181"/>
      <c r="T299" s="88" t="str">
        <f ca="1" t="shared" si="1"/>
        <v/>
      </c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</row>
    <row r="300" ht="15.75" customHeight="1" spans="1:45">
      <c r="A300" s="29"/>
      <c r="B300" s="29"/>
      <c r="C300" s="29"/>
      <c r="D300" s="29"/>
      <c r="E300" s="29"/>
      <c r="F300" s="29"/>
      <c r="G300" s="29"/>
      <c r="H300" s="29"/>
      <c r="I300" s="27" t="str">
        <f t="shared" si="0"/>
        <v/>
      </c>
      <c r="J300" s="29"/>
      <c r="K300" s="29"/>
      <c r="L300" s="29"/>
      <c r="M300" s="29"/>
      <c r="N300" s="29"/>
      <c r="O300" s="29"/>
      <c r="P300" s="29"/>
      <c r="Q300" s="29"/>
      <c r="R300" s="29"/>
      <c r="S300" s="181"/>
      <c r="T300" s="88" t="str">
        <f ca="1" t="shared" si="1"/>
        <v/>
      </c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</row>
    <row r="301" ht="15.75" customHeight="1" spans="1:45">
      <c r="A301" s="29"/>
      <c r="B301" s="29"/>
      <c r="C301" s="29"/>
      <c r="D301" s="29"/>
      <c r="E301" s="29"/>
      <c r="F301" s="29"/>
      <c r="G301" s="29"/>
      <c r="H301" s="29"/>
      <c r="I301" s="27" t="str">
        <f t="shared" si="0"/>
        <v/>
      </c>
      <c r="J301" s="29"/>
      <c r="K301" s="29"/>
      <c r="L301" s="29"/>
      <c r="M301" s="29"/>
      <c r="N301" s="29"/>
      <c r="O301" s="29"/>
      <c r="P301" s="29"/>
      <c r="Q301" s="29"/>
      <c r="R301" s="29"/>
      <c r="S301" s="181"/>
      <c r="T301" s="88" t="str">
        <f ca="1" t="shared" si="1"/>
        <v/>
      </c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</row>
    <row r="302" ht="15.75" customHeight="1" spans="1:45">
      <c r="A302" s="29"/>
      <c r="B302" s="29"/>
      <c r="C302" s="29"/>
      <c r="D302" s="29"/>
      <c r="E302" s="29"/>
      <c r="F302" s="29"/>
      <c r="G302" s="29"/>
      <c r="H302" s="29"/>
      <c r="I302" s="27" t="str">
        <f t="shared" si="0"/>
        <v/>
      </c>
      <c r="J302" s="29"/>
      <c r="K302" s="29"/>
      <c r="L302" s="29"/>
      <c r="M302" s="29"/>
      <c r="N302" s="29"/>
      <c r="O302" s="29"/>
      <c r="P302" s="29"/>
      <c r="Q302" s="29"/>
      <c r="R302" s="29"/>
      <c r="S302" s="181"/>
      <c r="T302" s="88" t="str">
        <f ca="1" t="shared" si="1"/>
        <v/>
      </c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</row>
    <row r="303" ht="15.75" customHeight="1" spans="1:45">
      <c r="A303" s="29"/>
      <c r="B303" s="29"/>
      <c r="C303" s="29"/>
      <c r="D303" s="29"/>
      <c r="E303" s="29"/>
      <c r="F303" s="29"/>
      <c r="G303" s="29"/>
      <c r="H303" s="29"/>
      <c r="I303" s="27" t="str">
        <f t="shared" si="0"/>
        <v/>
      </c>
      <c r="J303" s="29"/>
      <c r="K303" s="29"/>
      <c r="L303" s="29"/>
      <c r="M303" s="29"/>
      <c r="N303" s="29"/>
      <c r="O303" s="29"/>
      <c r="P303" s="29"/>
      <c r="Q303" s="29"/>
      <c r="R303" s="29"/>
      <c r="S303" s="181"/>
      <c r="T303" s="88" t="str">
        <f ca="1" t="shared" si="1"/>
        <v/>
      </c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</row>
    <row r="304" ht="15.75" customHeight="1" spans="1:45">
      <c r="A304" s="29"/>
      <c r="B304" s="29"/>
      <c r="C304" s="29"/>
      <c r="D304" s="29"/>
      <c r="E304" s="29"/>
      <c r="F304" s="29"/>
      <c r="G304" s="29"/>
      <c r="H304" s="29"/>
      <c r="I304" s="27" t="str">
        <f t="shared" si="0"/>
        <v/>
      </c>
      <c r="J304" s="29"/>
      <c r="K304" s="29"/>
      <c r="L304" s="29"/>
      <c r="M304" s="29"/>
      <c r="N304" s="29"/>
      <c r="O304" s="29"/>
      <c r="P304" s="29"/>
      <c r="Q304" s="29"/>
      <c r="R304" s="29"/>
      <c r="S304" s="181"/>
      <c r="T304" s="88" t="str">
        <f ca="1" t="shared" si="1"/>
        <v/>
      </c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</row>
    <row r="305" ht="15.75" customHeight="1" spans="1:45">
      <c r="A305" s="29"/>
      <c r="B305" s="29"/>
      <c r="C305" s="29"/>
      <c r="D305" s="29"/>
      <c r="E305" s="29"/>
      <c r="F305" s="29"/>
      <c r="G305" s="29"/>
      <c r="H305" s="29"/>
      <c r="I305" s="27" t="str">
        <f t="shared" si="0"/>
        <v/>
      </c>
      <c r="J305" s="29"/>
      <c r="K305" s="29"/>
      <c r="L305" s="29"/>
      <c r="M305" s="29"/>
      <c r="N305" s="29"/>
      <c r="O305" s="29"/>
      <c r="P305" s="29"/>
      <c r="Q305" s="29"/>
      <c r="R305" s="29"/>
      <c r="S305" s="181"/>
      <c r="T305" s="88" t="str">
        <f ca="1" t="shared" si="1"/>
        <v/>
      </c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</row>
    <row r="306" ht="15.75" customHeight="1" spans="1:45">
      <c r="A306" s="29"/>
      <c r="B306" s="29"/>
      <c r="C306" s="29"/>
      <c r="D306" s="29"/>
      <c r="E306" s="29"/>
      <c r="F306" s="29"/>
      <c r="G306" s="29"/>
      <c r="H306" s="29"/>
      <c r="I306" s="27" t="str">
        <f t="shared" si="0"/>
        <v/>
      </c>
      <c r="J306" s="29"/>
      <c r="K306" s="29"/>
      <c r="L306" s="29"/>
      <c r="M306" s="29"/>
      <c r="N306" s="29"/>
      <c r="O306" s="29"/>
      <c r="P306" s="29"/>
      <c r="Q306" s="29"/>
      <c r="R306" s="29"/>
      <c r="S306" s="181"/>
      <c r="T306" s="88" t="str">
        <f ca="1" t="shared" si="1"/>
        <v/>
      </c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</row>
    <row r="307" ht="15.75" customHeight="1" spans="1:45">
      <c r="A307" s="29"/>
      <c r="B307" s="29"/>
      <c r="C307" s="29"/>
      <c r="D307" s="29"/>
      <c r="E307" s="29"/>
      <c r="F307" s="29"/>
      <c r="G307" s="29"/>
      <c r="H307" s="29"/>
      <c r="I307" s="27" t="str">
        <f t="shared" si="0"/>
        <v/>
      </c>
      <c r="J307" s="29"/>
      <c r="K307" s="29"/>
      <c r="L307" s="29"/>
      <c r="M307" s="29"/>
      <c r="N307" s="29"/>
      <c r="O307" s="29"/>
      <c r="P307" s="29"/>
      <c r="Q307" s="29"/>
      <c r="R307" s="29"/>
      <c r="S307" s="181"/>
      <c r="T307" s="88" t="str">
        <f ca="1" t="shared" si="1"/>
        <v/>
      </c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</row>
    <row r="308" ht="15.75" customHeight="1" spans="1:45">
      <c r="A308" s="29"/>
      <c r="B308" s="29"/>
      <c r="C308" s="29"/>
      <c r="D308" s="29"/>
      <c r="E308" s="29"/>
      <c r="F308" s="29"/>
      <c r="G308" s="29"/>
      <c r="H308" s="29"/>
      <c r="I308" s="27" t="str">
        <f t="shared" si="0"/>
        <v/>
      </c>
      <c r="J308" s="29"/>
      <c r="K308" s="29"/>
      <c r="L308" s="29"/>
      <c r="M308" s="29"/>
      <c r="N308" s="29"/>
      <c r="O308" s="29"/>
      <c r="P308" s="29"/>
      <c r="Q308" s="29"/>
      <c r="R308" s="29"/>
      <c r="S308" s="181"/>
      <c r="T308" s="88" t="str">
        <f ca="1" t="shared" si="1"/>
        <v/>
      </c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</row>
    <row r="309" ht="15.75" customHeight="1" spans="1:45">
      <c r="A309" s="29"/>
      <c r="B309" s="29"/>
      <c r="C309" s="29"/>
      <c r="D309" s="29"/>
      <c r="E309" s="29"/>
      <c r="F309" s="29"/>
      <c r="G309" s="29"/>
      <c r="H309" s="29"/>
      <c r="I309" s="27" t="str">
        <f t="shared" si="0"/>
        <v/>
      </c>
      <c r="J309" s="29"/>
      <c r="K309" s="29"/>
      <c r="L309" s="29"/>
      <c r="M309" s="29"/>
      <c r="N309" s="29"/>
      <c r="O309" s="29"/>
      <c r="P309" s="29"/>
      <c r="Q309" s="29"/>
      <c r="R309" s="29"/>
      <c r="S309" s="181"/>
      <c r="T309" s="88" t="str">
        <f ca="1" t="shared" si="1"/>
        <v/>
      </c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</row>
    <row r="310" ht="15.75" customHeight="1" spans="1:45">
      <c r="A310" s="29"/>
      <c r="B310" s="29"/>
      <c r="C310" s="29"/>
      <c r="D310" s="29"/>
      <c r="E310" s="29"/>
      <c r="F310" s="29"/>
      <c r="G310" s="29"/>
      <c r="H310" s="29"/>
      <c r="I310" s="27" t="str">
        <f t="shared" si="0"/>
        <v/>
      </c>
      <c r="J310" s="29"/>
      <c r="K310" s="29"/>
      <c r="L310" s="29"/>
      <c r="M310" s="29"/>
      <c r="N310" s="29"/>
      <c r="O310" s="29"/>
      <c r="P310" s="29"/>
      <c r="Q310" s="29"/>
      <c r="R310" s="29"/>
      <c r="S310" s="181"/>
      <c r="T310" s="88" t="str">
        <f ca="1" t="shared" si="1"/>
        <v/>
      </c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</row>
    <row r="311" ht="15.75" customHeight="1" spans="1:45">
      <c r="A311" s="29"/>
      <c r="B311" s="29"/>
      <c r="C311" s="29"/>
      <c r="D311" s="29"/>
      <c r="E311" s="29"/>
      <c r="F311" s="29"/>
      <c r="G311" s="29"/>
      <c r="H311" s="29"/>
      <c r="I311" s="27" t="str">
        <f t="shared" si="0"/>
        <v/>
      </c>
      <c r="J311" s="29"/>
      <c r="K311" s="29"/>
      <c r="L311" s="29"/>
      <c r="M311" s="29"/>
      <c r="N311" s="29"/>
      <c r="O311" s="29"/>
      <c r="P311" s="29"/>
      <c r="Q311" s="29"/>
      <c r="R311" s="29"/>
      <c r="S311" s="181"/>
      <c r="T311" s="88" t="str">
        <f ca="1" t="shared" si="1"/>
        <v/>
      </c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</row>
    <row r="312" ht="15.75" customHeight="1" spans="1:45">
      <c r="A312" s="29"/>
      <c r="B312" s="29"/>
      <c r="C312" s="29"/>
      <c r="D312" s="29"/>
      <c r="E312" s="29"/>
      <c r="F312" s="29"/>
      <c r="G312" s="29"/>
      <c r="H312" s="29"/>
      <c r="I312" s="27" t="str">
        <f t="shared" si="0"/>
        <v/>
      </c>
      <c r="J312" s="29"/>
      <c r="K312" s="29"/>
      <c r="L312" s="29"/>
      <c r="M312" s="29"/>
      <c r="N312" s="29"/>
      <c r="O312" s="29"/>
      <c r="P312" s="29"/>
      <c r="Q312" s="29"/>
      <c r="R312" s="29"/>
      <c r="S312" s="181"/>
      <c r="T312" s="88" t="str">
        <f ca="1" t="shared" si="1"/>
        <v/>
      </c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</row>
    <row r="313" ht="15.75" customHeight="1" spans="1:45">
      <c r="A313" s="29"/>
      <c r="B313" s="29"/>
      <c r="C313" s="29"/>
      <c r="D313" s="29"/>
      <c r="E313" s="29"/>
      <c r="F313" s="29"/>
      <c r="G313" s="29"/>
      <c r="H313" s="29"/>
      <c r="I313" s="27" t="str">
        <f t="shared" si="0"/>
        <v/>
      </c>
      <c r="J313" s="29"/>
      <c r="K313" s="29"/>
      <c r="L313" s="29"/>
      <c r="M313" s="29"/>
      <c r="N313" s="29"/>
      <c r="O313" s="29"/>
      <c r="P313" s="29"/>
      <c r="Q313" s="29"/>
      <c r="R313" s="29"/>
      <c r="S313" s="181"/>
      <c r="T313" s="88" t="str">
        <f ca="1" t="shared" si="1"/>
        <v/>
      </c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</row>
    <row r="314" ht="15.75" customHeight="1" spans="1:45">
      <c r="A314" s="29"/>
      <c r="B314" s="29"/>
      <c r="C314" s="29"/>
      <c r="D314" s="29"/>
      <c r="E314" s="29"/>
      <c r="F314" s="29"/>
      <c r="G314" s="29"/>
      <c r="H314" s="29"/>
      <c r="I314" s="27" t="str">
        <f t="shared" si="0"/>
        <v/>
      </c>
      <c r="J314" s="29"/>
      <c r="K314" s="29"/>
      <c r="L314" s="29"/>
      <c r="M314" s="29"/>
      <c r="N314" s="29"/>
      <c r="O314" s="29"/>
      <c r="P314" s="29"/>
      <c r="Q314" s="29"/>
      <c r="R314" s="29"/>
      <c r="S314" s="181"/>
      <c r="T314" s="88" t="str">
        <f ca="1" t="shared" si="1"/>
        <v/>
      </c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</row>
    <row r="315" ht="15.75" customHeight="1" spans="1:45">
      <c r="A315" s="29"/>
      <c r="B315" s="29"/>
      <c r="C315" s="29"/>
      <c r="D315" s="29"/>
      <c r="E315" s="29"/>
      <c r="F315" s="29"/>
      <c r="G315" s="29"/>
      <c r="H315" s="29"/>
      <c r="I315" s="27" t="str">
        <f t="shared" si="0"/>
        <v/>
      </c>
      <c r="J315" s="29"/>
      <c r="K315" s="29"/>
      <c r="L315" s="29"/>
      <c r="M315" s="29"/>
      <c r="N315" s="29"/>
      <c r="O315" s="29"/>
      <c r="P315" s="29"/>
      <c r="Q315" s="29"/>
      <c r="R315" s="29"/>
      <c r="S315" s="181"/>
      <c r="T315" s="88" t="str">
        <f ca="1" t="shared" si="1"/>
        <v/>
      </c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</row>
    <row r="316" ht="15.75" customHeight="1" spans="1:45">
      <c r="A316" s="29"/>
      <c r="B316" s="29"/>
      <c r="C316" s="29"/>
      <c r="D316" s="29"/>
      <c r="E316" s="29"/>
      <c r="F316" s="29"/>
      <c r="G316" s="29"/>
      <c r="H316" s="29"/>
      <c r="I316" s="27" t="str">
        <f t="shared" si="0"/>
        <v/>
      </c>
      <c r="J316" s="29"/>
      <c r="K316" s="29"/>
      <c r="L316" s="29"/>
      <c r="M316" s="29"/>
      <c r="N316" s="29"/>
      <c r="O316" s="29"/>
      <c r="P316" s="29"/>
      <c r="Q316" s="29"/>
      <c r="R316" s="29"/>
      <c r="S316" s="181"/>
      <c r="T316" s="88" t="str">
        <f ca="1" t="shared" si="1"/>
        <v/>
      </c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</row>
    <row r="317" ht="15.75" customHeight="1" spans="1:45">
      <c r="A317" s="29"/>
      <c r="B317" s="29"/>
      <c r="C317" s="29"/>
      <c r="D317" s="29"/>
      <c r="E317" s="29"/>
      <c r="F317" s="29"/>
      <c r="G317" s="29"/>
      <c r="H317" s="29"/>
      <c r="I317" s="27" t="str">
        <f t="shared" si="0"/>
        <v/>
      </c>
      <c r="J317" s="29"/>
      <c r="K317" s="29"/>
      <c r="L317" s="29"/>
      <c r="M317" s="29"/>
      <c r="N317" s="29"/>
      <c r="O317" s="29"/>
      <c r="P317" s="29"/>
      <c r="Q317" s="29"/>
      <c r="R317" s="29"/>
      <c r="S317" s="181"/>
      <c r="T317" s="88" t="str">
        <f ca="1" t="shared" si="1"/>
        <v/>
      </c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</row>
    <row r="318" ht="15.75" customHeight="1" spans="1:45">
      <c r="A318" s="29"/>
      <c r="B318" s="29"/>
      <c r="C318" s="29"/>
      <c r="D318" s="29"/>
      <c r="E318" s="29"/>
      <c r="F318" s="29"/>
      <c r="G318" s="29"/>
      <c r="H318" s="29"/>
      <c r="I318" s="27" t="str">
        <f t="shared" si="0"/>
        <v/>
      </c>
      <c r="J318" s="29"/>
      <c r="K318" s="29"/>
      <c r="L318" s="29"/>
      <c r="M318" s="29"/>
      <c r="N318" s="29"/>
      <c r="O318" s="29"/>
      <c r="P318" s="29"/>
      <c r="Q318" s="29"/>
      <c r="R318" s="29"/>
      <c r="S318" s="181"/>
      <c r="T318" s="88" t="str">
        <f ca="1" t="shared" si="1"/>
        <v/>
      </c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</row>
    <row r="319" ht="15.75" customHeight="1" spans="1:45">
      <c r="A319" s="29"/>
      <c r="B319" s="29"/>
      <c r="C319" s="29"/>
      <c r="D319" s="29"/>
      <c r="E319" s="29"/>
      <c r="F319" s="29"/>
      <c r="G319" s="29"/>
      <c r="H319" s="29"/>
      <c r="I319" s="27" t="str">
        <f t="shared" si="0"/>
        <v/>
      </c>
      <c r="J319" s="29"/>
      <c r="K319" s="29"/>
      <c r="L319" s="29"/>
      <c r="M319" s="29"/>
      <c r="N319" s="29"/>
      <c r="O319" s="29"/>
      <c r="P319" s="29"/>
      <c r="Q319" s="29"/>
      <c r="R319" s="29"/>
      <c r="S319" s="181"/>
      <c r="T319" s="88" t="str">
        <f ca="1" t="shared" si="1"/>
        <v/>
      </c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</row>
    <row r="320" ht="15.75" customHeight="1" spans="1:45">
      <c r="A320" s="29"/>
      <c r="B320" s="29"/>
      <c r="C320" s="29"/>
      <c r="D320" s="29"/>
      <c r="E320" s="29"/>
      <c r="F320" s="29"/>
      <c r="G320" s="29"/>
      <c r="H320" s="29"/>
      <c r="I320" s="27" t="str">
        <f t="shared" si="0"/>
        <v/>
      </c>
      <c r="J320" s="29"/>
      <c r="K320" s="29"/>
      <c r="L320" s="29"/>
      <c r="M320" s="29"/>
      <c r="N320" s="29"/>
      <c r="O320" s="29"/>
      <c r="P320" s="29"/>
      <c r="Q320" s="29"/>
      <c r="R320" s="29"/>
      <c r="S320" s="181"/>
      <c r="T320" s="88" t="str">
        <f ca="1" t="shared" si="1"/>
        <v/>
      </c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</row>
    <row r="321" ht="15.75" customHeight="1" spans="1:45">
      <c r="A321" s="29"/>
      <c r="B321" s="29"/>
      <c r="C321" s="29"/>
      <c r="D321" s="29"/>
      <c r="E321" s="29"/>
      <c r="F321" s="29"/>
      <c r="G321" s="29"/>
      <c r="H321" s="29"/>
      <c r="I321" s="27" t="str">
        <f t="shared" si="0"/>
        <v/>
      </c>
      <c r="J321" s="29"/>
      <c r="K321" s="29"/>
      <c r="L321" s="29"/>
      <c r="M321" s="29"/>
      <c r="N321" s="29"/>
      <c r="O321" s="29"/>
      <c r="P321" s="29"/>
      <c r="Q321" s="29"/>
      <c r="R321" s="29"/>
      <c r="S321" s="181"/>
      <c r="T321" s="88" t="str">
        <f ca="1" t="shared" si="1"/>
        <v/>
      </c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</row>
    <row r="322" ht="15.75" customHeight="1" spans="1:45">
      <c r="A322" s="29"/>
      <c r="B322" s="29"/>
      <c r="C322" s="29"/>
      <c r="D322" s="29"/>
      <c r="E322" s="29"/>
      <c r="F322" s="29"/>
      <c r="G322" s="29"/>
      <c r="H322" s="29"/>
      <c r="I322" s="27" t="str">
        <f t="shared" si="0"/>
        <v/>
      </c>
      <c r="J322" s="29"/>
      <c r="K322" s="29"/>
      <c r="L322" s="29"/>
      <c r="M322" s="29"/>
      <c r="N322" s="29"/>
      <c r="O322" s="29"/>
      <c r="P322" s="29"/>
      <c r="Q322" s="29"/>
      <c r="R322" s="29"/>
      <c r="S322" s="181"/>
      <c r="T322" s="88" t="str">
        <f ca="1" t="shared" si="1"/>
        <v/>
      </c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</row>
    <row r="323" ht="15.75" customHeight="1" spans="1:45">
      <c r="A323" s="29"/>
      <c r="B323" s="29"/>
      <c r="C323" s="29"/>
      <c r="D323" s="29"/>
      <c r="E323" s="29"/>
      <c r="F323" s="29"/>
      <c r="G323" s="29"/>
      <c r="H323" s="29"/>
      <c r="I323" s="27" t="str">
        <f t="shared" si="0"/>
        <v/>
      </c>
      <c r="J323" s="29"/>
      <c r="K323" s="29"/>
      <c r="L323" s="29"/>
      <c r="M323" s="29"/>
      <c r="N323" s="29"/>
      <c r="O323" s="29"/>
      <c r="P323" s="29"/>
      <c r="Q323" s="29"/>
      <c r="R323" s="29"/>
      <c r="S323" s="181"/>
      <c r="T323" s="88" t="str">
        <f ca="1" t="shared" si="1"/>
        <v/>
      </c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</row>
    <row r="324" ht="15.75" customHeight="1" spans="1:45">
      <c r="A324" s="29"/>
      <c r="B324" s="29"/>
      <c r="C324" s="29"/>
      <c r="D324" s="29"/>
      <c r="E324" s="29"/>
      <c r="F324" s="29"/>
      <c r="G324" s="29"/>
      <c r="H324" s="29"/>
      <c r="I324" s="27" t="str">
        <f t="shared" si="0"/>
        <v/>
      </c>
      <c r="J324" s="29"/>
      <c r="K324" s="29"/>
      <c r="L324" s="29"/>
      <c r="M324" s="29"/>
      <c r="N324" s="29"/>
      <c r="O324" s="29"/>
      <c r="P324" s="29"/>
      <c r="Q324" s="29"/>
      <c r="R324" s="29"/>
      <c r="S324" s="181"/>
      <c r="T324" s="88" t="str">
        <f ca="1" t="shared" si="1"/>
        <v/>
      </c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</row>
    <row r="325" ht="15.75" customHeight="1" spans="1:45">
      <c r="A325" s="29"/>
      <c r="B325" s="29"/>
      <c r="C325" s="29"/>
      <c r="D325" s="29"/>
      <c r="E325" s="29"/>
      <c r="F325" s="29"/>
      <c r="G325" s="29"/>
      <c r="H325" s="29"/>
      <c r="I325" s="27" t="str">
        <f t="shared" si="0"/>
        <v/>
      </c>
      <c r="J325" s="29"/>
      <c r="K325" s="29"/>
      <c r="L325" s="29"/>
      <c r="M325" s="29"/>
      <c r="N325" s="29"/>
      <c r="O325" s="29"/>
      <c r="P325" s="29"/>
      <c r="Q325" s="29"/>
      <c r="R325" s="29"/>
      <c r="S325" s="181"/>
      <c r="T325" s="88" t="str">
        <f ca="1" t="shared" si="1"/>
        <v/>
      </c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</row>
    <row r="326" ht="15.75" customHeight="1" spans="1:45">
      <c r="A326" s="29"/>
      <c r="B326" s="29"/>
      <c r="C326" s="29"/>
      <c r="D326" s="29"/>
      <c r="E326" s="29"/>
      <c r="F326" s="29"/>
      <c r="G326" s="29"/>
      <c r="H326" s="29"/>
      <c r="I326" s="27" t="str">
        <f t="shared" si="0"/>
        <v/>
      </c>
      <c r="J326" s="29"/>
      <c r="K326" s="29"/>
      <c r="L326" s="29"/>
      <c r="M326" s="29"/>
      <c r="N326" s="29"/>
      <c r="O326" s="29"/>
      <c r="P326" s="29"/>
      <c r="Q326" s="29"/>
      <c r="R326" s="29"/>
      <c r="S326" s="181"/>
      <c r="T326" s="88" t="str">
        <f ca="1" t="shared" si="1"/>
        <v/>
      </c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</row>
    <row r="327" ht="15.75" customHeight="1" spans="1:45">
      <c r="A327" s="29"/>
      <c r="B327" s="29"/>
      <c r="C327" s="29"/>
      <c r="D327" s="29"/>
      <c r="E327" s="29"/>
      <c r="F327" s="29"/>
      <c r="G327" s="29"/>
      <c r="H327" s="29"/>
      <c r="I327" s="27" t="str">
        <f t="shared" si="0"/>
        <v/>
      </c>
      <c r="J327" s="29"/>
      <c r="K327" s="29"/>
      <c r="L327" s="29"/>
      <c r="M327" s="29"/>
      <c r="N327" s="29"/>
      <c r="O327" s="29"/>
      <c r="P327" s="29"/>
      <c r="Q327" s="29"/>
      <c r="R327" s="29"/>
      <c r="S327" s="181"/>
      <c r="T327" s="88" t="str">
        <f ca="1" t="shared" si="1"/>
        <v/>
      </c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</row>
    <row r="328" ht="15.75" customHeight="1" spans="1:45">
      <c r="A328" s="29"/>
      <c r="B328" s="29"/>
      <c r="C328" s="29"/>
      <c r="D328" s="29"/>
      <c r="E328" s="29"/>
      <c r="F328" s="29"/>
      <c r="G328" s="29"/>
      <c r="H328" s="29"/>
      <c r="I328" s="27" t="str">
        <f t="shared" si="0"/>
        <v/>
      </c>
      <c r="J328" s="29"/>
      <c r="K328" s="29"/>
      <c r="L328" s="29"/>
      <c r="M328" s="29"/>
      <c r="N328" s="29"/>
      <c r="O328" s="29"/>
      <c r="P328" s="29"/>
      <c r="Q328" s="29"/>
      <c r="R328" s="29"/>
      <c r="S328" s="181"/>
      <c r="T328" s="88" t="str">
        <f ca="1" t="shared" si="1"/>
        <v/>
      </c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</row>
    <row r="329" ht="15.75" customHeight="1" spans="1:45">
      <c r="A329" s="29"/>
      <c r="B329" s="29"/>
      <c r="C329" s="29"/>
      <c r="D329" s="29"/>
      <c r="E329" s="29"/>
      <c r="F329" s="29"/>
      <c r="G329" s="29"/>
      <c r="H329" s="29"/>
      <c r="I329" s="27" t="str">
        <f t="shared" si="0"/>
        <v/>
      </c>
      <c r="J329" s="29"/>
      <c r="K329" s="29"/>
      <c r="L329" s="29"/>
      <c r="M329" s="29"/>
      <c r="N329" s="29"/>
      <c r="O329" s="29"/>
      <c r="P329" s="29"/>
      <c r="Q329" s="29"/>
      <c r="R329" s="29"/>
      <c r="S329" s="181"/>
      <c r="T329" s="88" t="str">
        <f ca="1" t="shared" si="1"/>
        <v/>
      </c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</row>
    <row r="330" ht="15.75" customHeight="1" spans="1:45">
      <c r="A330" s="29"/>
      <c r="B330" s="29"/>
      <c r="C330" s="29"/>
      <c r="D330" s="29"/>
      <c r="E330" s="29"/>
      <c r="F330" s="29"/>
      <c r="G330" s="29"/>
      <c r="H330" s="29"/>
      <c r="I330" s="27" t="str">
        <f t="shared" si="0"/>
        <v/>
      </c>
      <c r="J330" s="29"/>
      <c r="K330" s="29"/>
      <c r="L330" s="29"/>
      <c r="M330" s="29"/>
      <c r="N330" s="29"/>
      <c r="O330" s="29"/>
      <c r="P330" s="29"/>
      <c r="Q330" s="29"/>
      <c r="R330" s="29"/>
      <c r="S330" s="181"/>
      <c r="T330" s="88" t="str">
        <f ca="1" t="shared" si="1"/>
        <v/>
      </c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</row>
    <row r="331" ht="15.75" customHeight="1" spans="1:45">
      <c r="A331" s="29"/>
      <c r="B331" s="29"/>
      <c r="C331" s="29"/>
      <c r="D331" s="29"/>
      <c r="E331" s="29"/>
      <c r="F331" s="29"/>
      <c r="G331" s="29"/>
      <c r="H331" s="29"/>
      <c r="I331" s="27" t="str">
        <f t="shared" si="0"/>
        <v/>
      </c>
      <c r="J331" s="29"/>
      <c r="K331" s="29"/>
      <c r="L331" s="29"/>
      <c r="M331" s="29"/>
      <c r="N331" s="29"/>
      <c r="O331" s="29"/>
      <c r="P331" s="29"/>
      <c r="Q331" s="29"/>
      <c r="R331" s="29"/>
      <c r="S331" s="181"/>
      <c r="T331" s="88" t="str">
        <f ca="1" t="shared" si="1"/>
        <v/>
      </c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</row>
    <row r="332" ht="15.75" customHeight="1" spans="1:45">
      <c r="A332" s="29"/>
      <c r="B332" s="29"/>
      <c r="C332" s="29"/>
      <c r="D332" s="29"/>
      <c r="E332" s="29"/>
      <c r="F332" s="29"/>
      <c r="G332" s="29"/>
      <c r="H332" s="29"/>
      <c r="I332" s="27" t="str">
        <f t="shared" si="0"/>
        <v/>
      </c>
      <c r="J332" s="29"/>
      <c r="K332" s="29"/>
      <c r="L332" s="29"/>
      <c r="M332" s="29"/>
      <c r="N332" s="29"/>
      <c r="O332" s="29"/>
      <c r="P332" s="29"/>
      <c r="Q332" s="29"/>
      <c r="R332" s="29"/>
      <c r="S332" s="181"/>
      <c r="T332" s="88" t="str">
        <f ca="1" t="shared" si="1"/>
        <v/>
      </c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</row>
    <row r="333" ht="15.75" customHeight="1" spans="1:45">
      <c r="A333" s="29"/>
      <c r="B333" s="29"/>
      <c r="C333" s="29"/>
      <c r="D333" s="29"/>
      <c r="E333" s="29"/>
      <c r="F333" s="29"/>
      <c r="G333" s="29"/>
      <c r="H333" s="29"/>
      <c r="I333" s="27" t="str">
        <f t="shared" si="0"/>
        <v/>
      </c>
      <c r="J333" s="29"/>
      <c r="K333" s="29"/>
      <c r="L333" s="29"/>
      <c r="M333" s="29"/>
      <c r="N333" s="29"/>
      <c r="O333" s="29"/>
      <c r="P333" s="29"/>
      <c r="Q333" s="29"/>
      <c r="R333" s="29"/>
      <c r="S333" s="181"/>
      <c r="T333" s="88" t="str">
        <f ca="1" t="shared" si="1"/>
        <v/>
      </c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</row>
    <row r="334" ht="15.75" customHeight="1" spans="1:45">
      <c r="A334" s="29"/>
      <c r="B334" s="29"/>
      <c r="C334" s="29"/>
      <c r="D334" s="29"/>
      <c r="E334" s="29"/>
      <c r="F334" s="29"/>
      <c r="G334" s="29"/>
      <c r="H334" s="29"/>
      <c r="I334" s="27" t="str">
        <f t="shared" si="0"/>
        <v/>
      </c>
      <c r="J334" s="29"/>
      <c r="K334" s="29"/>
      <c r="L334" s="29"/>
      <c r="M334" s="29"/>
      <c r="N334" s="29"/>
      <c r="O334" s="29"/>
      <c r="P334" s="29"/>
      <c r="Q334" s="29"/>
      <c r="R334" s="29"/>
      <c r="S334" s="181"/>
      <c r="T334" s="88" t="str">
        <f ca="1" t="shared" si="1"/>
        <v/>
      </c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</row>
    <row r="335" ht="15.75" customHeight="1" spans="1:45">
      <c r="A335" s="29"/>
      <c r="B335" s="29"/>
      <c r="C335" s="29"/>
      <c r="D335" s="29"/>
      <c r="E335" s="29"/>
      <c r="F335" s="29"/>
      <c r="G335" s="29"/>
      <c r="H335" s="29"/>
      <c r="I335" s="27" t="str">
        <f t="shared" si="0"/>
        <v/>
      </c>
      <c r="J335" s="29"/>
      <c r="K335" s="29"/>
      <c r="L335" s="29"/>
      <c r="M335" s="29"/>
      <c r="N335" s="29"/>
      <c r="O335" s="29"/>
      <c r="P335" s="29"/>
      <c r="Q335" s="29"/>
      <c r="R335" s="29"/>
      <c r="S335" s="181"/>
      <c r="T335" s="88" t="str">
        <f ca="1" t="shared" si="1"/>
        <v/>
      </c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</row>
    <row r="336" ht="15.75" customHeight="1" spans="1:45">
      <c r="A336" s="29"/>
      <c r="B336" s="29"/>
      <c r="C336" s="29"/>
      <c r="D336" s="29"/>
      <c r="E336" s="29"/>
      <c r="F336" s="29"/>
      <c r="G336" s="29"/>
      <c r="H336" s="29"/>
      <c r="I336" s="27" t="str">
        <f t="shared" si="0"/>
        <v/>
      </c>
      <c r="J336" s="29"/>
      <c r="K336" s="29"/>
      <c r="L336" s="29"/>
      <c r="M336" s="29"/>
      <c r="N336" s="29"/>
      <c r="O336" s="29"/>
      <c r="P336" s="29"/>
      <c r="Q336" s="29"/>
      <c r="R336" s="29"/>
      <c r="S336" s="181"/>
      <c r="T336" s="88" t="str">
        <f ca="1" t="shared" si="1"/>
        <v/>
      </c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</row>
    <row r="337" ht="15.75" customHeight="1" spans="1:45">
      <c r="A337" s="29"/>
      <c r="B337" s="29"/>
      <c r="C337" s="29"/>
      <c r="D337" s="29"/>
      <c r="E337" s="29"/>
      <c r="F337" s="29"/>
      <c r="G337" s="29"/>
      <c r="H337" s="29"/>
      <c r="I337" s="27" t="str">
        <f t="shared" si="0"/>
        <v/>
      </c>
      <c r="J337" s="29"/>
      <c r="K337" s="29"/>
      <c r="L337" s="29"/>
      <c r="M337" s="29"/>
      <c r="N337" s="29"/>
      <c r="O337" s="29"/>
      <c r="P337" s="29"/>
      <c r="Q337" s="29"/>
      <c r="R337" s="29"/>
      <c r="S337" s="181"/>
      <c r="T337" s="88" t="str">
        <f ca="1" t="shared" si="1"/>
        <v/>
      </c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</row>
    <row r="338" ht="15.75" customHeight="1" spans="1:45">
      <c r="A338" s="29"/>
      <c r="B338" s="29"/>
      <c r="C338" s="29"/>
      <c r="D338" s="29"/>
      <c r="E338" s="29"/>
      <c r="F338" s="29"/>
      <c r="G338" s="29"/>
      <c r="H338" s="29"/>
      <c r="I338" s="27" t="str">
        <f t="shared" si="0"/>
        <v/>
      </c>
      <c r="J338" s="29"/>
      <c r="K338" s="29"/>
      <c r="L338" s="29"/>
      <c r="M338" s="29"/>
      <c r="N338" s="29"/>
      <c r="O338" s="29"/>
      <c r="P338" s="29"/>
      <c r="Q338" s="29"/>
      <c r="R338" s="29"/>
      <c r="S338" s="181"/>
      <c r="T338" s="88" t="str">
        <f ca="1" t="shared" si="1"/>
        <v/>
      </c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</row>
    <row r="339" ht="15.75" customHeight="1" spans="1:45">
      <c r="A339" s="29"/>
      <c r="B339" s="29"/>
      <c r="C339" s="29"/>
      <c r="D339" s="29"/>
      <c r="E339" s="29"/>
      <c r="F339" s="29"/>
      <c r="G339" s="29"/>
      <c r="H339" s="29"/>
      <c r="I339" s="27" t="str">
        <f t="shared" si="0"/>
        <v/>
      </c>
      <c r="J339" s="29"/>
      <c r="K339" s="29"/>
      <c r="L339" s="29"/>
      <c r="M339" s="29"/>
      <c r="N339" s="29"/>
      <c r="O339" s="29"/>
      <c r="P339" s="29"/>
      <c r="Q339" s="29"/>
      <c r="R339" s="29"/>
      <c r="S339" s="181"/>
      <c r="T339" s="88" t="str">
        <f ca="1" t="shared" si="1"/>
        <v/>
      </c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</row>
    <row r="340" ht="15.75" customHeight="1" spans="1:45">
      <c r="A340" s="29"/>
      <c r="B340" s="29"/>
      <c r="C340" s="29"/>
      <c r="D340" s="29"/>
      <c r="E340" s="29"/>
      <c r="F340" s="29"/>
      <c r="G340" s="29"/>
      <c r="H340" s="29"/>
      <c r="I340" s="27" t="str">
        <f t="shared" si="0"/>
        <v/>
      </c>
      <c r="J340" s="29"/>
      <c r="K340" s="29"/>
      <c r="L340" s="29"/>
      <c r="M340" s="29"/>
      <c r="N340" s="29"/>
      <c r="O340" s="29"/>
      <c r="P340" s="29"/>
      <c r="Q340" s="29"/>
      <c r="R340" s="29"/>
      <c r="S340" s="181"/>
      <c r="T340" s="88" t="str">
        <f ca="1" t="shared" si="1"/>
        <v/>
      </c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</row>
    <row r="341" ht="15.75" customHeight="1" spans="1:45">
      <c r="A341" s="29"/>
      <c r="B341" s="29"/>
      <c r="C341" s="29"/>
      <c r="D341" s="29"/>
      <c r="E341" s="29"/>
      <c r="F341" s="29"/>
      <c r="G341" s="29"/>
      <c r="H341" s="29"/>
      <c r="I341" s="27" t="str">
        <f t="shared" si="0"/>
        <v/>
      </c>
      <c r="J341" s="29"/>
      <c r="K341" s="29"/>
      <c r="L341" s="29"/>
      <c r="M341" s="29"/>
      <c r="N341" s="29"/>
      <c r="O341" s="29"/>
      <c r="P341" s="29"/>
      <c r="Q341" s="29"/>
      <c r="R341" s="29"/>
      <c r="S341" s="181"/>
      <c r="T341" s="88" t="str">
        <f ca="1" t="shared" si="1"/>
        <v/>
      </c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</row>
    <row r="342" ht="15.75" customHeight="1" spans="1:45">
      <c r="A342" s="29"/>
      <c r="B342" s="29"/>
      <c r="C342" s="29"/>
      <c r="D342" s="29"/>
      <c r="E342" s="29"/>
      <c r="F342" s="29"/>
      <c r="G342" s="29"/>
      <c r="H342" s="29"/>
      <c r="I342" s="27" t="str">
        <f t="shared" si="0"/>
        <v/>
      </c>
      <c r="J342" s="29"/>
      <c r="K342" s="29"/>
      <c r="L342" s="29"/>
      <c r="M342" s="29"/>
      <c r="N342" s="29"/>
      <c r="O342" s="29"/>
      <c r="P342" s="29"/>
      <c r="Q342" s="29"/>
      <c r="R342" s="29"/>
      <c r="S342" s="181"/>
      <c r="T342" s="88" t="str">
        <f ca="1" t="shared" si="1"/>
        <v/>
      </c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</row>
    <row r="343" ht="15.75" customHeight="1" spans="1:45">
      <c r="A343" s="29"/>
      <c r="B343" s="29"/>
      <c r="C343" s="29"/>
      <c r="D343" s="29"/>
      <c r="E343" s="29"/>
      <c r="F343" s="29"/>
      <c r="G343" s="29"/>
      <c r="H343" s="29"/>
      <c r="I343" s="27" t="str">
        <f t="shared" si="0"/>
        <v/>
      </c>
      <c r="J343" s="29"/>
      <c r="K343" s="29"/>
      <c r="L343" s="29"/>
      <c r="M343" s="29"/>
      <c r="N343" s="29"/>
      <c r="O343" s="29"/>
      <c r="P343" s="29"/>
      <c r="Q343" s="29"/>
      <c r="R343" s="29"/>
      <c r="S343" s="181"/>
      <c r="T343" s="88" t="str">
        <f ca="1" t="shared" si="1"/>
        <v/>
      </c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</row>
    <row r="344" ht="15.75" customHeight="1" spans="1:45">
      <c r="A344" s="29"/>
      <c r="B344" s="29"/>
      <c r="C344" s="29"/>
      <c r="D344" s="29"/>
      <c r="E344" s="29"/>
      <c r="F344" s="29"/>
      <c r="G344" s="29"/>
      <c r="H344" s="29"/>
      <c r="I344" s="27" t="str">
        <f t="shared" si="0"/>
        <v/>
      </c>
      <c r="J344" s="29"/>
      <c r="K344" s="29"/>
      <c r="L344" s="29"/>
      <c r="M344" s="29"/>
      <c r="N344" s="29"/>
      <c r="O344" s="29"/>
      <c r="P344" s="29"/>
      <c r="Q344" s="29"/>
      <c r="R344" s="29"/>
      <c r="S344" s="181"/>
      <c r="T344" s="88" t="str">
        <f ca="1" t="shared" si="1"/>
        <v/>
      </c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</row>
    <row r="345" ht="15.75" customHeight="1" spans="1:45">
      <c r="A345" s="29"/>
      <c r="B345" s="29"/>
      <c r="C345" s="29"/>
      <c r="D345" s="29"/>
      <c r="E345" s="29"/>
      <c r="F345" s="29"/>
      <c r="G345" s="29"/>
      <c r="H345" s="29"/>
      <c r="I345" s="27" t="str">
        <f t="shared" si="0"/>
        <v/>
      </c>
      <c r="J345" s="29"/>
      <c r="K345" s="29"/>
      <c r="L345" s="29"/>
      <c r="M345" s="29"/>
      <c r="N345" s="29"/>
      <c r="O345" s="29"/>
      <c r="P345" s="29"/>
      <c r="Q345" s="29"/>
      <c r="R345" s="29"/>
      <c r="S345" s="181"/>
      <c r="T345" s="88" t="str">
        <f ca="1" t="shared" si="1"/>
        <v/>
      </c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</row>
    <row r="346" ht="15.75" customHeight="1" spans="1:45">
      <c r="A346" s="29"/>
      <c r="B346" s="29"/>
      <c r="C346" s="29"/>
      <c r="D346" s="29"/>
      <c r="E346" s="29"/>
      <c r="F346" s="29"/>
      <c r="G346" s="29"/>
      <c r="H346" s="29"/>
      <c r="I346" s="27" t="str">
        <f t="shared" si="0"/>
        <v/>
      </c>
      <c r="J346" s="29"/>
      <c r="K346" s="29"/>
      <c r="L346" s="29"/>
      <c r="M346" s="29"/>
      <c r="N346" s="29"/>
      <c r="O346" s="29"/>
      <c r="P346" s="29"/>
      <c r="Q346" s="29"/>
      <c r="R346" s="29"/>
      <c r="S346" s="181"/>
      <c r="T346" s="88" t="str">
        <f ca="1" t="shared" si="1"/>
        <v/>
      </c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</row>
    <row r="347" ht="15.75" customHeight="1" spans="1:45">
      <c r="A347" s="29"/>
      <c r="B347" s="29"/>
      <c r="C347" s="29"/>
      <c r="D347" s="29"/>
      <c r="E347" s="29"/>
      <c r="F347" s="29"/>
      <c r="G347" s="29"/>
      <c r="H347" s="29"/>
      <c r="I347" s="27" t="str">
        <f t="shared" si="0"/>
        <v/>
      </c>
      <c r="J347" s="29"/>
      <c r="K347" s="29"/>
      <c r="L347" s="29"/>
      <c r="M347" s="29"/>
      <c r="N347" s="29"/>
      <c r="O347" s="29"/>
      <c r="P347" s="29"/>
      <c r="Q347" s="29"/>
      <c r="R347" s="29"/>
      <c r="S347" s="181"/>
      <c r="T347" s="88" t="str">
        <f ca="1" t="shared" si="1"/>
        <v/>
      </c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</row>
    <row r="348" ht="15.75" customHeight="1" spans="1:45">
      <c r="A348" s="29"/>
      <c r="B348" s="29"/>
      <c r="C348" s="29"/>
      <c r="D348" s="29"/>
      <c r="E348" s="29"/>
      <c r="F348" s="29"/>
      <c r="G348" s="29"/>
      <c r="H348" s="29"/>
      <c r="I348" s="27" t="str">
        <f t="shared" si="0"/>
        <v/>
      </c>
      <c r="J348" s="29"/>
      <c r="K348" s="29"/>
      <c r="L348" s="29"/>
      <c r="M348" s="29"/>
      <c r="N348" s="29"/>
      <c r="O348" s="29"/>
      <c r="P348" s="29"/>
      <c r="Q348" s="29"/>
      <c r="R348" s="29"/>
      <c r="S348" s="181"/>
      <c r="T348" s="88" t="str">
        <f ca="1" t="shared" si="1"/>
        <v/>
      </c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</row>
    <row r="349" ht="15.75" customHeight="1" spans="1:45">
      <c r="A349" s="29"/>
      <c r="B349" s="29"/>
      <c r="C349" s="29"/>
      <c r="D349" s="29"/>
      <c r="E349" s="29"/>
      <c r="F349" s="29"/>
      <c r="G349" s="29"/>
      <c r="H349" s="29"/>
      <c r="I349" s="27" t="str">
        <f t="shared" si="0"/>
        <v/>
      </c>
      <c r="J349" s="29"/>
      <c r="K349" s="29"/>
      <c r="L349" s="29"/>
      <c r="M349" s="29"/>
      <c r="N349" s="29"/>
      <c r="O349" s="29"/>
      <c r="P349" s="29"/>
      <c r="Q349" s="29"/>
      <c r="R349" s="29"/>
      <c r="S349" s="181"/>
      <c r="T349" s="88" t="str">
        <f ca="1" t="shared" si="1"/>
        <v/>
      </c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</row>
    <row r="350" ht="15.75" customHeight="1" spans="1:45">
      <c r="A350" s="29"/>
      <c r="B350" s="29"/>
      <c r="C350" s="29"/>
      <c r="D350" s="29"/>
      <c r="E350" s="29"/>
      <c r="F350" s="29"/>
      <c r="G350" s="29"/>
      <c r="H350" s="29"/>
      <c r="I350" s="27" t="str">
        <f t="shared" si="0"/>
        <v/>
      </c>
      <c r="J350" s="29"/>
      <c r="K350" s="29"/>
      <c r="L350" s="29"/>
      <c r="M350" s="29"/>
      <c r="N350" s="29"/>
      <c r="O350" s="29"/>
      <c r="P350" s="29"/>
      <c r="Q350" s="29"/>
      <c r="R350" s="29"/>
      <c r="S350" s="181"/>
      <c r="T350" s="88" t="str">
        <f ca="1" t="shared" si="1"/>
        <v/>
      </c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</row>
    <row r="351" ht="15.75" customHeight="1" spans="1:45">
      <c r="A351" s="29"/>
      <c r="B351" s="29"/>
      <c r="C351" s="29"/>
      <c r="D351" s="29"/>
      <c r="E351" s="29"/>
      <c r="F351" s="29"/>
      <c r="G351" s="29"/>
      <c r="H351" s="29"/>
      <c r="I351" s="27" t="str">
        <f t="shared" si="0"/>
        <v/>
      </c>
      <c r="J351" s="29"/>
      <c r="K351" s="29"/>
      <c r="L351" s="29"/>
      <c r="M351" s="29"/>
      <c r="N351" s="29"/>
      <c r="O351" s="29"/>
      <c r="P351" s="29"/>
      <c r="Q351" s="29"/>
      <c r="R351" s="29"/>
      <c r="S351" s="181"/>
      <c r="T351" s="88" t="str">
        <f ca="1" t="shared" si="1"/>
        <v/>
      </c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</row>
    <row r="352" ht="15.75" customHeight="1" spans="1:45">
      <c r="A352" s="29"/>
      <c r="B352" s="29"/>
      <c r="C352" s="29"/>
      <c r="D352" s="29"/>
      <c r="E352" s="29"/>
      <c r="F352" s="29"/>
      <c r="G352" s="29"/>
      <c r="H352" s="29"/>
      <c r="I352" s="27" t="str">
        <f t="shared" si="0"/>
        <v/>
      </c>
      <c r="J352" s="29"/>
      <c r="K352" s="29"/>
      <c r="L352" s="29"/>
      <c r="M352" s="29"/>
      <c r="N352" s="29"/>
      <c r="O352" s="29"/>
      <c r="P352" s="29"/>
      <c r="Q352" s="29"/>
      <c r="R352" s="29"/>
      <c r="S352" s="181"/>
      <c r="T352" s="88" t="str">
        <f ca="1" t="shared" si="1"/>
        <v/>
      </c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</row>
    <row r="353" ht="15.75" customHeight="1" spans="1:45">
      <c r="A353" s="29"/>
      <c r="B353" s="29"/>
      <c r="C353" s="29"/>
      <c r="D353" s="29"/>
      <c r="E353" s="29"/>
      <c r="F353" s="29"/>
      <c r="G353" s="29"/>
      <c r="H353" s="29"/>
      <c r="I353" s="27" t="str">
        <f t="shared" si="0"/>
        <v/>
      </c>
      <c r="J353" s="29"/>
      <c r="K353" s="29"/>
      <c r="L353" s="29"/>
      <c r="M353" s="29"/>
      <c r="N353" s="29"/>
      <c r="O353" s="29"/>
      <c r="P353" s="29"/>
      <c r="Q353" s="29"/>
      <c r="R353" s="29"/>
      <c r="S353" s="181"/>
      <c r="T353" s="88" t="str">
        <f ca="1" t="shared" si="1"/>
        <v/>
      </c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</row>
    <row r="354" ht="15.75" customHeight="1" spans="1:45">
      <c r="A354" s="29"/>
      <c r="B354" s="29"/>
      <c r="C354" s="29"/>
      <c r="D354" s="29"/>
      <c r="E354" s="29"/>
      <c r="F354" s="29"/>
      <c r="G354" s="29"/>
      <c r="H354" s="29"/>
      <c r="I354" s="27" t="str">
        <f t="shared" si="0"/>
        <v/>
      </c>
      <c r="J354" s="29"/>
      <c r="K354" s="29"/>
      <c r="L354" s="29"/>
      <c r="M354" s="29"/>
      <c r="N354" s="29"/>
      <c r="O354" s="29"/>
      <c r="P354" s="29"/>
      <c r="Q354" s="29"/>
      <c r="R354" s="29"/>
      <c r="S354" s="181"/>
      <c r="T354" s="88" t="str">
        <f ca="1" t="shared" si="1"/>
        <v/>
      </c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</row>
    <row r="355" ht="15.75" customHeight="1" spans="1:45">
      <c r="A355" s="29"/>
      <c r="B355" s="29"/>
      <c r="C355" s="29"/>
      <c r="D355" s="29"/>
      <c r="E355" s="29"/>
      <c r="F355" s="29"/>
      <c r="G355" s="29"/>
      <c r="H355" s="29"/>
      <c r="I355" s="27" t="str">
        <f t="shared" si="0"/>
        <v/>
      </c>
      <c r="J355" s="29"/>
      <c r="K355" s="29"/>
      <c r="L355" s="29"/>
      <c r="M355" s="29"/>
      <c r="N355" s="29"/>
      <c r="O355" s="29"/>
      <c r="P355" s="29"/>
      <c r="Q355" s="29"/>
      <c r="R355" s="29"/>
      <c r="S355" s="181"/>
      <c r="T355" s="88" t="str">
        <f ca="1" t="shared" si="1"/>
        <v/>
      </c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</row>
    <row r="356" ht="15.75" customHeight="1" spans="1:45">
      <c r="A356" s="29"/>
      <c r="B356" s="29"/>
      <c r="C356" s="29"/>
      <c r="D356" s="29"/>
      <c r="E356" s="29"/>
      <c r="F356" s="29"/>
      <c r="G356" s="29"/>
      <c r="H356" s="29"/>
      <c r="I356" s="27" t="str">
        <f t="shared" si="0"/>
        <v/>
      </c>
      <c r="J356" s="29"/>
      <c r="K356" s="29"/>
      <c r="L356" s="29"/>
      <c r="M356" s="29"/>
      <c r="N356" s="29"/>
      <c r="O356" s="29"/>
      <c r="P356" s="29"/>
      <c r="Q356" s="29"/>
      <c r="R356" s="29"/>
      <c r="S356" s="181"/>
      <c r="T356" s="88" t="str">
        <f ca="1" t="shared" si="1"/>
        <v/>
      </c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</row>
    <row r="357" ht="15.75" customHeight="1" spans="1:45">
      <c r="A357" s="29"/>
      <c r="B357" s="29"/>
      <c r="C357" s="29"/>
      <c r="D357" s="29"/>
      <c r="E357" s="29"/>
      <c r="F357" s="29"/>
      <c r="G357" s="29"/>
      <c r="H357" s="29"/>
      <c r="I357" s="27" t="str">
        <f t="shared" si="0"/>
        <v/>
      </c>
      <c r="J357" s="29"/>
      <c r="K357" s="29"/>
      <c r="L357" s="29"/>
      <c r="M357" s="29"/>
      <c r="N357" s="29"/>
      <c r="O357" s="29"/>
      <c r="P357" s="29"/>
      <c r="Q357" s="29"/>
      <c r="R357" s="29"/>
      <c r="S357" s="181"/>
      <c r="T357" s="88" t="str">
        <f ca="1" t="shared" si="1"/>
        <v/>
      </c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</row>
    <row r="358" ht="15.75" customHeight="1" spans="1:45">
      <c r="A358" s="29"/>
      <c r="B358" s="29"/>
      <c r="C358" s="29"/>
      <c r="D358" s="29"/>
      <c r="E358" s="29"/>
      <c r="F358" s="29"/>
      <c r="G358" s="29"/>
      <c r="H358" s="29"/>
      <c r="I358" s="27" t="str">
        <f t="shared" si="0"/>
        <v/>
      </c>
      <c r="J358" s="29"/>
      <c r="K358" s="29"/>
      <c r="L358" s="29"/>
      <c r="M358" s="29"/>
      <c r="N358" s="29"/>
      <c r="O358" s="29"/>
      <c r="P358" s="29"/>
      <c r="Q358" s="29"/>
      <c r="R358" s="29"/>
      <c r="S358" s="181"/>
      <c r="T358" s="88" t="str">
        <f ca="1" t="shared" si="1"/>
        <v/>
      </c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</row>
    <row r="359" ht="15.75" customHeight="1" spans="1:45">
      <c r="A359" s="29"/>
      <c r="B359" s="29"/>
      <c r="C359" s="29"/>
      <c r="D359" s="29"/>
      <c r="E359" s="29"/>
      <c r="F359" s="29"/>
      <c r="G359" s="29"/>
      <c r="H359" s="29"/>
      <c r="I359" s="27" t="str">
        <f t="shared" si="0"/>
        <v/>
      </c>
      <c r="J359" s="29"/>
      <c r="K359" s="29"/>
      <c r="L359" s="29"/>
      <c r="M359" s="29"/>
      <c r="N359" s="29"/>
      <c r="O359" s="29"/>
      <c r="P359" s="29"/>
      <c r="Q359" s="29"/>
      <c r="R359" s="29"/>
      <c r="S359" s="181"/>
      <c r="T359" s="88" t="str">
        <f ca="1" t="shared" si="1"/>
        <v/>
      </c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</row>
    <row r="360" ht="15.75" customHeight="1" spans="1:45">
      <c r="A360" s="29"/>
      <c r="B360" s="29"/>
      <c r="C360" s="29"/>
      <c r="D360" s="29"/>
      <c r="E360" s="29"/>
      <c r="F360" s="29"/>
      <c r="G360" s="29"/>
      <c r="H360" s="29"/>
      <c r="I360" s="27" t="str">
        <f t="shared" si="0"/>
        <v/>
      </c>
      <c r="J360" s="29"/>
      <c r="K360" s="29"/>
      <c r="L360" s="29"/>
      <c r="M360" s="29"/>
      <c r="N360" s="29"/>
      <c r="O360" s="29"/>
      <c r="P360" s="29"/>
      <c r="Q360" s="29"/>
      <c r="R360" s="29"/>
      <c r="S360" s="181"/>
      <c r="T360" s="88" t="str">
        <f ca="1" t="shared" si="1"/>
        <v/>
      </c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</row>
    <row r="361" ht="15.75" customHeight="1" spans="1:45">
      <c r="A361" s="29"/>
      <c r="B361" s="29"/>
      <c r="C361" s="29"/>
      <c r="D361" s="29"/>
      <c r="E361" s="29"/>
      <c r="F361" s="29"/>
      <c r="G361" s="29"/>
      <c r="H361" s="29"/>
      <c r="I361" s="27" t="str">
        <f t="shared" si="0"/>
        <v/>
      </c>
      <c r="J361" s="29"/>
      <c r="K361" s="29"/>
      <c r="L361" s="29"/>
      <c r="M361" s="29"/>
      <c r="N361" s="29"/>
      <c r="O361" s="29"/>
      <c r="P361" s="29"/>
      <c r="Q361" s="29"/>
      <c r="R361" s="29"/>
      <c r="S361" s="181"/>
      <c r="T361" s="88" t="str">
        <f ca="1" t="shared" si="1"/>
        <v/>
      </c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</row>
    <row r="362" ht="15.75" customHeight="1" spans="1:45">
      <c r="A362" s="29"/>
      <c r="B362" s="29"/>
      <c r="C362" s="29"/>
      <c r="D362" s="29"/>
      <c r="E362" s="29"/>
      <c r="F362" s="29"/>
      <c r="G362" s="29"/>
      <c r="H362" s="29"/>
      <c r="I362" s="27" t="str">
        <f t="shared" si="0"/>
        <v/>
      </c>
      <c r="J362" s="29"/>
      <c r="K362" s="29"/>
      <c r="L362" s="29"/>
      <c r="M362" s="29"/>
      <c r="N362" s="29"/>
      <c r="O362" s="29"/>
      <c r="P362" s="29"/>
      <c r="Q362" s="29"/>
      <c r="R362" s="29"/>
      <c r="S362" s="181"/>
      <c r="T362" s="88" t="str">
        <f ca="1" t="shared" si="1"/>
        <v/>
      </c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</row>
    <row r="363" ht="15.75" customHeight="1" spans="1:45">
      <c r="A363" s="29"/>
      <c r="B363" s="29"/>
      <c r="C363" s="29"/>
      <c r="D363" s="29"/>
      <c r="E363" s="29"/>
      <c r="F363" s="29"/>
      <c r="G363" s="29"/>
      <c r="H363" s="29"/>
      <c r="I363" s="27" t="str">
        <f t="shared" si="0"/>
        <v/>
      </c>
      <c r="J363" s="29"/>
      <c r="K363" s="29"/>
      <c r="L363" s="29"/>
      <c r="M363" s="29"/>
      <c r="N363" s="29"/>
      <c r="O363" s="29"/>
      <c r="P363" s="29"/>
      <c r="Q363" s="29"/>
      <c r="R363" s="29"/>
      <c r="S363" s="181"/>
      <c r="T363" s="88" t="str">
        <f ca="1" t="shared" si="1"/>
        <v/>
      </c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</row>
    <row r="364" ht="15.75" customHeight="1" spans="1:45">
      <c r="A364" s="29"/>
      <c r="B364" s="29"/>
      <c r="C364" s="29"/>
      <c r="D364" s="29"/>
      <c r="E364" s="29"/>
      <c r="F364" s="29"/>
      <c r="G364" s="29"/>
      <c r="H364" s="29"/>
      <c r="I364" s="27" t="str">
        <f t="shared" si="0"/>
        <v/>
      </c>
      <c r="J364" s="29"/>
      <c r="K364" s="29"/>
      <c r="L364" s="29"/>
      <c r="M364" s="29"/>
      <c r="N364" s="29"/>
      <c r="O364" s="29"/>
      <c r="P364" s="29"/>
      <c r="Q364" s="29"/>
      <c r="R364" s="29"/>
      <c r="S364" s="181"/>
      <c r="T364" s="88" t="str">
        <f ca="1" t="shared" si="1"/>
        <v/>
      </c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</row>
    <row r="365" ht="15.75" customHeight="1" spans="1:45">
      <c r="A365" s="29"/>
      <c r="B365" s="29"/>
      <c r="C365" s="29"/>
      <c r="D365" s="29"/>
      <c r="E365" s="29"/>
      <c r="F365" s="29"/>
      <c r="G365" s="29"/>
      <c r="H365" s="29"/>
      <c r="I365" s="27" t="str">
        <f t="shared" si="0"/>
        <v/>
      </c>
      <c r="J365" s="29"/>
      <c r="K365" s="29"/>
      <c r="L365" s="29"/>
      <c r="M365" s="29"/>
      <c r="N365" s="29"/>
      <c r="O365" s="29"/>
      <c r="P365" s="29"/>
      <c r="Q365" s="29"/>
      <c r="R365" s="29"/>
      <c r="S365" s="181"/>
      <c r="T365" s="88" t="str">
        <f ca="1" t="shared" si="1"/>
        <v/>
      </c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</row>
    <row r="366" ht="15.75" customHeight="1" spans="1:45">
      <c r="A366" s="29"/>
      <c r="B366" s="29"/>
      <c r="C366" s="29"/>
      <c r="D366" s="29"/>
      <c r="E366" s="29"/>
      <c r="F366" s="29"/>
      <c r="G366" s="29"/>
      <c r="H366" s="29"/>
      <c r="I366" s="27" t="str">
        <f t="shared" si="0"/>
        <v/>
      </c>
      <c r="J366" s="29"/>
      <c r="K366" s="29"/>
      <c r="L366" s="29"/>
      <c r="M366" s="29"/>
      <c r="N366" s="29"/>
      <c r="O366" s="29"/>
      <c r="P366" s="29"/>
      <c r="Q366" s="29"/>
      <c r="R366" s="29"/>
      <c r="S366" s="181"/>
      <c r="T366" s="88" t="str">
        <f ca="1" t="shared" si="1"/>
        <v/>
      </c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</row>
    <row r="367" ht="15.75" customHeight="1" spans="1:45">
      <c r="A367" s="29"/>
      <c r="B367" s="29"/>
      <c r="C367" s="29"/>
      <c r="D367" s="29"/>
      <c r="E367" s="29"/>
      <c r="F367" s="29"/>
      <c r="G367" s="29"/>
      <c r="H367" s="29"/>
      <c r="I367" s="27" t="str">
        <f t="shared" si="0"/>
        <v/>
      </c>
      <c r="J367" s="29"/>
      <c r="K367" s="29"/>
      <c r="L367" s="29"/>
      <c r="M367" s="29"/>
      <c r="N367" s="29"/>
      <c r="O367" s="29"/>
      <c r="P367" s="29"/>
      <c r="Q367" s="29"/>
      <c r="R367" s="29"/>
      <c r="S367" s="181"/>
      <c r="T367" s="88" t="str">
        <f ca="1" t="shared" si="1"/>
        <v/>
      </c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</row>
    <row r="368" ht="15.75" customHeight="1" spans="1:45">
      <c r="A368" s="29"/>
      <c r="B368" s="29"/>
      <c r="C368" s="29"/>
      <c r="D368" s="29"/>
      <c r="E368" s="29"/>
      <c r="F368" s="29"/>
      <c r="G368" s="29"/>
      <c r="H368" s="29"/>
      <c r="I368" s="27" t="str">
        <f t="shared" si="0"/>
        <v/>
      </c>
      <c r="J368" s="29"/>
      <c r="K368" s="29"/>
      <c r="L368" s="29"/>
      <c r="M368" s="29"/>
      <c r="N368" s="29"/>
      <c r="O368" s="29"/>
      <c r="P368" s="29"/>
      <c r="Q368" s="29"/>
      <c r="R368" s="29"/>
      <c r="S368" s="181"/>
      <c r="T368" s="88" t="str">
        <f ca="1" t="shared" si="1"/>
        <v/>
      </c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</row>
    <row r="369" ht="15.75" customHeight="1" spans="1:45">
      <c r="A369" s="29"/>
      <c r="B369" s="29"/>
      <c r="C369" s="29"/>
      <c r="D369" s="29"/>
      <c r="E369" s="29"/>
      <c r="F369" s="29"/>
      <c r="G369" s="29"/>
      <c r="H369" s="29"/>
      <c r="I369" s="27" t="str">
        <f t="shared" si="0"/>
        <v/>
      </c>
      <c r="J369" s="29"/>
      <c r="K369" s="29"/>
      <c r="L369" s="29"/>
      <c r="M369" s="29"/>
      <c r="N369" s="29"/>
      <c r="O369" s="29"/>
      <c r="P369" s="29"/>
      <c r="Q369" s="29"/>
      <c r="R369" s="29"/>
      <c r="S369" s="181"/>
      <c r="T369" s="88" t="str">
        <f ca="1" t="shared" si="1"/>
        <v/>
      </c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</row>
    <row r="370" ht="15.75" customHeight="1" spans="1:45">
      <c r="A370" s="29"/>
      <c r="B370" s="29"/>
      <c r="C370" s="29"/>
      <c r="D370" s="29"/>
      <c r="E370" s="29"/>
      <c r="F370" s="29"/>
      <c r="G370" s="29"/>
      <c r="H370" s="29"/>
      <c r="I370" s="27" t="str">
        <f t="shared" si="0"/>
        <v/>
      </c>
      <c r="J370" s="29"/>
      <c r="K370" s="29"/>
      <c r="L370" s="29"/>
      <c r="M370" s="29"/>
      <c r="N370" s="29"/>
      <c r="O370" s="29"/>
      <c r="P370" s="29"/>
      <c r="Q370" s="29"/>
      <c r="R370" s="29"/>
      <c r="S370" s="181"/>
      <c r="T370" s="88" t="str">
        <f ca="1" t="shared" si="1"/>
        <v/>
      </c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</row>
    <row r="371" ht="15.75" customHeight="1" spans="1:45">
      <c r="A371" s="29"/>
      <c r="B371" s="29"/>
      <c r="C371" s="29"/>
      <c r="D371" s="29"/>
      <c r="E371" s="29"/>
      <c r="F371" s="29"/>
      <c r="G371" s="29"/>
      <c r="H371" s="29"/>
      <c r="I371" s="27" t="str">
        <f t="shared" si="0"/>
        <v/>
      </c>
      <c r="J371" s="29"/>
      <c r="K371" s="29"/>
      <c r="L371" s="29"/>
      <c r="M371" s="29"/>
      <c r="N371" s="29"/>
      <c r="O371" s="29"/>
      <c r="P371" s="29"/>
      <c r="Q371" s="29"/>
      <c r="R371" s="29"/>
      <c r="S371" s="181"/>
      <c r="T371" s="88" t="str">
        <f ca="1" t="shared" si="1"/>
        <v/>
      </c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</row>
    <row r="372" ht="15.75" customHeight="1" spans="1:45">
      <c r="A372" s="29"/>
      <c r="B372" s="29"/>
      <c r="C372" s="29"/>
      <c r="D372" s="29"/>
      <c r="E372" s="29"/>
      <c r="F372" s="29"/>
      <c r="G372" s="29"/>
      <c r="H372" s="29"/>
      <c r="I372" s="27" t="str">
        <f t="shared" si="0"/>
        <v/>
      </c>
      <c r="J372" s="29"/>
      <c r="K372" s="29"/>
      <c r="L372" s="29"/>
      <c r="M372" s="29"/>
      <c r="N372" s="29"/>
      <c r="O372" s="29"/>
      <c r="P372" s="29"/>
      <c r="Q372" s="29"/>
      <c r="R372" s="29"/>
      <c r="S372" s="181"/>
      <c r="T372" s="88" t="str">
        <f ca="1" t="shared" si="1"/>
        <v/>
      </c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</row>
    <row r="373" ht="15.75" customHeight="1" spans="1:45">
      <c r="A373" s="29"/>
      <c r="B373" s="29"/>
      <c r="C373" s="29"/>
      <c r="D373" s="29"/>
      <c r="E373" s="29"/>
      <c r="F373" s="29"/>
      <c r="G373" s="29"/>
      <c r="H373" s="29"/>
      <c r="I373" s="27" t="str">
        <f t="shared" si="0"/>
        <v/>
      </c>
      <c r="J373" s="29"/>
      <c r="K373" s="29"/>
      <c r="L373" s="29"/>
      <c r="M373" s="29"/>
      <c r="N373" s="29"/>
      <c r="O373" s="29"/>
      <c r="P373" s="29"/>
      <c r="Q373" s="29"/>
      <c r="R373" s="29"/>
      <c r="S373" s="181"/>
      <c r="T373" s="88" t="str">
        <f ca="1" t="shared" si="1"/>
        <v/>
      </c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</row>
    <row r="374" ht="15.75" customHeight="1" spans="1:45">
      <c r="A374" s="29"/>
      <c r="B374" s="29"/>
      <c r="C374" s="29"/>
      <c r="D374" s="29"/>
      <c r="E374" s="29"/>
      <c r="F374" s="29"/>
      <c r="G374" s="29"/>
      <c r="H374" s="29"/>
      <c r="I374" s="27" t="str">
        <f t="shared" si="0"/>
        <v/>
      </c>
      <c r="J374" s="29"/>
      <c r="K374" s="29"/>
      <c r="L374" s="29"/>
      <c r="M374" s="29"/>
      <c r="N374" s="29"/>
      <c r="O374" s="29"/>
      <c r="P374" s="29"/>
      <c r="Q374" s="29"/>
      <c r="R374" s="29"/>
      <c r="S374" s="181"/>
      <c r="T374" s="88" t="str">
        <f ca="1" t="shared" si="1"/>
        <v/>
      </c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</row>
    <row r="375" ht="15.75" customHeight="1" spans="1:45">
      <c r="A375" s="29"/>
      <c r="B375" s="29"/>
      <c r="C375" s="29"/>
      <c r="D375" s="29"/>
      <c r="E375" s="29"/>
      <c r="F375" s="29"/>
      <c r="G375" s="29"/>
      <c r="H375" s="29"/>
      <c r="I375" s="27" t="str">
        <f t="shared" si="0"/>
        <v/>
      </c>
      <c r="J375" s="29"/>
      <c r="K375" s="29"/>
      <c r="L375" s="29"/>
      <c r="M375" s="29"/>
      <c r="N375" s="29"/>
      <c r="O375" s="29"/>
      <c r="P375" s="29"/>
      <c r="Q375" s="29"/>
      <c r="R375" s="29"/>
      <c r="S375" s="181"/>
      <c r="T375" s="88" t="str">
        <f ca="1" t="shared" si="1"/>
        <v/>
      </c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</row>
    <row r="376" ht="15.75" customHeight="1" spans="1:45">
      <c r="A376" s="29"/>
      <c r="B376" s="29"/>
      <c r="C376" s="29"/>
      <c r="D376" s="29"/>
      <c r="E376" s="29"/>
      <c r="F376" s="29"/>
      <c r="G376" s="29"/>
      <c r="H376" s="29"/>
      <c r="I376" s="27" t="str">
        <f t="shared" si="0"/>
        <v/>
      </c>
      <c r="J376" s="29"/>
      <c r="K376" s="29"/>
      <c r="L376" s="29"/>
      <c r="M376" s="29"/>
      <c r="N376" s="29"/>
      <c r="O376" s="29"/>
      <c r="P376" s="29"/>
      <c r="Q376" s="29"/>
      <c r="R376" s="29"/>
      <c r="S376" s="181"/>
      <c r="T376" s="88" t="str">
        <f ca="1" t="shared" si="1"/>
        <v/>
      </c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</row>
    <row r="377" ht="15.75" customHeight="1" spans="1:45">
      <c r="A377" s="29"/>
      <c r="B377" s="29"/>
      <c r="C377" s="29"/>
      <c r="D377" s="29"/>
      <c r="E377" s="29"/>
      <c r="F377" s="29"/>
      <c r="G377" s="29"/>
      <c r="H377" s="29"/>
      <c r="I377" s="27" t="str">
        <f t="shared" si="0"/>
        <v/>
      </c>
      <c r="J377" s="29"/>
      <c r="K377" s="29"/>
      <c r="L377" s="29"/>
      <c r="M377" s="29"/>
      <c r="N377" s="29"/>
      <c r="O377" s="29"/>
      <c r="P377" s="29"/>
      <c r="Q377" s="29"/>
      <c r="R377" s="29"/>
      <c r="S377" s="181"/>
      <c r="T377" s="88" t="str">
        <f ca="1" t="shared" si="1"/>
        <v/>
      </c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</row>
    <row r="378" ht="15.75" customHeight="1" spans="1:45">
      <c r="A378" s="29"/>
      <c r="B378" s="29"/>
      <c r="C378" s="29"/>
      <c r="D378" s="29"/>
      <c r="E378" s="29"/>
      <c r="F378" s="29"/>
      <c r="G378" s="29"/>
      <c r="H378" s="29"/>
      <c r="I378" s="27" t="str">
        <f t="shared" si="0"/>
        <v/>
      </c>
      <c r="J378" s="29"/>
      <c r="K378" s="29"/>
      <c r="L378" s="29"/>
      <c r="M378" s="29"/>
      <c r="N378" s="29"/>
      <c r="O378" s="29"/>
      <c r="P378" s="29"/>
      <c r="Q378" s="29"/>
      <c r="R378" s="29"/>
      <c r="S378" s="181"/>
      <c r="T378" s="88" t="str">
        <f ca="1" t="shared" si="1"/>
        <v/>
      </c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</row>
    <row r="379" ht="15.75" customHeight="1" spans="1:45">
      <c r="A379" s="29"/>
      <c r="B379" s="29"/>
      <c r="C379" s="29"/>
      <c r="D379" s="29"/>
      <c r="E379" s="29"/>
      <c r="F379" s="29"/>
      <c r="G379" s="29"/>
      <c r="H379" s="29"/>
      <c r="I379" s="27" t="str">
        <f t="shared" si="0"/>
        <v/>
      </c>
      <c r="J379" s="29"/>
      <c r="K379" s="29"/>
      <c r="L379" s="29"/>
      <c r="M379" s="29"/>
      <c r="N379" s="29"/>
      <c r="O379" s="29"/>
      <c r="P379" s="29"/>
      <c r="Q379" s="29"/>
      <c r="R379" s="29"/>
      <c r="S379" s="181"/>
      <c r="T379" s="88" t="str">
        <f ca="1" t="shared" si="1"/>
        <v/>
      </c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</row>
    <row r="380" ht="15.75" customHeight="1" spans="1:45">
      <c r="A380" s="29"/>
      <c r="B380" s="29"/>
      <c r="C380" s="29"/>
      <c r="D380" s="29"/>
      <c r="E380" s="29"/>
      <c r="F380" s="29"/>
      <c r="G380" s="29"/>
      <c r="H380" s="29"/>
      <c r="I380" s="27" t="str">
        <f t="shared" si="0"/>
        <v/>
      </c>
      <c r="J380" s="29"/>
      <c r="K380" s="29"/>
      <c r="L380" s="29"/>
      <c r="M380" s="29"/>
      <c r="N380" s="29"/>
      <c r="O380" s="29"/>
      <c r="P380" s="29"/>
      <c r="Q380" s="29"/>
      <c r="R380" s="29"/>
      <c r="S380" s="181"/>
      <c r="T380" s="88" t="str">
        <f ca="1" t="shared" si="1"/>
        <v/>
      </c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</row>
    <row r="381" ht="15.75" customHeight="1" spans="1:45">
      <c r="A381" s="29"/>
      <c r="B381" s="29"/>
      <c r="C381" s="29"/>
      <c r="D381" s="29"/>
      <c r="E381" s="29"/>
      <c r="F381" s="29"/>
      <c r="G381" s="29"/>
      <c r="H381" s="29"/>
      <c r="I381" s="27" t="str">
        <f t="shared" si="0"/>
        <v/>
      </c>
      <c r="J381" s="29"/>
      <c r="K381" s="29"/>
      <c r="L381" s="29"/>
      <c r="M381" s="29"/>
      <c r="N381" s="29"/>
      <c r="O381" s="29"/>
      <c r="P381" s="29"/>
      <c r="Q381" s="29"/>
      <c r="R381" s="29"/>
      <c r="S381" s="181"/>
      <c r="T381" s="88" t="str">
        <f ca="1" t="shared" si="1"/>
        <v/>
      </c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</row>
    <row r="382" ht="15.75" customHeight="1" spans="1:45">
      <c r="A382" s="29"/>
      <c r="B382" s="29"/>
      <c r="C382" s="29"/>
      <c r="D382" s="29"/>
      <c r="E382" s="29"/>
      <c r="F382" s="29"/>
      <c r="G382" s="29"/>
      <c r="H382" s="29"/>
      <c r="I382" s="27" t="str">
        <f t="shared" si="0"/>
        <v/>
      </c>
      <c r="J382" s="29"/>
      <c r="K382" s="29"/>
      <c r="L382" s="29"/>
      <c r="M382" s="29"/>
      <c r="N382" s="29"/>
      <c r="O382" s="29"/>
      <c r="P382" s="29"/>
      <c r="Q382" s="29"/>
      <c r="R382" s="29"/>
      <c r="S382" s="181"/>
      <c r="T382" s="88" t="str">
        <f ca="1" t="shared" si="1"/>
        <v/>
      </c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</row>
    <row r="383" ht="15.75" customHeight="1" spans="1:45">
      <c r="A383" s="29"/>
      <c r="B383" s="29"/>
      <c r="C383" s="29"/>
      <c r="D383" s="29"/>
      <c r="E383" s="29"/>
      <c r="F383" s="29"/>
      <c r="G383" s="29"/>
      <c r="H383" s="29"/>
      <c r="I383" s="27" t="str">
        <f t="shared" si="0"/>
        <v/>
      </c>
      <c r="J383" s="29"/>
      <c r="K383" s="29"/>
      <c r="L383" s="29"/>
      <c r="M383" s="29"/>
      <c r="N383" s="29"/>
      <c r="O383" s="29"/>
      <c r="P383" s="29"/>
      <c r="Q383" s="29"/>
      <c r="R383" s="29"/>
      <c r="S383" s="181"/>
      <c r="T383" s="88" t="str">
        <f ca="1" t="shared" si="1"/>
        <v/>
      </c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</row>
    <row r="384" ht="15.75" customHeight="1" spans="1:45">
      <c r="A384" s="29"/>
      <c r="B384" s="29"/>
      <c r="C384" s="29"/>
      <c r="D384" s="29"/>
      <c r="E384" s="29"/>
      <c r="F384" s="29"/>
      <c r="G384" s="29"/>
      <c r="H384" s="29"/>
      <c r="I384" s="27" t="str">
        <f t="shared" si="0"/>
        <v/>
      </c>
      <c r="J384" s="29"/>
      <c r="K384" s="29"/>
      <c r="L384" s="29"/>
      <c r="M384" s="29"/>
      <c r="N384" s="29"/>
      <c r="O384" s="29"/>
      <c r="P384" s="29"/>
      <c r="Q384" s="29"/>
      <c r="R384" s="29"/>
      <c r="S384" s="181"/>
      <c r="T384" s="88" t="str">
        <f ca="1" t="shared" si="1"/>
        <v/>
      </c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</row>
    <row r="385" ht="15.75" customHeight="1" spans="1:45">
      <c r="A385" s="29"/>
      <c r="B385" s="29"/>
      <c r="C385" s="29"/>
      <c r="D385" s="29"/>
      <c r="E385" s="29"/>
      <c r="F385" s="29"/>
      <c r="G385" s="29"/>
      <c r="H385" s="29"/>
      <c r="I385" s="27" t="str">
        <f t="shared" si="0"/>
        <v/>
      </c>
      <c r="J385" s="29"/>
      <c r="K385" s="29"/>
      <c r="L385" s="29"/>
      <c r="M385" s="29"/>
      <c r="N385" s="29"/>
      <c r="O385" s="29"/>
      <c r="P385" s="29"/>
      <c r="Q385" s="29"/>
      <c r="R385" s="29"/>
      <c r="S385" s="181"/>
      <c r="T385" s="88" t="str">
        <f ca="1" t="shared" si="1"/>
        <v/>
      </c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</row>
    <row r="386" ht="15.75" customHeight="1" spans="1:45">
      <c r="A386" s="29"/>
      <c r="B386" s="29"/>
      <c r="C386" s="29"/>
      <c r="D386" s="29"/>
      <c r="E386" s="29"/>
      <c r="F386" s="29"/>
      <c r="G386" s="29"/>
      <c r="H386" s="29"/>
      <c r="I386" s="27" t="str">
        <f t="shared" si="0"/>
        <v/>
      </c>
      <c r="J386" s="29"/>
      <c r="K386" s="29"/>
      <c r="L386" s="29"/>
      <c r="M386" s="29"/>
      <c r="N386" s="29"/>
      <c r="O386" s="29"/>
      <c r="P386" s="29"/>
      <c r="Q386" s="29"/>
      <c r="R386" s="29"/>
      <c r="S386" s="181"/>
      <c r="T386" s="88" t="str">
        <f ca="1" t="shared" si="1"/>
        <v/>
      </c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</row>
    <row r="387" ht="15.75" customHeight="1" spans="1:45">
      <c r="A387" s="29"/>
      <c r="B387" s="29"/>
      <c r="C387" s="29"/>
      <c r="D387" s="29"/>
      <c r="E387" s="29"/>
      <c r="F387" s="29"/>
      <c r="G387" s="29"/>
      <c r="H387" s="29"/>
      <c r="I387" s="27" t="str">
        <f t="shared" si="0"/>
        <v/>
      </c>
      <c r="J387" s="29"/>
      <c r="K387" s="29"/>
      <c r="L387" s="29"/>
      <c r="M387" s="29"/>
      <c r="N387" s="29"/>
      <c r="O387" s="29"/>
      <c r="P387" s="29"/>
      <c r="Q387" s="29"/>
      <c r="R387" s="29"/>
      <c r="S387" s="181"/>
      <c r="T387" s="88" t="str">
        <f ca="1" t="shared" si="1"/>
        <v/>
      </c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</row>
    <row r="388" ht="15.75" customHeight="1" spans="1:45">
      <c r="A388" s="29"/>
      <c r="B388" s="29"/>
      <c r="C388" s="29"/>
      <c r="D388" s="29"/>
      <c r="E388" s="29"/>
      <c r="F388" s="29"/>
      <c r="G388" s="29"/>
      <c r="H388" s="29"/>
      <c r="I388" s="27" t="str">
        <f t="shared" si="0"/>
        <v/>
      </c>
      <c r="J388" s="29"/>
      <c r="K388" s="29"/>
      <c r="L388" s="29"/>
      <c r="M388" s="29"/>
      <c r="N388" s="29"/>
      <c r="O388" s="29"/>
      <c r="P388" s="29"/>
      <c r="Q388" s="29"/>
      <c r="R388" s="29"/>
      <c r="S388" s="181"/>
      <c r="T388" s="88" t="str">
        <f ca="1" t="shared" si="1"/>
        <v/>
      </c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</row>
    <row r="389" ht="15.75" customHeight="1" spans="1:45">
      <c r="A389" s="29"/>
      <c r="B389" s="29"/>
      <c r="C389" s="29"/>
      <c r="D389" s="29"/>
      <c r="E389" s="29"/>
      <c r="F389" s="29"/>
      <c r="G389" s="29"/>
      <c r="H389" s="29"/>
      <c r="I389" s="27" t="str">
        <f t="shared" si="0"/>
        <v/>
      </c>
      <c r="J389" s="29"/>
      <c r="K389" s="29"/>
      <c r="L389" s="29"/>
      <c r="M389" s="29"/>
      <c r="N389" s="29"/>
      <c r="O389" s="29"/>
      <c r="P389" s="29"/>
      <c r="Q389" s="29"/>
      <c r="R389" s="29"/>
      <c r="S389" s="181"/>
      <c r="T389" s="88" t="str">
        <f ca="1" t="shared" si="1"/>
        <v/>
      </c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</row>
    <row r="390" ht="15.75" customHeight="1" spans="1:45">
      <c r="A390" s="29"/>
      <c r="B390" s="29"/>
      <c r="C390" s="29"/>
      <c r="D390" s="29"/>
      <c r="E390" s="29"/>
      <c r="F390" s="29"/>
      <c r="G390" s="29"/>
      <c r="H390" s="29"/>
      <c r="I390" s="27" t="str">
        <f t="shared" si="0"/>
        <v/>
      </c>
      <c r="J390" s="29"/>
      <c r="K390" s="29"/>
      <c r="L390" s="29"/>
      <c r="M390" s="29"/>
      <c r="N390" s="29"/>
      <c r="O390" s="29"/>
      <c r="P390" s="29"/>
      <c r="Q390" s="29"/>
      <c r="R390" s="29"/>
      <c r="S390" s="181"/>
      <c r="T390" s="88" t="str">
        <f ca="1" t="shared" si="1"/>
        <v/>
      </c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</row>
    <row r="391" ht="15.75" customHeight="1" spans="1:45">
      <c r="A391" s="29"/>
      <c r="B391" s="29"/>
      <c r="C391" s="29"/>
      <c r="D391" s="29"/>
      <c r="E391" s="29"/>
      <c r="F391" s="29"/>
      <c r="G391" s="29"/>
      <c r="H391" s="29"/>
      <c r="I391" s="27" t="str">
        <f t="shared" si="0"/>
        <v/>
      </c>
      <c r="J391" s="29"/>
      <c r="K391" s="29"/>
      <c r="L391" s="29"/>
      <c r="M391" s="29"/>
      <c r="N391" s="29"/>
      <c r="O391" s="29"/>
      <c r="P391" s="29"/>
      <c r="Q391" s="29"/>
      <c r="R391" s="29"/>
      <c r="S391" s="181"/>
      <c r="T391" s="88" t="str">
        <f ca="1" t="shared" si="1"/>
        <v/>
      </c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</row>
    <row r="392" ht="15.75" customHeight="1" spans="1:45">
      <c r="A392" s="29"/>
      <c r="B392" s="29"/>
      <c r="C392" s="29"/>
      <c r="D392" s="29"/>
      <c r="E392" s="29"/>
      <c r="F392" s="29"/>
      <c r="G392" s="29"/>
      <c r="H392" s="29"/>
      <c r="I392" s="27" t="str">
        <f t="shared" si="0"/>
        <v/>
      </c>
      <c r="J392" s="29"/>
      <c r="K392" s="29"/>
      <c r="L392" s="29"/>
      <c r="M392" s="29"/>
      <c r="N392" s="29"/>
      <c r="O392" s="29"/>
      <c r="P392" s="29"/>
      <c r="Q392" s="29"/>
      <c r="R392" s="29"/>
      <c r="S392" s="181"/>
      <c r="T392" s="88" t="str">
        <f ca="1" t="shared" si="1"/>
        <v/>
      </c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</row>
    <row r="393" ht="15.75" customHeight="1" spans="1:45">
      <c r="A393" s="29"/>
      <c r="B393" s="29"/>
      <c r="C393" s="29"/>
      <c r="D393" s="29"/>
      <c r="E393" s="29"/>
      <c r="F393" s="29"/>
      <c r="G393" s="29"/>
      <c r="H393" s="29"/>
      <c r="I393" s="27" t="str">
        <f t="shared" si="0"/>
        <v/>
      </c>
      <c r="J393" s="29"/>
      <c r="K393" s="29"/>
      <c r="L393" s="29"/>
      <c r="M393" s="29"/>
      <c r="N393" s="29"/>
      <c r="O393" s="29"/>
      <c r="P393" s="29"/>
      <c r="Q393" s="29"/>
      <c r="R393" s="29"/>
      <c r="S393" s="181"/>
      <c r="T393" s="88" t="str">
        <f ca="1" t="shared" si="1"/>
        <v/>
      </c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</row>
    <row r="394" ht="15.75" customHeight="1" spans="1:45">
      <c r="A394" s="29"/>
      <c r="B394" s="29"/>
      <c r="C394" s="29"/>
      <c r="D394" s="29"/>
      <c r="E394" s="29"/>
      <c r="F394" s="29"/>
      <c r="G394" s="29"/>
      <c r="H394" s="29"/>
      <c r="I394" s="27" t="str">
        <f t="shared" si="0"/>
        <v/>
      </c>
      <c r="J394" s="29"/>
      <c r="K394" s="29"/>
      <c r="L394" s="29"/>
      <c r="M394" s="29"/>
      <c r="N394" s="29"/>
      <c r="O394" s="29"/>
      <c r="P394" s="29"/>
      <c r="Q394" s="29"/>
      <c r="R394" s="29"/>
      <c r="S394" s="181"/>
      <c r="T394" s="88" t="str">
        <f ca="1" t="shared" si="1"/>
        <v/>
      </c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</row>
    <row r="395" ht="15.75" customHeight="1" spans="1:45">
      <c r="A395" s="29"/>
      <c r="B395" s="29"/>
      <c r="C395" s="29"/>
      <c r="D395" s="29"/>
      <c r="E395" s="29"/>
      <c r="F395" s="29"/>
      <c r="G395" s="29"/>
      <c r="H395" s="29"/>
      <c r="I395" s="27" t="str">
        <f t="shared" si="0"/>
        <v/>
      </c>
      <c r="J395" s="29"/>
      <c r="K395" s="29"/>
      <c r="L395" s="29"/>
      <c r="M395" s="29"/>
      <c r="N395" s="29"/>
      <c r="O395" s="29"/>
      <c r="P395" s="29"/>
      <c r="Q395" s="29"/>
      <c r="R395" s="29"/>
      <c r="S395" s="181"/>
      <c r="T395" s="88" t="str">
        <f ca="1" t="shared" si="1"/>
        <v/>
      </c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</row>
    <row r="396" ht="15.75" customHeight="1" spans="1:45">
      <c r="A396" s="29"/>
      <c r="B396" s="29"/>
      <c r="C396" s="29"/>
      <c r="D396" s="29"/>
      <c r="E396" s="29"/>
      <c r="F396" s="29"/>
      <c r="G396" s="29"/>
      <c r="H396" s="29"/>
      <c r="I396" s="27" t="str">
        <f t="shared" si="0"/>
        <v/>
      </c>
      <c r="J396" s="29"/>
      <c r="K396" s="29"/>
      <c r="L396" s="29"/>
      <c r="M396" s="29"/>
      <c r="N396" s="29"/>
      <c r="O396" s="29"/>
      <c r="P396" s="29"/>
      <c r="Q396" s="29"/>
      <c r="R396" s="29"/>
      <c r="S396" s="181"/>
      <c r="T396" s="88" t="str">
        <f ca="1" t="shared" si="1"/>
        <v/>
      </c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</row>
    <row r="397" ht="15.75" customHeight="1" spans="1:45">
      <c r="A397" s="29"/>
      <c r="B397" s="29"/>
      <c r="C397" s="29"/>
      <c r="D397" s="29"/>
      <c r="E397" s="29"/>
      <c r="F397" s="29"/>
      <c r="G397" s="29"/>
      <c r="H397" s="29"/>
      <c r="I397" s="27" t="str">
        <f t="shared" si="0"/>
        <v/>
      </c>
      <c r="J397" s="29"/>
      <c r="K397" s="29"/>
      <c r="L397" s="29"/>
      <c r="M397" s="29"/>
      <c r="N397" s="29"/>
      <c r="O397" s="29"/>
      <c r="P397" s="29"/>
      <c r="Q397" s="29"/>
      <c r="R397" s="29"/>
      <c r="S397" s="181"/>
      <c r="T397" s="88" t="str">
        <f ca="1" t="shared" si="1"/>
        <v/>
      </c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</row>
    <row r="398" ht="15.75" customHeight="1" spans="1:45">
      <c r="A398" s="29"/>
      <c r="B398" s="29"/>
      <c r="C398" s="29"/>
      <c r="D398" s="29"/>
      <c r="E398" s="29"/>
      <c r="F398" s="29"/>
      <c r="G398" s="29"/>
      <c r="H398" s="29"/>
      <c r="I398" s="27" t="str">
        <f t="shared" si="0"/>
        <v/>
      </c>
      <c r="J398" s="29"/>
      <c r="K398" s="29"/>
      <c r="L398" s="29"/>
      <c r="M398" s="29"/>
      <c r="N398" s="29"/>
      <c r="O398" s="29"/>
      <c r="P398" s="29"/>
      <c r="Q398" s="29"/>
      <c r="R398" s="29"/>
      <c r="S398" s="181"/>
      <c r="T398" s="88" t="str">
        <f ca="1" t="shared" si="1"/>
        <v/>
      </c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</row>
    <row r="399" ht="15.75" customHeight="1" spans="1:45">
      <c r="A399" s="29"/>
      <c r="B399" s="29"/>
      <c r="C399" s="29"/>
      <c r="D399" s="29"/>
      <c r="E399" s="29"/>
      <c r="F399" s="29"/>
      <c r="G399" s="29"/>
      <c r="H399" s="29"/>
      <c r="I399" s="27" t="str">
        <f t="shared" si="0"/>
        <v/>
      </c>
      <c r="J399" s="29"/>
      <c r="K399" s="29"/>
      <c r="L399" s="29"/>
      <c r="M399" s="29"/>
      <c r="N399" s="29"/>
      <c r="O399" s="29"/>
      <c r="P399" s="29"/>
      <c r="Q399" s="29"/>
      <c r="R399" s="29"/>
      <c r="S399" s="181"/>
      <c r="T399" s="88" t="str">
        <f ca="1" t="shared" si="1"/>
        <v/>
      </c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</row>
    <row r="400" ht="15.75" customHeight="1" spans="1:45">
      <c r="A400" s="29"/>
      <c r="B400" s="29"/>
      <c r="C400" s="29"/>
      <c r="D400" s="29"/>
      <c r="E400" s="29"/>
      <c r="F400" s="29"/>
      <c r="G400" s="29"/>
      <c r="H400" s="29"/>
      <c r="I400" s="27" t="str">
        <f t="shared" si="0"/>
        <v/>
      </c>
      <c r="J400" s="29"/>
      <c r="K400" s="29"/>
      <c r="L400" s="29"/>
      <c r="M400" s="29"/>
      <c r="N400" s="29"/>
      <c r="O400" s="29"/>
      <c r="P400" s="29"/>
      <c r="Q400" s="29"/>
      <c r="R400" s="29"/>
      <c r="S400" s="181"/>
      <c r="T400" s="88" t="str">
        <f ca="1" t="shared" si="1"/>
        <v/>
      </c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</row>
    <row r="401" ht="15.75" customHeight="1" spans="1:45">
      <c r="A401" s="29"/>
      <c r="B401" s="29"/>
      <c r="C401" s="29"/>
      <c r="D401" s="29"/>
      <c r="E401" s="29"/>
      <c r="F401" s="29"/>
      <c r="G401" s="29"/>
      <c r="H401" s="29"/>
      <c r="I401" s="27" t="str">
        <f t="shared" si="0"/>
        <v/>
      </c>
      <c r="J401" s="29"/>
      <c r="K401" s="29"/>
      <c r="L401" s="29"/>
      <c r="M401" s="29"/>
      <c r="N401" s="29"/>
      <c r="O401" s="29"/>
      <c r="P401" s="29"/>
      <c r="Q401" s="29"/>
      <c r="R401" s="29"/>
      <c r="S401" s="181"/>
      <c r="T401" s="88" t="str">
        <f ca="1" t="shared" si="1"/>
        <v/>
      </c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</row>
    <row r="402" ht="15.75" customHeight="1" spans="1:45">
      <c r="A402" s="29"/>
      <c r="B402" s="29"/>
      <c r="C402" s="29"/>
      <c r="D402" s="29"/>
      <c r="E402" s="29"/>
      <c r="F402" s="29"/>
      <c r="G402" s="29"/>
      <c r="H402" s="29"/>
      <c r="I402" s="29"/>
      <c r="J402" s="27"/>
      <c r="K402" s="29"/>
      <c r="L402" s="29"/>
      <c r="M402" s="29"/>
      <c r="N402" s="29"/>
      <c r="O402" s="29"/>
      <c r="P402" s="29"/>
      <c r="Q402" s="29"/>
      <c r="R402" s="29"/>
      <c r="S402" s="29"/>
      <c r="T402" s="181"/>
      <c r="U402" s="182"/>
      <c r="V402" s="29"/>
      <c r="W402" s="29"/>
      <c r="X402" s="29"/>
      <c r="Y402" s="29"/>
      <c r="Z402" s="181"/>
      <c r="AA402" s="29"/>
      <c r="AB402" s="181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</row>
    <row r="403" ht="15.75" customHeight="1" spans="1:45">
      <c r="A403" s="29"/>
      <c r="B403" s="29"/>
      <c r="C403" s="29"/>
      <c r="D403" s="29"/>
      <c r="E403" s="29"/>
      <c r="F403" s="29"/>
      <c r="G403" s="29"/>
      <c r="H403" s="29"/>
      <c r="I403" s="29"/>
      <c r="J403" s="27"/>
      <c r="K403" s="29"/>
      <c r="L403" s="29"/>
      <c r="M403" s="29"/>
      <c r="N403" s="29"/>
      <c r="O403" s="29"/>
      <c r="P403" s="29"/>
      <c r="Q403" s="29"/>
      <c r="R403" s="29"/>
      <c r="S403" s="29"/>
      <c r="T403" s="181"/>
      <c r="U403" s="182"/>
      <c r="V403" s="29"/>
      <c r="W403" s="29"/>
      <c r="X403" s="29"/>
      <c r="Y403" s="29"/>
      <c r="Z403" s="181"/>
      <c r="AA403" s="29"/>
      <c r="AB403" s="181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</row>
    <row r="404" ht="15.75" customHeight="1" spans="1:45">
      <c r="A404" s="29"/>
      <c r="B404" s="29"/>
      <c r="C404" s="29"/>
      <c r="D404" s="29"/>
      <c r="E404" s="29"/>
      <c r="F404" s="29"/>
      <c r="G404" s="29"/>
      <c r="H404" s="29"/>
      <c r="I404" s="29"/>
      <c r="J404" s="27"/>
      <c r="K404" s="29"/>
      <c r="L404" s="29"/>
      <c r="M404" s="29"/>
      <c r="N404" s="29"/>
      <c r="O404" s="29"/>
      <c r="P404" s="29"/>
      <c r="Q404" s="29"/>
      <c r="R404" s="29"/>
      <c r="S404" s="29"/>
      <c r="T404" s="181"/>
      <c r="U404" s="182"/>
      <c r="V404" s="29"/>
      <c r="W404" s="29"/>
      <c r="X404" s="29"/>
      <c r="Y404" s="29"/>
      <c r="Z404" s="181"/>
      <c r="AA404" s="29"/>
      <c r="AB404" s="181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</row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CA4C585-C249-4BB0-8EE7-E4361962E073}" filter="1" showAutoFilter="1">
      <autoFilter ref="D4:AS401"/>
    </customSheetView>
  </customSheetViews>
  <conditionalFormatting sqref="D5:D401">
    <cfRule type="containsText" dxfId="40" priority="1" operator="between" text="No">
      <formula>NOT(ISERROR(SEARCH("No",D5)))</formula>
    </cfRule>
  </conditionalFormatting>
  <conditionalFormatting sqref="E2:E404">
    <cfRule type="cellIs" dxfId="123" priority="2" operator="equal">
      <formula>"Bible Study"</formula>
    </cfRule>
    <cfRule type="cellIs" dxfId="124" priority="3" operator="equal">
      <formula>"Other Church"</formula>
    </cfRule>
    <cfRule type="cellIs" dxfId="125" priority="4" operator="equal">
      <formula>"Active"</formula>
    </cfRule>
    <cfRule type="cellIs" dxfId="126" priority="5" operator="equal">
      <formula>"Sunday Goer"</formula>
    </cfRule>
    <cfRule type="cellIs" dxfId="127" priority="6" operator="equal">
      <formula>"Inactive"</formula>
    </cfRule>
  </conditionalFormatting>
  <dataValidations count="7">
    <dataValidation type="list" allowBlank="1" showErrorMessage="1" sqref="D5:D401">
      <formula1>'dropdown list'!$B$3:$B$4</formula1>
    </dataValidation>
    <dataValidation type="list" allowBlank="1" showErrorMessage="1" sqref="E5:E401">
      <formula1>'dropdown list'!$C$3:$C$7</formula1>
    </dataValidation>
    <dataValidation type="list" allowBlank="1" showErrorMessage="1" sqref="F5:F401">
      <formula1>'dropdown list'!$D$3:$D$14</formula1>
    </dataValidation>
    <dataValidation type="list" allowBlank="1" showErrorMessage="1" sqref="H5:H401">
      <formula1>'dropdown list'!$D$19:$D$21</formula1>
    </dataValidation>
    <dataValidation type="list" allowBlank="1" showErrorMessage="1" sqref="M5:M401">
      <formula1>'dropdown list'!$H$3:$H$4</formula1>
    </dataValidation>
    <dataValidation type="list" allowBlank="1" showInputMessage="1" showErrorMessage="1" prompt="Add the new address in sheet data under column City Address" sqref="O5:O401">
      <formula1>'dropdown list'!$I$3:$I$107</formula1>
    </dataValidation>
    <dataValidation type="list" allowBlank="1" showErrorMessage="1" sqref="X5:X401 Z5:Z401">
      <formula1>'dropdown list'!$J$3:$J$4</formula1>
    </dataValidation>
  </dataValidations>
  <pageMargins left="0.7" right="0.7" top="0.75" bottom="0.75" header="0" footer="0"/>
  <pageSetup paperSize="1" orientation="portrait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F4861"/>
  </sheetPr>
  <dimension ref="A1:AP1000"/>
  <sheetViews>
    <sheetView showGridLines="0" workbookViewId="0">
      <pane xSplit="7" ySplit="4" topLeftCell="H5" activePane="bottomRight" state="frozen"/>
      <selection/>
      <selection pane="topRight"/>
      <selection pane="bottomLeft"/>
      <selection pane="bottomRight" activeCell="H5" sqref="H5"/>
    </sheetView>
  </sheetViews>
  <sheetFormatPr defaultColWidth="12.6333333333333" defaultRowHeight="15" customHeight="1"/>
  <cols>
    <col min="1" max="1" width="20.8833333333333" customWidth="1"/>
    <col min="2" max="2" width="5.63333333333333" customWidth="1"/>
    <col min="3" max="3" width="6.75" customWidth="1"/>
    <col min="4" max="4" width="12.3833333333333" customWidth="1"/>
    <col min="5" max="5" width="8.88333333333333" customWidth="1"/>
    <col min="6" max="6" width="15" customWidth="1"/>
    <col min="7" max="7" width="28.3833333333333" customWidth="1"/>
    <col min="8" max="8" width="9.13333333333333" customWidth="1"/>
    <col min="9" max="9" width="12.8833333333333" customWidth="1"/>
    <col min="10" max="10" width="22" customWidth="1"/>
    <col min="11" max="11" width="9.75" customWidth="1"/>
    <col min="12" max="12" width="10" customWidth="1"/>
    <col min="13" max="13" width="20.6333333333333" customWidth="1"/>
    <col min="14" max="14" width="23.6333333333333" customWidth="1"/>
    <col min="15" max="15" width="28.75" customWidth="1"/>
    <col min="16" max="16" width="18" customWidth="1"/>
    <col min="17" max="17" width="30.3833333333333" customWidth="1"/>
    <col min="18" max="18" width="18" customWidth="1"/>
    <col min="19" max="19" width="8.88333333333333" customWidth="1"/>
    <col min="20" max="20" width="19.1333333333333" customWidth="1"/>
    <col min="21" max="21" width="25" customWidth="1"/>
    <col min="22" max="22" width="25.8833333333333" customWidth="1"/>
    <col min="23" max="23" width="13.25" customWidth="1"/>
    <col min="24" max="24" width="16.25" customWidth="1"/>
    <col min="25" max="25" width="12.3833333333333" customWidth="1"/>
    <col min="26" max="26" width="15.3833333333333" customWidth="1"/>
    <col min="27" max="27" width="27.75" customWidth="1"/>
    <col min="28" max="28" width="15.6333333333333" customWidth="1"/>
    <col min="29" max="29" width="15.3833333333333" customWidth="1"/>
    <col min="30" max="30" width="15.8833333333333" customWidth="1"/>
    <col min="31" max="31" width="37.3833333333333" customWidth="1"/>
    <col min="32" max="32" width="19.3833333333333" customWidth="1"/>
    <col min="33" max="33" width="17.6333333333333" customWidth="1"/>
    <col min="34" max="34" width="20.25" customWidth="1"/>
    <col min="35" max="35" width="19.6333333333333" customWidth="1"/>
    <col min="36" max="36" width="34.6333333333333" customWidth="1"/>
    <col min="37" max="37" width="22" customWidth="1"/>
    <col min="38" max="38" width="23.25" customWidth="1"/>
    <col min="39" max="39" width="27.1333333333333" customWidth="1"/>
    <col min="40" max="40" width="25" customWidth="1"/>
    <col min="41" max="41" width="39.6333333333333" customWidth="1"/>
    <col min="42" max="42" width="17" customWidth="1"/>
  </cols>
  <sheetData>
    <row r="1" ht="39" customHeight="1" spans="1:42">
      <c r="A1" s="167" t="s">
        <v>3194</v>
      </c>
      <c r="B1" s="29"/>
      <c r="C1" s="29"/>
      <c r="D1" s="31"/>
      <c r="E1" s="31"/>
      <c r="F1" s="32"/>
      <c r="G1" s="32"/>
      <c r="H1" s="33"/>
      <c r="I1" s="32"/>
      <c r="J1" s="32"/>
      <c r="K1" s="32"/>
      <c r="L1" s="32"/>
      <c r="M1" s="32"/>
      <c r="N1" s="32"/>
      <c r="O1" s="32"/>
      <c r="P1" s="31"/>
      <c r="Q1" s="33"/>
      <c r="R1" s="27"/>
      <c r="S1" s="27"/>
      <c r="T1" s="27"/>
      <c r="U1" s="33"/>
      <c r="V1" s="30"/>
      <c r="W1" s="33"/>
      <c r="X1" s="30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</row>
    <row r="2" ht="15.15" spans="1:42">
      <c r="A2" s="29"/>
      <c r="B2" s="29"/>
      <c r="C2" s="29"/>
      <c r="D2" s="32"/>
      <c r="E2" s="32"/>
      <c r="F2" s="32"/>
      <c r="G2" s="32"/>
      <c r="H2" s="27"/>
      <c r="I2" s="27"/>
      <c r="J2" s="27"/>
      <c r="K2" s="27"/>
      <c r="L2" s="32"/>
      <c r="M2" s="27"/>
      <c r="N2" s="27"/>
      <c r="O2" s="27"/>
      <c r="P2" s="27"/>
      <c r="Q2" s="31"/>
      <c r="R2" s="88"/>
      <c r="S2" s="27"/>
      <c r="T2" s="27"/>
      <c r="U2" s="27"/>
      <c r="V2" s="27"/>
      <c r="W2" s="31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</row>
    <row r="3" ht="15.15" spans="1:42">
      <c r="A3" s="168" t="s">
        <v>10</v>
      </c>
      <c r="B3" s="169">
        <f>SUBTOTAL(3,Childrens!$I$5:$I$201)</f>
        <v>30</v>
      </c>
      <c r="C3" s="51"/>
      <c r="D3" s="170"/>
      <c r="E3" s="32"/>
      <c r="F3" s="32"/>
      <c r="G3" s="32"/>
      <c r="H3" s="27"/>
      <c r="I3" s="27"/>
      <c r="J3" s="27"/>
      <c r="K3" s="27"/>
      <c r="L3" s="32"/>
      <c r="M3" s="27"/>
      <c r="N3" s="27"/>
      <c r="O3" s="27"/>
      <c r="P3" s="27"/>
      <c r="Q3" s="31"/>
      <c r="R3" s="88"/>
      <c r="S3" s="27"/>
      <c r="T3" s="27"/>
      <c r="U3" s="27"/>
      <c r="V3" s="27"/>
      <c r="W3" s="31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</row>
    <row r="4" ht="32.25" customHeight="1" spans="1:42">
      <c r="A4" s="58"/>
      <c r="B4" s="58"/>
      <c r="C4" s="58"/>
      <c r="D4" s="171" t="s">
        <v>11</v>
      </c>
      <c r="E4" s="172" t="s">
        <v>12</v>
      </c>
      <c r="F4" s="172" t="s">
        <v>14</v>
      </c>
      <c r="G4" s="61" t="s">
        <v>16</v>
      </c>
      <c r="H4" s="173" t="s">
        <v>17</v>
      </c>
      <c r="I4" s="173" t="s">
        <v>18</v>
      </c>
      <c r="J4" s="173" t="s">
        <v>19</v>
      </c>
      <c r="K4" s="173" t="s">
        <v>20</v>
      </c>
      <c r="L4" s="173" t="s">
        <v>21</v>
      </c>
      <c r="M4" s="173" t="s">
        <v>22</v>
      </c>
      <c r="N4" s="173" t="s">
        <v>23</v>
      </c>
      <c r="O4" s="173" t="s">
        <v>24</v>
      </c>
      <c r="P4" s="173" t="s">
        <v>25</v>
      </c>
      <c r="Q4" s="174" t="s">
        <v>26</v>
      </c>
      <c r="R4" s="175" t="s">
        <v>27</v>
      </c>
      <c r="S4" s="172" t="s">
        <v>28</v>
      </c>
      <c r="T4" s="172" t="s">
        <v>29</v>
      </c>
      <c r="U4" s="172" t="s">
        <v>30</v>
      </c>
      <c r="V4" s="172" t="s">
        <v>31</v>
      </c>
      <c r="W4" s="174" t="s">
        <v>32</v>
      </c>
      <c r="X4" s="172" t="s">
        <v>33</v>
      </c>
      <c r="Y4" s="172" t="s">
        <v>34</v>
      </c>
      <c r="Z4" s="172" t="s">
        <v>35</v>
      </c>
      <c r="AA4" s="172" t="s">
        <v>2168</v>
      </c>
      <c r="AB4" s="176" t="s">
        <v>2169</v>
      </c>
      <c r="AC4" s="176" t="s">
        <v>3195</v>
      </c>
      <c r="AD4" s="71" t="s">
        <v>2171</v>
      </c>
      <c r="AE4" s="71" t="s">
        <v>3196</v>
      </c>
      <c r="AF4" s="71" t="s">
        <v>3197</v>
      </c>
      <c r="AG4" s="71" t="s">
        <v>3198</v>
      </c>
      <c r="AH4" s="71" t="s">
        <v>3199</v>
      </c>
      <c r="AI4" s="71" t="s">
        <v>3200</v>
      </c>
      <c r="AJ4" s="71" t="s">
        <v>3201</v>
      </c>
      <c r="AK4" s="71" t="s">
        <v>3202</v>
      </c>
      <c r="AL4" s="71" t="s">
        <v>3203</v>
      </c>
      <c r="AM4" s="71" t="s">
        <v>47</v>
      </c>
      <c r="AN4" s="71" t="s">
        <v>48</v>
      </c>
      <c r="AO4" s="71" t="s">
        <v>49</v>
      </c>
      <c r="AP4" s="71" t="s">
        <v>50</v>
      </c>
    </row>
    <row r="5" ht="14.4" spans="1:42">
      <c r="A5" s="29"/>
      <c r="B5" s="29"/>
      <c r="C5" s="29"/>
      <c r="D5" s="29" t="s">
        <v>51</v>
      </c>
      <c r="E5" s="27"/>
      <c r="F5" s="27" t="str">
        <f ca="1" t="shared" ref="F5:F201" si="0">IF($R5="","",IF($R5&gt;=13,"Junior",IF(AND($R5&gt;=11,$R5&lt;=12),"Primary",IF(AND($R5&gt;=9,$R5&lt;=10),"Beginners 2",IF(AND($R5&gt;=7,$R5&lt;=8),"Beginners 1",IF(AND($R5&gt;=5,$R5&lt;=6),"Toddlers 2",IF(AND($R5&gt;=3,$R5&lt;=4),"Toddlers 1","")))))))</f>
        <v>Beginners 2</v>
      </c>
      <c r="G5" s="27" t="str">
        <f t="shared" ref="G5:G201" si="1">IF(AND(I5="",H5=""),"",CONCATENATE(H5,", ",I5))</f>
        <v>Aguinaldo, Raiven Ezekel</v>
      </c>
      <c r="H5" s="27" t="s">
        <v>3204</v>
      </c>
      <c r="I5" s="27" t="s">
        <v>3205</v>
      </c>
      <c r="J5" s="27" t="s">
        <v>422</v>
      </c>
      <c r="K5" s="27" t="s">
        <v>1642</v>
      </c>
      <c r="L5" s="32" t="s">
        <v>3206</v>
      </c>
      <c r="M5" s="27" t="s">
        <v>1837</v>
      </c>
      <c r="N5" s="27"/>
      <c r="O5" s="27" t="s">
        <v>3207</v>
      </c>
      <c r="P5" s="27"/>
      <c r="Q5" s="31">
        <v>42762</v>
      </c>
      <c r="R5" s="88">
        <f ca="1" t="shared" ref="R5:R201" si="2">IF(Q5="","",DATEDIF(Q5,TODAY(),"Y"))</f>
        <v>9</v>
      </c>
      <c r="S5" s="27" t="s">
        <v>1005</v>
      </c>
      <c r="T5" s="27" t="s">
        <v>3208</v>
      </c>
      <c r="U5" s="27" t="s">
        <v>3209</v>
      </c>
      <c r="V5" s="27" t="s">
        <v>79</v>
      </c>
      <c r="W5" s="31"/>
      <c r="X5" s="27" t="s">
        <v>79</v>
      </c>
      <c r="Y5" s="27"/>
      <c r="Z5" s="27"/>
      <c r="AA5" s="27"/>
      <c r="AB5" s="27"/>
      <c r="AC5" s="27" t="s">
        <v>266</v>
      </c>
      <c r="AD5" s="27" t="s">
        <v>3210</v>
      </c>
      <c r="AE5" s="27"/>
      <c r="AF5" s="27"/>
      <c r="AG5" s="27"/>
      <c r="AH5" s="27"/>
      <c r="AI5" s="27" t="s">
        <v>3211</v>
      </c>
      <c r="AJ5" s="27" t="s">
        <v>269</v>
      </c>
      <c r="AK5" s="27" t="s">
        <v>3212</v>
      </c>
      <c r="AL5" s="27" t="s">
        <v>3213</v>
      </c>
      <c r="AM5" s="27" t="s">
        <v>3214</v>
      </c>
      <c r="AN5" s="32" t="s">
        <v>3215</v>
      </c>
      <c r="AO5" s="27" t="s">
        <v>30</v>
      </c>
      <c r="AP5" s="27" t="s">
        <v>3216</v>
      </c>
    </row>
    <row r="6" ht="14.4" spans="1:42">
      <c r="A6" s="29"/>
      <c r="B6" s="29"/>
      <c r="C6" s="29"/>
      <c r="D6" s="29" t="s">
        <v>51</v>
      </c>
      <c r="E6" s="27"/>
      <c r="F6" s="27" t="str">
        <f ca="1" t="shared" si="0"/>
        <v>Beginners 1</v>
      </c>
      <c r="G6" s="27" t="str">
        <f t="shared" si="1"/>
        <v>Aguinaldo, Raveena Scarlet</v>
      </c>
      <c r="H6" s="27" t="s">
        <v>3204</v>
      </c>
      <c r="I6" s="27" t="s">
        <v>3217</v>
      </c>
      <c r="J6" s="27" t="s">
        <v>422</v>
      </c>
      <c r="K6" s="27" t="s">
        <v>57</v>
      </c>
      <c r="L6" s="32" t="s">
        <v>3206</v>
      </c>
      <c r="M6" s="27" t="s">
        <v>1837</v>
      </c>
      <c r="N6" s="27"/>
      <c r="O6" s="27"/>
      <c r="P6" s="27"/>
      <c r="Q6" s="31">
        <v>43292</v>
      </c>
      <c r="R6" s="88">
        <f ca="1" t="shared" si="2"/>
        <v>8</v>
      </c>
      <c r="S6" s="27" t="s">
        <v>123</v>
      </c>
      <c r="T6" s="27" t="s">
        <v>3208</v>
      </c>
      <c r="U6" s="27" t="s">
        <v>3209</v>
      </c>
      <c r="V6" s="27" t="s">
        <v>79</v>
      </c>
      <c r="W6" s="31"/>
      <c r="X6" s="27" t="s">
        <v>79</v>
      </c>
      <c r="Y6" s="27"/>
      <c r="Z6" s="27"/>
      <c r="AA6" s="27"/>
      <c r="AB6" s="27"/>
      <c r="AC6" s="27" t="s">
        <v>3218</v>
      </c>
      <c r="AD6" s="27" t="s">
        <v>3210</v>
      </c>
      <c r="AE6" s="27"/>
      <c r="AF6" s="27"/>
      <c r="AG6" s="27"/>
      <c r="AH6" s="27" t="s">
        <v>2574</v>
      </c>
      <c r="AI6" s="27" t="s">
        <v>268</v>
      </c>
      <c r="AJ6" s="27" t="s">
        <v>268</v>
      </c>
      <c r="AK6" s="27" t="s">
        <v>3212</v>
      </c>
      <c r="AL6" s="27" t="s">
        <v>268</v>
      </c>
      <c r="AM6" s="27" t="s">
        <v>3214</v>
      </c>
      <c r="AN6" s="32" t="s">
        <v>3215</v>
      </c>
      <c r="AO6" s="27" t="s">
        <v>30</v>
      </c>
      <c r="AP6" s="27" t="s">
        <v>3216</v>
      </c>
    </row>
    <row r="7" ht="14.4" spans="1:42">
      <c r="A7" s="29"/>
      <c r="B7" s="29"/>
      <c r="C7" s="29"/>
      <c r="D7" s="29" t="s">
        <v>51</v>
      </c>
      <c r="E7" s="27"/>
      <c r="F7" s="27" t="str">
        <f ca="1" t="shared" si="0"/>
        <v>Junior</v>
      </c>
      <c r="G7" s="27" t="str">
        <f t="shared" si="1"/>
        <v>Amistad, Elisha</v>
      </c>
      <c r="H7" s="27" t="s">
        <v>159</v>
      </c>
      <c r="I7" s="27" t="s">
        <v>2205</v>
      </c>
      <c r="J7" s="27" t="s">
        <v>161</v>
      </c>
      <c r="K7" s="27" t="s">
        <v>1642</v>
      </c>
      <c r="L7" s="32" t="s">
        <v>162</v>
      </c>
      <c r="M7" s="27" t="s">
        <v>163</v>
      </c>
      <c r="N7" s="27"/>
      <c r="O7" s="27"/>
      <c r="P7" s="27"/>
      <c r="Q7" s="31">
        <v>41535</v>
      </c>
      <c r="R7" s="88">
        <f ca="1" t="shared" si="2"/>
        <v>13</v>
      </c>
      <c r="S7" s="27" t="s">
        <v>123</v>
      </c>
      <c r="T7" s="27" t="s">
        <v>3219</v>
      </c>
      <c r="U7" s="27" t="s">
        <v>1675</v>
      </c>
      <c r="V7" s="27" t="s">
        <v>79</v>
      </c>
      <c r="W7" s="31"/>
      <c r="X7" s="27" t="s">
        <v>79</v>
      </c>
      <c r="Y7" s="27"/>
      <c r="Z7" s="27"/>
      <c r="AA7" s="27"/>
      <c r="AB7" s="27"/>
      <c r="AC7" s="27" t="s">
        <v>3220</v>
      </c>
      <c r="AD7" s="27" t="s">
        <v>3221</v>
      </c>
      <c r="AE7" s="27"/>
      <c r="AF7" s="27"/>
      <c r="AG7" s="27"/>
      <c r="AH7" s="27"/>
      <c r="AI7" s="27" t="s">
        <v>3222</v>
      </c>
      <c r="AJ7" s="27"/>
      <c r="AK7" s="27" t="s">
        <v>3223</v>
      </c>
      <c r="AL7" s="27"/>
      <c r="AM7" s="27" t="s">
        <v>3219</v>
      </c>
      <c r="AN7" s="32" t="s">
        <v>3224</v>
      </c>
      <c r="AO7" s="27" t="s">
        <v>29</v>
      </c>
      <c r="AP7" s="27" t="s">
        <v>176</v>
      </c>
    </row>
    <row r="8" ht="14.4" spans="1:42">
      <c r="A8" s="29"/>
      <c r="B8" s="29"/>
      <c r="C8" s="29"/>
      <c r="D8" s="29" t="s">
        <v>51</v>
      </c>
      <c r="E8" s="27"/>
      <c r="F8" s="27" t="str">
        <f ca="1" t="shared" si="0"/>
        <v>Toddlers 1</v>
      </c>
      <c r="G8" s="27" t="str">
        <f t="shared" si="1"/>
        <v>Amistad, Judah</v>
      </c>
      <c r="H8" s="27" t="s">
        <v>159</v>
      </c>
      <c r="I8" s="27" t="s">
        <v>1640</v>
      </c>
      <c r="J8" s="27" t="s">
        <v>161</v>
      </c>
      <c r="K8" s="27" t="s">
        <v>1642</v>
      </c>
      <c r="L8" s="32" t="s">
        <v>162</v>
      </c>
      <c r="M8" s="27" t="s">
        <v>163</v>
      </c>
      <c r="N8" s="27"/>
      <c r="O8" s="27"/>
      <c r="P8" s="27"/>
      <c r="Q8" s="31">
        <v>45189</v>
      </c>
      <c r="R8" s="88">
        <f ca="1" t="shared" si="2"/>
        <v>3</v>
      </c>
      <c r="S8" s="27" t="s">
        <v>123</v>
      </c>
      <c r="T8" s="27" t="s">
        <v>3219</v>
      </c>
      <c r="U8" s="27" t="s">
        <v>1675</v>
      </c>
      <c r="V8" s="27" t="s">
        <v>79</v>
      </c>
      <c r="W8" s="31"/>
      <c r="X8" s="27" t="s">
        <v>79</v>
      </c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 t="s">
        <v>3219</v>
      </c>
      <c r="AN8" s="32" t="s">
        <v>3224</v>
      </c>
      <c r="AO8" s="27" t="s">
        <v>29</v>
      </c>
      <c r="AP8" s="27" t="s">
        <v>176</v>
      </c>
    </row>
    <row r="9" ht="14.4" spans="1:42">
      <c r="A9" s="29"/>
      <c r="B9" s="29"/>
      <c r="C9" s="29"/>
      <c r="D9" s="29" t="s">
        <v>51</v>
      </c>
      <c r="E9" s="27"/>
      <c r="F9" s="27" t="str">
        <f ca="1" t="shared" si="0"/>
        <v>Beginners 2</v>
      </c>
      <c r="G9" s="27" t="str">
        <f t="shared" si="1"/>
        <v>Amistad, Lucas</v>
      </c>
      <c r="H9" s="27" t="s">
        <v>159</v>
      </c>
      <c r="I9" s="27" t="s">
        <v>3225</v>
      </c>
      <c r="J9" s="27" t="s">
        <v>161</v>
      </c>
      <c r="K9" s="27" t="s">
        <v>1642</v>
      </c>
      <c r="L9" s="32" t="s">
        <v>162</v>
      </c>
      <c r="M9" s="27" t="s">
        <v>163</v>
      </c>
      <c r="N9" s="27"/>
      <c r="O9" s="27"/>
      <c r="P9" s="27"/>
      <c r="Q9" s="31">
        <v>42536</v>
      </c>
      <c r="R9" s="88">
        <f ca="1" t="shared" si="2"/>
        <v>10</v>
      </c>
      <c r="S9" s="27" t="s">
        <v>123</v>
      </c>
      <c r="T9" s="27" t="s">
        <v>3219</v>
      </c>
      <c r="U9" s="27" t="s">
        <v>1675</v>
      </c>
      <c r="V9" s="27" t="s">
        <v>79</v>
      </c>
      <c r="W9" s="31"/>
      <c r="X9" s="27" t="s">
        <v>79</v>
      </c>
      <c r="Y9" s="27"/>
      <c r="Z9" s="27"/>
      <c r="AA9" s="27"/>
      <c r="AB9" s="27"/>
      <c r="AC9" s="27" t="s">
        <v>1109</v>
      </c>
      <c r="AD9" s="27" t="s">
        <v>3221</v>
      </c>
      <c r="AE9" s="27"/>
      <c r="AF9" s="27"/>
      <c r="AG9" s="27"/>
      <c r="AH9" s="27"/>
      <c r="AI9" s="27"/>
      <c r="AJ9" s="27"/>
      <c r="AK9" s="27"/>
      <c r="AL9" s="27"/>
      <c r="AM9" s="27" t="s">
        <v>3219</v>
      </c>
      <c r="AN9" s="27" t="s">
        <v>3224</v>
      </c>
      <c r="AO9" s="27" t="s">
        <v>29</v>
      </c>
      <c r="AP9" s="27" t="s">
        <v>176</v>
      </c>
    </row>
    <row r="10" ht="14.4" spans="1:42">
      <c r="A10" s="29"/>
      <c r="B10" s="29"/>
      <c r="C10" s="29"/>
      <c r="D10" s="27" t="s">
        <v>79</v>
      </c>
      <c r="E10" s="27"/>
      <c r="F10" s="27" t="str">
        <f ca="1" t="shared" si="0"/>
        <v/>
      </c>
      <c r="G10" s="27" t="str">
        <f t="shared" si="1"/>
        <v>Amplogio, Zhoilo</v>
      </c>
      <c r="H10" s="27" t="s">
        <v>179</v>
      </c>
      <c r="I10" s="27" t="s">
        <v>2208</v>
      </c>
      <c r="J10" s="27"/>
      <c r="K10" s="27"/>
      <c r="L10" s="32"/>
      <c r="M10" s="27"/>
      <c r="N10" s="27"/>
      <c r="O10" s="27"/>
      <c r="P10" s="27"/>
      <c r="Q10" s="31"/>
      <c r="R10" s="88" t="str">
        <f ca="1" t="shared" si="2"/>
        <v/>
      </c>
      <c r="S10" s="27"/>
      <c r="T10" s="27"/>
      <c r="U10" s="27"/>
      <c r="V10" s="27"/>
      <c r="W10" s="31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</row>
    <row r="11" ht="14.4" spans="1:42">
      <c r="A11" s="29"/>
      <c r="B11" s="29"/>
      <c r="C11" s="29"/>
      <c r="D11" s="27" t="s">
        <v>79</v>
      </c>
      <c r="E11" s="27"/>
      <c r="F11" s="27" t="str">
        <f ca="1" t="shared" si="0"/>
        <v/>
      </c>
      <c r="G11" s="27" t="str">
        <f t="shared" si="1"/>
        <v>Amplogio, Harvey</v>
      </c>
      <c r="H11" s="27" t="s">
        <v>179</v>
      </c>
      <c r="I11" s="27" t="s">
        <v>2004</v>
      </c>
      <c r="J11" s="27"/>
      <c r="K11" s="27"/>
      <c r="L11" s="32"/>
      <c r="M11" s="27"/>
      <c r="N11" s="27"/>
      <c r="O11" s="27"/>
      <c r="P11" s="27"/>
      <c r="Q11" s="31"/>
      <c r="R11" s="88" t="str">
        <f ca="1" t="shared" si="2"/>
        <v/>
      </c>
      <c r="S11" s="27"/>
      <c r="T11" s="27"/>
      <c r="U11" s="27"/>
      <c r="V11" s="27"/>
      <c r="W11" s="31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</row>
    <row r="12" ht="14.4" spans="1:42">
      <c r="A12" s="29"/>
      <c r="B12" s="29"/>
      <c r="C12" s="29"/>
      <c r="D12" s="29" t="s">
        <v>51</v>
      </c>
      <c r="E12" s="27"/>
      <c r="F12" s="27" t="str">
        <f ca="1" t="shared" si="0"/>
        <v>Beginners 2</v>
      </c>
      <c r="G12" s="27" t="str">
        <f t="shared" si="1"/>
        <v>Aragon, Reviel Arcai</v>
      </c>
      <c r="H12" s="27" t="s">
        <v>237</v>
      </c>
      <c r="I12" s="27" t="s">
        <v>3226</v>
      </c>
      <c r="J12" s="27" t="s">
        <v>239</v>
      </c>
      <c r="K12" s="27" t="s">
        <v>1642</v>
      </c>
      <c r="L12" s="32" t="s">
        <v>3227</v>
      </c>
      <c r="M12" s="27" t="s">
        <v>241</v>
      </c>
      <c r="N12" s="177" t="s">
        <v>3228</v>
      </c>
      <c r="O12" s="27"/>
      <c r="P12" s="27"/>
      <c r="Q12" s="31">
        <v>42831</v>
      </c>
      <c r="R12" s="88">
        <f ca="1" t="shared" si="2"/>
        <v>9</v>
      </c>
      <c r="S12" s="27" t="s">
        <v>3229</v>
      </c>
      <c r="T12" s="27" t="s">
        <v>3230</v>
      </c>
      <c r="U12" s="27" t="s">
        <v>1707</v>
      </c>
      <c r="V12" s="27" t="s">
        <v>79</v>
      </c>
      <c r="W12" s="31"/>
      <c r="X12" s="27" t="s">
        <v>79</v>
      </c>
      <c r="Y12" s="27"/>
      <c r="Z12" s="27"/>
      <c r="AA12" s="27"/>
      <c r="AB12" s="27"/>
      <c r="AC12" s="27" t="s">
        <v>266</v>
      </c>
      <c r="AD12" s="27" t="s">
        <v>3231</v>
      </c>
      <c r="AE12" s="27"/>
      <c r="AF12" s="27"/>
      <c r="AG12" s="27"/>
      <c r="AH12" s="27" t="s">
        <v>3232</v>
      </c>
      <c r="AI12" s="27" t="s">
        <v>3233</v>
      </c>
      <c r="AJ12" s="27" t="s">
        <v>268</v>
      </c>
      <c r="AK12" s="27" t="s">
        <v>3234</v>
      </c>
      <c r="AL12" s="27"/>
      <c r="AM12" s="27" t="s">
        <v>1707</v>
      </c>
      <c r="AN12" s="32" t="s">
        <v>3235</v>
      </c>
      <c r="AO12" s="27" t="s">
        <v>30</v>
      </c>
      <c r="AP12" s="27" t="s">
        <v>1709</v>
      </c>
    </row>
    <row r="13" ht="14.4" spans="1:42">
      <c r="A13" s="29"/>
      <c r="B13" s="29"/>
      <c r="C13" s="29"/>
      <c r="D13" s="29" t="s">
        <v>51</v>
      </c>
      <c r="E13" s="27"/>
      <c r="F13" s="27" t="str">
        <f ca="1" t="shared" si="0"/>
        <v>Toddlers 2</v>
      </c>
      <c r="G13" s="27" t="str">
        <f t="shared" si="1"/>
        <v>Bacsa, Vienna Brylle</v>
      </c>
      <c r="H13" s="27" t="s">
        <v>295</v>
      </c>
      <c r="I13" s="27" t="s">
        <v>3236</v>
      </c>
      <c r="J13" s="27" t="s">
        <v>222</v>
      </c>
      <c r="K13" s="27" t="s">
        <v>57</v>
      </c>
      <c r="L13" s="32" t="s">
        <v>3237</v>
      </c>
      <c r="M13" s="27" t="s">
        <v>298</v>
      </c>
      <c r="N13" s="27"/>
      <c r="O13" s="27" t="s">
        <v>299</v>
      </c>
      <c r="P13" s="27" t="s">
        <v>300</v>
      </c>
      <c r="Q13" s="31">
        <v>44473</v>
      </c>
      <c r="R13" s="88">
        <f ca="1" t="shared" si="2"/>
        <v>5</v>
      </c>
      <c r="S13" s="27" t="s">
        <v>1734</v>
      </c>
      <c r="T13" s="27" t="s">
        <v>307</v>
      </c>
      <c r="U13" s="27" t="s">
        <v>1740</v>
      </c>
      <c r="V13" s="27" t="s">
        <v>79</v>
      </c>
      <c r="W13" s="31"/>
      <c r="X13" s="27" t="s">
        <v>79</v>
      </c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 t="s">
        <v>3238</v>
      </c>
      <c r="AN13" s="32" t="s">
        <v>3239</v>
      </c>
      <c r="AO13" s="27" t="s">
        <v>30</v>
      </c>
      <c r="AP13" s="27" t="s">
        <v>299</v>
      </c>
    </row>
    <row r="14" ht="14.4" spans="1:42">
      <c r="A14" s="29"/>
      <c r="B14" s="29"/>
      <c r="C14" s="29"/>
      <c r="D14" s="29" t="s">
        <v>51</v>
      </c>
      <c r="E14" s="27"/>
      <c r="F14" s="27" t="str">
        <f ca="1" t="shared" si="0"/>
        <v/>
      </c>
      <c r="G14" s="27" t="str">
        <f t="shared" si="1"/>
        <v>Bacsa, Xyrelle Vhien</v>
      </c>
      <c r="H14" s="27" t="s">
        <v>295</v>
      </c>
      <c r="I14" s="178" t="s">
        <v>3240</v>
      </c>
      <c r="J14" s="27" t="s">
        <v>222</v>
      </c>
      <c r="K14" s="27" t="s">
        <v>57</v>
      </c>
      <c r="L14" s="32" t="s">
        <v>3237</v>
      </c>
      <c r="M14" s="27" t="s">
        <v>298</v>
      </c>
      <c r="N14" s="27"/>
      <c r="O14" s="27" t="s">
        <v>299</v>
      </c>
      <c r="P14" s="27" t="s">
        <v>300</v>
      </c>
      <c r="Q14" s="31">
        <v>45410</v>
      </c>
      <c r="R14" s="88">
        <f ca="1" t="shared" si="2"/>
        <v>2</v>
      </c>
      <c r="S14" s="27" t="s">
        <v>1734</v>
      </c>
      <c r="T14" s="27" t="s">
        <v>307</v>
      </c>
      <c r="U14" s="27" t="s">
        <v>1740</v>
      </c>
      <c r="V14" s="27" t="s">
        <v>79</v>
      </c>
      <c r="W14" s="31"/>
      <c r="X14" s="27" t="s">
        <v>79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 t="s">
        <v>3238</v>
      </c>
      <c r="AN14" s="32" t="s">
        <v>3239</v>
      </c>
      <c r="AO14" s="27" t="s">
        <v>30</v>
      </c>
      <c r="AP14" s="27" t="s">
        <v>299</v>
      </c>
    </row>
    <row r="15" ht="14.4" spans="1:42">
      <c r="A15" s="29"/>
      <c r="B15" s="29"/>
      <c r="C15" s="29"/>
      <c r="D15" s="29" t="s">
        <v>51</v>
      </c>
      <c r="E15" s="27"/>
      <c r="F15" s="27" t="str">
        <f ca="1" t="shared" si="0"/>
        <v>Junior</v>
      </c>
      <c r="G15" s="27" t="str">
        <f t="shared" si="1"/>
        <v>Bambao, Kizzayha Mayline</v>
      </c>
      <c r="H15" s="27" t="s">
        <v>381</v>
      </c>
      <c r="I15" s="27" t="s">
        <v>3241</v>
      </c>
      <c r="J15" s="27"/>
      <c r="K15" s="27" t="s">
        <v>57</v>
      </c>
      <c r="L15" s="32" t="s">
        <v>383</v>
      </c>
      <c r="M15" s="27" t="s">
        <v>384</v>
      </c>
      <c r="N15" s="27"/>
      <c r="O15" s="27" t="s">
        <v>2311</v>
      </c>
      <c r="P15" s="27"/>
      <c r="Q15" s="31">
        <v>41538</v>
      </c>
      <c r="R15" s="88">
        <f ca="1" t="shared" si="2"/>
        <v>13</v>
      </c>
      <c r="S15" s="27" t="s">
        <v>123</v>
      </c>
      <c r="T15" s="27" t="s">
        <v>3242</v>
      </c>
      <c r="U15" s="27" t="s">
        <v>2306</v>
      </c>
      <c r="V15" s="27" t="s">
        <v>51</v>
      </c>
      <c r="W15" s="31">
        <v>45683</v>
      </c>
      <c r="X15" s="27" t="s">
        <v>51</v>
      </c>
      <c r="Y15" s="31">
        <v>45683</v>
      </c>
      <c r="Z15" s="27" t="s">
        <v>121</v>
      </c>
      <c r="AA15" s="27"/>
      <c r="AB15" s="27"/>
      <c r="AC15" s="27" t="s">
        <v>3220</v>
      </c>
      <c r="AD15" s="27" t="s">
        <v>3243</v>
      </c>
      <c r="AE15" s="27"/>
      <c r="AF15" s="27"/>
      <c r="AG15" s="27"/>
      <c r="AH15" s="27" t="s">
        <v>3232</v>
      </c>
      <c r="AI15" s="27" t="s">
        <v>3244</v>
      </c>
      <c r="AJ15" s="27"/>
      <c r="AK15" s="27"/>
      <c r="AL15" s="27"/>
      <c r="AM15" s="27" t="s">
        <v>2306</v>
      </c>
      <c r="AN15" s="32" t="s">
        <v>3245</v>
      </c>
      <c r="AO15" s="27" t="s">
        <v>30</v>
      </c>
      <c r="AP15" s="27" t="s">
        <v>2311</v>
      </c>
    </row>
    <row r="16" ht="14.4" spans="1:42">
      <c r="A16" s="29"/>
      <c r="B16" s="29"/>
      <c r="C16" s="29"/>
      <c r="D16" s="29" t="s">
        <v>51</v>
      </c>
      <c r="E16" s="27"/>
      <c r="F16" s="27" t="str">
        <f ca="1" t="shared" si="0"/>
        <v>Primary</v>
      </c>
      <c r="G16" s="27" t="str">
        <f t="shared" si="1"/>
        <v>Bentrez, Jezreel Genrev</v>
      </c>
      <c r="H16" s="27" t="s">
        <v>474</v>
      </c>
      <c r="I16" s="27" t="s">
        <v>3246</v>
      </c>
      <c r="J16" s="27"/>
      <c r="K16" s="27" t="s">
        <v>1642</v>
      </c>
      <c r="L16" s="32" t="s">
        <v>494</v>
      </c>
      <c r="M16" s="27" t="s">
        <v>495</v>
      </c>
      <c r="N16" s="27"/>
      <c r="O16" s="27" t="s">
        <v>496</v>
      </c>
      <c r="P16" s="27"/>
      <c r="Q16" s="31">
        <v>41809</v>
      </c>
      <c r="R16" s="88">
        <f ca="1" t="shared" si="2"/>
        <v>12</v>
      </c>
      <c r="S16" s="27" t="s">
        <v>123</v>
      </c>
      <c r="T16" s="27" t="s">
        <v>489</v>
      </c>
      <c r="U16" s="27" t="s">
        <v>1772</v>
      </c>
      <c r="V16" s="27" t="s">
        <v>51</v>
      </c>
      <c r="W16" s="31">
        <v>45697</v>
      </c>
      <c r="X16" s="27" t="s">
        <v>51</v>
      </c>
      <c r="Y16" s="27"/>
      <c r="Z16" s="27"/>
      <c r="AA16" s="27"/>
      <c r="AB16" s="27"/>
      <c r="AC16" s="27" t="s">
        <v>1148</v>
      </c>
      <c r="AD16" s="27" t="s">
        <v>3247</v>
      </c>
      <c r="AE16" s="27"/>
      <c r="AF16" s="27"/>
      <c r="AG16" s="27"/>
      <c r="AH16" s="27" t="s">
        <v>2327</v>
      </c>
      <c r="AI16" s="27" t="s">
        <v>3248</v>
      </c>
      <c r="AJ16" s="27" t="s">
        <v>3249</v>
      </c>
      <c r="AK16" s="27" t="s">
        <v>3250</v>
      </c>
      <c r="AL16" s="27" t="s">
        <v>3251</v>
      </c>
      <c r="AM16" s="27" t="s">
        <v>489</v>
      </c>
      <c r="AN16" s="32" t="s">
        <v>3252</v>
      </c>
      <c r="AO16" s="27" t="s">
        <v>29</v>
      </c>
      <c r="AP16" s="27" t="s">
        <v>491</v>
      </c>
    </row>
    <row r="17" ht="14.4" spans="1:42">
      <c r="A17" s="29"/>
      <c r="B17" s="29"/>
      <c r="C17" s="29"/>
      <c r="D17" s="29" t="s">
        <v>51</v>
      </c>
      <c r="E17" s="27"/>
      <c r="F17" s="27" t="str">
        <f ca="1" t="shared" si="0"/>
        <v>Junior</v>
      </c>
      <c r="G17" s="27" t="str">
        <f t="shared" si="1"/>
        <v>Castillo, Princess Lhianne</v>
      </c>
      <c r="H17" s="27" t="s">
        <v>3253</v>
      </c>
      <c r="I17" s="27" t="s">
        <v>3254</v>
      </c>
      <c r="J17" s="27" t="s">
        <v>222</v>
      </c>
      <c r="K17" s="27" t="s">
        <v>57</v>
      </c>
      <c r="L17" s="32" t="s">
        <v>459</v>
      </c>
      <c r="M17" s="27" t="s">
        <v>460</v>
      </c>
      <c r="N17" s="27" t="s">
        <v>3255</v>
      </c>
      <c r="O17" s="27" t="s">
        <v>3256</v>
      </c>
      <c r="P17" s="27"/>
      <c r="Q17" s="31">
        <v>41485</v>
      </c>
      <c r="R17" s="88">
        <f ca="1" t="shared" si="2"/>
        <v>13</v>
      </c>
      <c r="S17" s="27" t="s">
        <v>3257</v>
      </c>
      <c r="T17" s="27" t="s">
        <v>3258</v>
      </c>
      <c r="U17" s="27" t="s">
        <v>3259</v>
      </c>
      <c r="V17" s="27" t="s">
        <v>79</v>
      </c>
      <c r="W17" s="31"/>
      <c r="X17" s="27" t="s">
        <v>79</v>
      </c>
      <c r="Y17" s="27"/>
      <c r="Z17" s="27"/>
      <c r="AA17" s="27"/>
      <c r="AB17" s="27"/>
      <c r="AC17" s="27" t="s">
        <v>1148</v>
      </c>
      <c r="AD17" s="27" t="s">
        <v>3260</v>
      </c>
      <c r="AE17" s="27"/>
      <c r="AF17" s="27"/>
      <c r="AG17" s="27"/>
      <c r="AH17" s="27" t="s">
        <v>2574</v>
      </c>
      <c r="AI17" s="27" t="s">
        <v>987</v>
      </c>
      <c r="AJ17" s="27"/>
      <c r="AK17" s="27" t="s">
        <v>153</v>
      </c>
      <c r="AL17" s="27" t="s">
        <v>2300</v>
      </c>
      <c r="AM17" s="27" t="s">
        <v>3259</v>
      </c>
      <c r="AN17" s="32" t="s">
        <v>3261</v>
      </c>
      <c r="AO17" s="27" t="s">
        <v>30</v>
      </c>
      <c r="AP17" s="27" t="s">
        <v>3256</v>
      </c>
    </row>
    <row r="18" ht="14.4" spans="1:42">
      <c r="A18" s="29"/>
      <c r="B18" s="29"/>
      <c r="C18" s="29"/>
      <c r="D18" s="29" t="s">
        <v>51</v>
      </c>
      <c r="E18" s="27"/>
      <c r="F18" s="27" t="str">
        <f ca="1" t="shared" si="0"/>
        <v>Toddlers 2</v>
      </c>
      <c r="G18" s="27" t="str">
        <f t="shared" si="1"/>
        <v>Castro, Prince Jedi</v>
      </c>
      <c r="H18" s="27" t="s">
        <v>670</v>
      </c>
      <c r="I18" s="27" t="s">
        <v>3262</v>
      </c>
      <c r="J18" s="27" t="s">
        <v>907</v>
      </c>
      <c r="K18" s="27" t="s">
        <v>1642</v>
      </c>
      <c r="L18" s="32" t="s">
        <v>162</v>
      </c>
      <c r="M18" s="27" t="s">
        <v>163</v>
      </c>
      <c r="N18" s="27"/>
      <c r="O18" s="27"/>
      <c r="P18" s="27"/>
      <c r="Q18" s="31">
        <v>44090</v>
      </c>
      <c r="R18" s="88">
        <f ca="1" t="shared" si="2"/>
        <v>6</v>
      </c>
      <c r="S18" s="27" t="s">
        <v>63</v>
      </c>
      <c r="T18" s="27" t="s">
        <v>3263</v>
      </c>
      <c r="U18" s="27" t="s">
        <v>3264</v>
      </c>
      <c r="V18" s="27" t="s">
        <v>79</v>
      </c>
      <c r="W18" s="31"/>
      <c r="X18" s="27" t="s">
        <v>79</v>
      </c>
      <c r="Y18" s="27"/>
      <c r="Z18" s="27"/>
      <c r="AA18" s="27"/>
      <c r="AB18" s="27"/>
      <c r="AC18" s="27" t="s">
        <v>3265</v>
      </c>
      <c r="AD18" s="27" t="s">
        <v>3266</v>
      </c>
      <c r="AE18" s="27"/>
      <c r="AF18" s="27"/>
      <c r="AG18" s="27" t="s">
        <v>3267</v>
      </c>
      <c r="AH18" s="27"/>
      <c r="AI18" s="27"/>
      <c r="AJ18" s="27"/>
      <c r="AK18" s="27"/>
      <c r="AL18" s="27"/>
      <c r="AM18" s="27" t="s">
        <v>3219</v>
      </c>
      <c r="AN18" s="27" t="s">
        <v>3224</v>
      </c>
      <c r="AO18" s="27" t="s">
        <v>3268</v>
      </c>
      <c r="AP18" s="27" t="s">
        <v>176</v>
      </c>
    </row>
    <row r="19" ht="14.4" spans="1:42">
      <c r="A19" s="29"/>
      <c r="B19" s="29"/>
      <c r="C19" s="29"/>
      <c r="D19" s="29" t="s">
        <v>51</v>
      </c>
      <c r="E19" s="27"/>
      <c r="F19" s="27" t="str">
        <f ca="1" t="shared" si="0"/>
        <v>Beginners 1</v>
      </c>
      <c r="G19" s="27" t="str">
        <f t="shared" si="1"/>
        <v>Cayandag, James</v>
      </c>
      <c r="H19" s="27" t="s">
        <v>689</v>
      </c>
      <c r="I19" s="27" t="s">
        <v>2990</v>
      </c>
      <c r="J19" s="27"/>
      <c r="K19" s="27" t="s">
        <v>1642</v>
      </c>
      <c r="L19" s="32" t="s">
        <v>3269</v>
      </c>
      <c r="M19" s="27" t="s">
        <v>692</v>
      </c>
      <c r="N19" s="27"/>
      <c r="O19" s="27"/>
      <c r="P19" s="27"/>
      <c r="Q19" s="31">
        <v>43385</v>
      </c>
      <c r="R19" s="88">
        <f ca="1" t="shared" si="2"/>
        <v>8</v>
      </c>
      <c r="S19" s="27" t="s">
        <v>123</v>
      </c>
      <c r="T19" s="27" t="s">
        <v>699</v>
      </c>
      <c r="U19" s="27" t="s">
        <v>1824</v>
      </c>
      <c r="V19" s="27" t="s">
        <v>79</v>
      </c>
      <c r="W19" s="31"/>
      <c r="X19" s="27" t="s">
        <v>79</v>
      </c>
      <c r="Y19" s="27"/>
      <c r="Z19" s="27" t="s">
        <v>3270</v>
      </c>
      <c r="AA19" s="27"/>
      <c r="AB19" s="27"/>
      <c r="AC19" s="27" t="s">
        <v>3218</v>
      </c>
      <c r="AD19" s="27" t="s">
        <v>3271</v>
      </c>
      <c r="AE19" s="27"/>
      <c r="AF19" s="27"/>
      <c r="AG19" s="27"/>
      <c r="AH19" s="27"/>
      <c r="AI19" s="27"/>
      <c r="AJ19" s="27"/>
      <c r="AK19" s="27"/>
      <c r="AL19" s="27"/>
      <c r="AM19" s="27" t="s">
        <v>1824</v>
      </c>
      <c r="AN19" s="32" t="s">
        <v>3272</v>
      </c>
      <c r="AO19" s="27" t="s">
        <v>30</v>
      </c>
      <c r="AP19" s="27" t="s">
        <v>693</v>
      </c>
    </row>
    <row r="20" ht="14.4" spans="1:42">
      <c r="A20" s="29"/>
      <c r="B20" s="29"/>
      <c r="C20" s="29"/>
      <c r="D20" s="29" t="s">
        <v>51</v>
      </c>
      <c r="E20" s="27"/>
      <c r="F20" s="27" t="str">
        <f ca="1" t="shared" si="0"/>
        <v>Beginners 2</v>
      </c>
      <c r="G20" s="27" t="str">
        <f t="shared" si="1"/>
        <v>Cayandag, Jazzy</v>
      </c>
      <c r="H20" s="27" t="s">
        <v>689</v>
      </c>
      <c r="I20" s="27" t="s">
        <v>3273</v>
      </c>
      <c r="J20" s="27"/>
      <c r="K20" s="27" t="s">
        <v>57</v>
      </c>
      <c r="L20" s="32" t="s">
        <v>3269</v>
      </c>
      <c r="M20" s="27" t="s">
        <v>692</v>
      </c>
      <c r="N20" s="27"/>
      <c r="O20" s="27"/>
      <c r="P20" s="27"/>
      <c r="Q20" s="31">
        <v>42605</v>
      </c>
      <c r="R20" s="88">
        <f ca="1" t="shared" si="2"/>
        <v>10</v>
      </c>
      <c r="S20" s="27" t="s">
        <v>123</v>
      </c>
      <c r="T20" s="27" t="s">
        <v>699</v>
      </c>
      <c r="U20" s="27" t="s">
        <v>1824</v>
      </c>
      <c r="V20" s="27" t="s">
        <v>79</v>
      </c>
      <c r="W20" s="31"/>
      <c r="X20" s="27" t="s">
        <v>79</v>
      </c>
      <c r="Y20" s="27"/>
      <c r="Z20" s="27" t="s">
        <v>3270</v>
      </c>
      <c r="AA20" s="27"/>
      <c r="AB20" s="27"/>
      <c r="AC20" s="27" t="s">
        <v>266</v>
      </c>
      <c r="AD20" s="27" t="s">
        <v>3271</v>
      </c>
      <c r="AE20" s="27"/>
      <c r="AF20" s="27"/>
      <c r="AG20" s="27"/>
      <c r="AH20" s="27"/>
      <c r="AI20" s="27"/>
      <c r="AJ20" s="27"/>
      <c r="AK20" s="27"/>
      <c r="AL20" s="27"/>
      <c r="AM20" s="27" t="s">
        <v>1824</v>
      </c>
      <c r="AN20" s="32" t="s">
        <v>3272</v>
      </c>
      <c r="AO20" s="27" t="s">
        <v>30</v>
      </c>
      <c r="AP20" s="27" t="s">
        <v>693</v>
      </c>
    </row>
    <row r="21" ht="15.75" customHeight="1" spans="1:42">
      <c r="A21" s="29"/>
      <c r="B21" s="29"/>
      <c r="C21" s="29"/>
      <c r="D21" s="29" t="s">
        <v>51</v>
      </c>
      <c r="E21" s="27"/>
      <c r="F21" s="27" t="str">
        <f ca="1" t="shared" si="0"/>
        <v>Primary</v>
      </c>
      <c r="G21" s="27" t="str">
        <f t="shared" si="1"/>
        <v>Coyasan, Jharen</v>
      </c>
      <c r="H21" s="27" t="s">
        <v>724</v>
      </c>
      <c r="I21" s="27" t="s">
        <v>3274</v>
      </c>
      <c r="J21" s="27"/>
      <c r="K21" s="27" t="s">
        <v>1642</v>
      </c>
      <c r="L21" s="32" t="s">
        <v>727</v>
      </c>
      <c r="M21" s="27" t="s">
        <v>224</v>
      </c>
      <c r="N21" s="27"/>
      <c r="O21" s="27" t="s">
        <v>729</v>
      </c>
      <c r="P21" s="27"/>
      <c r="Q21" s="31">
        <v>42100</v>
      </c>
      <c r="R21" s="88">
        <f ca="1" t="shared" si="2"/>
        <v>11</v>
      </c>
      <c r="S21" s="27" t="s">
        <v>123</v>
      </c>
      <c r="T21" s="27" t="s">
        <v>733</v>
      </c>
      <c r="U21" s="27" t="s">
        <v>3275</v>
      </c>
      <c r="V21" s="27" t="s">
        <v>79</v>
      </c>
      <c r="W21" s="31"/>
      <c r="X21" s="27" t="s">
        <v>79</v>
      </c>
      <c r="Y21" s="27"/>
      <c r="Z21" s="27" t="s">
        <v>121</v>
      </c>
      <c r="AA21" s="27"/>
      <c r="AB21" s="27"/>
      <c r="AC21" s="27" t="s">
        <v>3276</v>
      </c>
      <c r="AD21" s="27" t="s">
        <v>3277</v>
      </c>
      <c r="AE21" s="27"/>
      <c r="AF21" s="27"/>
      <c r="AG21" s="27"/>
      <c r="AH21" s="27"/>
      <c r="AI21" s="27" t="s">
        <v>3278</v>
      </c>
      <c r="AJ21" s="27" t="s">
        <v>269</v>
      </c>
      <c r="AK21" s="27" t="s">
        <v>269</v>
      </c>
      <c r="AL21" s="27"/>
      <c r="AM21" s="27" t="s">
        <v>3275</v>
      </c>
      <c r="AN21" s="32" t="s">
        <v>3279</v>
      </c>
      <c r="AO21" s="27" t="s">
        <v>30</v>
      </c>
      <c r="AP21" s="27" t="s">
        <v>729</v>
      </c>
    </row>
    <row r="22" ht="15.75" customHeight="1" spans="1:42">
      <c r="A22" s="29"/>
      <c r="B22" s="29"/>
      <c r="C22" s="29"/>
      <c r="D22" s="29" t="s">
        <v>79</v>
      </c>
      <c r="E22" s="27"/>
      <c r="F22" s="27" t="str">
        <f ca="1" t="shared" si="0"/>
        <v>Primary</v>
      </c>
      <c r="G22" s="27" t="str">
        <f t="shared" si="1"/>
        <v>De Castro, Marl Jakob</v>
      </c>
      <c r="H22" s="27" t="s">
        <v>881</v>
      </c>
      <c r="I22" s="27" t="s">
        <v>3280</v>
      </c>
      <c r="J22" s="27" t="s">
        <v>440</v>
      </c>
      <c r="K22" s="27" t="s">
        <v>1642</v>
      </c>
      <c r="L22" s="32" t="s">
        <v>883</v>
      </c>
      <c r="M22" s="32" t="s">
        <v>884</v>
      </c>
      <c r="N22" s="27"/>
      <c r="O22" s="27" t="s">
        <v>3281</v>
      </c>
      <c r="P22" s="27"/>
      <c r="Q22" s="31">
        <v>42292</v>
      </c>
      <c r="R22" s="88">
        <f ca="1" t="shared" si="2"/>
        <v>11</v>
      </c>
      <c r="S22" s="27"/>
      <c r="T22" s="27"/>
      <c r="U22" s="27"/>
      <c r="V22" s="27"/>
      <c r="W22" s="31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</row>
    <row r="23" ht="15.75" customHeight="1" spans="1:42">
      <c r="A23" s="29"/>
      <c r="B23" s="29"/>
      <c r="C23" s="29"/>
      <c r="D23" s="29" t="s">
        <v>79</v>
      </c>
      <c r="E23" s="27"/>
      <c r="F23" s="27" t="str">
        <f ca="1" t="shared" si="0"/>
        <v>Beginners 1</v>
      </c>
      <c r="G23" s="27" t="str">
        <f t="shared" si="1"/>
        <v>De Castro, Rebekah Faith</v>
      </c>
      <c r="H23" s="27" t="s">
        <v>881</v>
      </c>
      <c r="I23" s="27" t="s">
        <v>3282</v>
      </c>
      <c r="J23" s="27" t="s">
        <v>440</v>
      </c>
      <c r="K23" s="27" t="s">
        <v>57</v>
      </c>
      <c r="L23" s="32" t="s">
        <v>883</v>
      </c>
      <c r="M23" s="32" t="s">
        <v>884</v>
      </c>
      <c r="N23" s="27"/>
      <c r="O23" s="27" t="s">
        <v>3281</v>
      </c>
      <c r="P23" s="27"/>
      <c r="Q23" s="31">
        <v>43286</v>
      </c>
      <c r="R23" s="88">
        <f ca="1" t="shared" si="2"/>
        <v>8</v>
      </c>
      <c r="S23" s="27"/>
      <c r="T23" s="27"/>
      <c r="U23" s="27"/>
      <c r="V23" s="27"/>
      <c r="W23" s="31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</row>
    <row r="24" ht="15.75" customHeight="1" spans="1:42">
      <c r="A24" s="179" t="s">
        <v>3283</v>
      </c>
      <c r="B24" s="29"/>
      <c r="C24" s="29"/>
      <c r="D24" s="29" t="s">
        <v>51</v>
      </c>
      <c r="E24" s="27"/>
      <c r="F24" s="27" t="str">
        <f ca="1" t="shared" si="0"/>
        <v>Beginners 2</v>
      </c>
      <c r="G24" s="27" t="str">
        <f t="shared" si="1"/>
        <v>Galasgas, Yzhexiel Zyric</v>
      </c>
      <c r="H24" s="27" t="s">
        <v>3284</v>
      </c>
      <c r="I24" s="27" t="s">
        <v>3285</v>
      </c>
      <c r="J24" s="27" t="s">
        <v>222</v>
      </c>
      <c r="K24" s="27" t="s">
        <v>1642</v>
      </c>
      <c r="L24" s="32" t="s">
        <v>3286</v>
      </c>
      <c r="M24" s="27" t="s">
        <v>524</v>
      </c>
      <c r="N24" s="27"/>
      <c r="O24" s="27"/>
      <c r="P24" s="27"/>
      <c r="Q24" s="31">
        <v>42727</v>
      </c>
      <c r="R24" s="88">
        <f ca="1" t="shared" si="2"/>
        <v>9</v>
      </c>
      <c r="S24" s="27" t="s">
        <v>123</v>
      </c>
      <c r="T24" s="27" t="s">
        <v>3287</v>
      </c>
      <c r="U24" s="27" t="s">
        <v>1778</v>
      </c>
      <c r="V24" s="27" t="s">
        <v>79</v>
      </c>
      <c r="W24" s="31"/>
      <c r="X24" s="27" t="s">
        <v>51</v>
      </c>
      <c r="Y24" s="27"/>
      <c r="Z24" s="27"/>
      <c r="AA24" s="27"/>
      <c r="AB24" s="27"/>
      <c r="AC24" s="27" t="s">
        <v>266</v>
      </c>
      <c r="AD24" s="27" t="s">
        <v>3288</v>
      </c>
      <c r="AE24" s="27"/>
      <c r="AF24" s="27"/>
      <c r="AG24" s="27"/>
      <c r="AH24" s="27" t="s">
        <v>3289</v>
      </c>
      <c r="AI24" s="27" t="s">
        <v>268</v>
      </c>
      <c r="AJ24" s="27" t="s">
        <v>268</v>
      </c>
      <c r="AK24" s="27"/>
      <c r="AL24" s="27" t="s">
        <v>268</v>
      </c>
      <c r="AM24" s="27" t="s">
        <v>1778</v>
      </c>
      <c r="AN24" s="32" t="s">
        <v>3290</v>
      </c>
      <c r="AO24" s="27" t="s">
        <v>30</v>
      </c>
      <c r="AP24" s="27" t="s">
        <v>525</v>
      </c>
    </row>
    <row r="25" ht="15.75" customHeight="1" spans="1:42">
      <c r="A25" s="29" t="s">
        <v>3291</v>
      </c>
      <c r="B25" s="29"/>
      <c r="C25" s="29"/>
      <c r="D25" s="29" t="s">
        <v>51</v>
      </c>
      <c r="E25" s="27"/>
      <c r="F25" s="27" t="str">
        <f ca="1" t="shared" si="0"/>
        <v>Beginners 1</v>
      </c>
      <c r="G25" s="27" t="str">
        <f t="shared" si="1"/>
        <v>Gumpal, Aiko Gwyneth</v>
      </c>
      <c r="H25" s="27" t="s">
        <v>981</v>
      </c>
      <c r="I25" s="27" t="s">
        <v>3292</v>
      </c>
      <c r="J25" s="27" t="s">
        <v>161</v>
      </c>
      <c r="K25" s="27" t="s">
        <v>57</v>
      </c>
      <c r="L25" s="32">
        <v>70</v>
      </c>
      <c r="M25" s="27" t="s">
        <v>555</v>
      </c>
      <c r="N25" s="27"/>
      <c r="O25" s="27"/>
      <c r="P25" s="27" t="s">
        <v>3293</v>
      </c>
      <c r="Q25" s="31">
        <v>43688</v>
      </c>
      <c r="R25" s="88">
        <f ca="1" t="shared" si="2"/>
        <v>7</v>
      </c>
      <c r="S25" s="27" t="s">
        <v>123</v>
      </c>
      <c r="T25" s="27" t="s">
        <v>3294</v>
      </c>
      <c r="U25" s="27" t="s">
        <v>3295</v>
      </c>
      <c r="V25" s="27" t="s">
        <v>79</v>
      </c>
      <c r="W25" s="31"/>
      <c r="X25" s="27" t="s">
        <v>79</v>
      </c>
      <c r="Y25" s="27"/>
      <c r="Z25" s="27"/>
      <c r="AA25" s="27"/>
      <c r="AB25" s="27"/>
      <c r="AC25" s="27" t="s">
        <v>3296</v>
      </c>
      <c r="AD25" s="27" t="s">
        <v>3297</v>
      </c>
      <c r="AE25" s="27"/>
      <c r="AF25" s="27" t="s">
        <v>3298</v>
      </c>
      <c r="AG25" s="27"/>
      <c r="AH25" s="27"/>
      <c r="AI25" s="27" t="s">
        <v>3299</v>
      </c>
      <c r="AJ25" s="27"/>
      <c r="AK25" s="27"/>
      <c r="AL25" s="27"/>
      <c r="AM25" s="27" t="s">
        <v>3295</v>
      </c>
      <c r="AN25" s="27" t="s">
        <v>3300</v>
      </c>
      <c r="AO25" s="27" t="s">
        <v>30</v>
      </c>
      <c r="AP25" s="27" t="s">
        <v>684</v>
      </c>
    </row>
    <row r="26" ht="15.75" customHeight="1" spans="1:42">
      <c r="A26" s="29" t="s">
        <v>3301</v>
      </c>
      <c r="B26" s="29"/>
      <c r="C26" s="29"/>
      <c r="D26" s="29" t="s">
        <v>51</v>
      </c>
      <c r="E26" s="27"/>
      <c r="F26" s="27" t="str">
        <f ca="1" t="shared" si="0"/>
        <v>Junior</v>
      </c>
      <c r="G26" s="27" t="str">
        <f t="shared" si="1"/>
        <v>Kiaki, Allen James</v>
      </c>
      <c r="H26" s="27" t="s">
        <v>1018</v>
      </c>
      <c r="I26" s="27" t="s">
        <v>3302</v>
      </c>
      <c r="J26" s="27"/>
      <c r="K26" s="27" t="s">
        <v>1642</v>
      </c>
      <c r="L26" s="32" t="s">
        <v>1020</v>
      </c>
      <c r="M26" s="27" t="s">
        <v>1021</v>
      </c>
      <c r="N26" s="27"/>
      <c r="O26" s="27"/>
      <c r="P26" s="27"/>
      <c r="Q26" s="31">
        <v>41336</v>
      </c>
      <c r="R26" s="88">
        <f ca="1" t="shared" si="2"/>
        <v>13</v>
      </c>
      <c r="S26" s="27" t="s">
        <v>123</v>
      </c>
      <c r="T26" s="27" t="s">
        <v>3303</v>
      </c>
      <c r="U26" s="27" t="s">
        <v>3304</v>
      </c>
      <c r="V26" s="27" t="s">
        <v>79</v>
      </c>
      <c r="W26" s="31"/>
      <c r="X26" s="27" t="s">
        <v>79</v>
      </c>
      <c r="Y26" s="27"/>
      <c r="Z26" s="27" t="s">
        <v>121</v>
      </c>
      <c r="AA26" s="27"/>
      <c r="AB26" s="27"/>
      <c r="AC26" s="27" t="s">
        <v>3220</v>
      </c>
      <c r="AD26" s="27" t="s">
        <v>3305</v>
      </c>
      <c r="AE26" s="27"/>
      <c r="AF26" s="27"/>
      <c r="AG26" s="27" t="s">
        <v>3306</v>
      </c>
      <c r="AH26" s="27"/>
      <c r="AI26" s="27"/>
      <c r="AJ26" s="27"/>
      <c r="AK26" s="27" t="s">
        <v>269</v>
      </c>
      <c r="AL26" s="27" t="s">
        <v>268</v>
      </c>
      <c r="AM26" s="27" t="s">
        <v>3304</v>
      </c>
      <c r="AN26" s="32" t="s">
        <v>3307</v>
      </c>
      <c r="AO26" s="27" t="s">
        <v>30</v>
      </c>
      <c r="AP26" s="27"/>
    </row>
    <row r="27" ht="15.75" customHeight="1" spans="1:42">
      <c r="A27" s="29" t="s">
        <v>3308</v>
      </c>
      <c r="B27" s="29"/>
      <c r="C27" s="29"/>
      <c r="D27" s="29" t="s">
        <v>51</v>
      </c>
      <c r="E27" s="27"/>
      <c r="F27" s="27" t="str">
        <f ca="1" t="shared" si="0"/>
        <v>Beginners 1</v>
      </c>
      <c r="G27" s="27" t="str">
        <f t="shared" si="1"/>
        <v>Kiaki, Paul Jordan</v>
      </c>
      <c r="H27" s="27" t="s">
        <v>1018</v>
      </c>
      <c r="I27" s="27" t="s">
        <v>3309</v>
      </c>
      <c r="J27" s="27"/>
      <c r="K27" s="27" t="s">
        <v>1642</v>
      </c>
      <c r="L27" s="32" t="s">
        <v>1020</v>
      </c>
      <c r="M27" s="27" t="s">
        <v>1021</v>
      </c>
      <c r="N27" s="27"/>
      <c r="O27" s="27"/>
      <c r="P27" s="27"/>
      <c r="Q27" s="31">
        <v>43442</v>
      </c>
      <c r="R27" s="88">
        <f ca="1" t="shared" si="2"/>
        <v>7</v>
      </c>
      <c r="S27" s="27" t="s">
        <v>123</v>
      </c>
      <c r="T27" s="27" t="s">
        <v>3303</v>
      </c>
      <c r="U27" s="27" t="s">
        <v>3304</v>
      </c>
      <c r="V27" s="27" t="s">
        <v>79</v>
      </c>
      <c r="W27" s="31"/>
      <c r="X27" s="27" t="s">
        <v>79</v>
      </c>
      <c r="Y27" s="27"/>
      <c r="Z27" s="27"/>
      <c r="AA27" s="27"/>
      <c r="AB27" s="27"/>
      <c r="AC27" s="27" t="s">
        <v>3310</v>
      </c>
      <c r="AD27" s="27" t="s">
        <v>3311</v>
      </c>
      <c r="AE27" s="27"/>
      <c r="AF27" s="27"/>
      <c r="AG27" s="27" t="s">
        <v>3306</v>
      </c>
      <c r="AH27" s="27"/>
      <c r="AI27" s="27"/>
      <c r="AJ27" s="27"/>
      <c r="AK27" s="27" t="s">
        <v>3312</v>
      </c>
      <c r="AL27" s="27" t="s">
        <v>2225</v>
      </c>
      <c r="AM27" s="27" t="s">
        <v>3304</v>
      </c>
      <c r="AN27" s="32" t="s">
        <v>3307</v>
      </c>
      <c r="AO27" s="27" t="s">
        <v>30</v>
      </c>
      <c r="AP27" s="27"/>
    </row>
    <row r="28" ht="15.75" customHeight="1" spans="1:42">
      <c r="A28" s="180" t="s">
        <v>3313</v>
      </c>
      <c r="B28" s="29"/>
      <c r="C28" s="29"/>
      <c r="D28" s="29" t="s">
        <v>51</v>
      </c>
      <c r="E28" s="27"/>
      <c r="F28" s="27" t="str">
        <f ca="1" t="shared" si="0"/>
        <v>Primary</v>
      </c>
      <c r="G28" s="27" t="str">
        <f t="shared" si="1"/>
        <v>Pacsi, Kaela Margarette</v>
      </c>
      <c r="H28" s="27" t="s">
        <v>1289</v>
      </c>
      <c r="I28" s="27" t="s">
        <v>3314</v>
      </c>
      <c r="J28" s="27" t="s">
        <v>493</v>
      </c>
      <c r="K28" s="27" t="s">
        <v>57</v>
      </c>
      <c r="L28" s="32" t="s">
        <v>1291</v>
      </c>
      <c r="M28" s="27" t="s">
        <v>1292</v>
      </c>
      <c r="N28" s="27"/>
      <c r="O28" s="27" t="s">
        <v>1294</v>
      </c>
      <c r="P28" s="27"/>
      <c r="Q28" s="31">
        <v>42078</v>
      </c>
      <c r="R28" s="88">
        <f ca="1" t="shared" si="2"/>
        <v>11</v>
      </c>
      <c r="S28" s="27" t="s">
        <v>123</v>
      </c>
      <c r="T28" s="27" t="s">
        <v>3315</v>
      </c>
      <c r="U28" s="27" t="s">
        <v>3316</v>
      </c>
      <c r="V28" s="27" t="s">
        <v>79</v>
      </c>
      <c r="W28" s="31"/>
      <c r="X28" s="27" t="s">
        <v>79</v>
      </c>
      <c r="Y28" s="27"/>
      <c r="Z28" s="27"/>
      <c r="AA28" s="27"/>
      <c r="AB28" s="27"/>
      <c r="AC28" s="27" t="s">
        <v>3276</v>
      </c>
      <c r="AD28" s="27" t="s">
        <v>3317</v>
      </c>
      <c r="AE28" s="27"/>
      <c r="AF28" s="27"/>
      <c r="AG28" s="27"/>
      <c r="AH28" s="27"/>
      <c r="AI28" s="27" t="s">
        <v>268</v>
      </c>
      <c r="AJ28" s="27" t="s">
        <v>3318</v>
      </c>
      <c r="AK28" s="27"/>
      <c r="AL28" s="27" t="s">
        <v>268</v>
      </c>
      <c r="AM28" s="27" t="s">
        <v>2040</v>
      </c>
      <c r="AN28" s="32" t="s">
        <v>3319</v>
      </c>
      <c r="AO28" s="27" t="s">
        <v>30</v>
      </c>
      <c r="AP28" s="27" t="s">
        <v>1294</v>
      </c>
    </row>
    <row r="29" ht="15.75" customHeight="1" spans="1:42">
      <c r="A29" s="29" t="s">
        <v>3320</v>
      </c>
      <c r="B29" s="29"/>
      <c r="C29" s="29"/>
      <c r="D29" s="29" t="s">
        <v>51</v>
      </c>
      <c r="E29" s="27"/>
      <c r="F29" s="27" t="str">
        <f ca="1" t="shared" si="0"/>
        <v>Primary</v>
      </c>
      <c r="G29" s="27" t="str">
        <f t="shared" si="1"/>
        <v>Prado, Ezekiel Shem</v>
      </c>
      <c r="H29" s="27" t="s">
        <v>1333</v>
      </c>
      <c r="I29" s="27" t="s">
        <v>3321</v>
      </c>
      <c r="J29" s="27" t="s">
        <v>161</v>
      </c>
      <c r="K29" s="27" t="s">
        <v>1642</v>
      </c>
      <c r="L29" s="32" t="s">
        <v>1335</v>
      </c>
      <c r="M29" s="27" t="s">
        <v>163</v>
      </c>
      <c r="N29" s="27" t="s">
        <v>1336</v>
      </c>
      <c r="O29" s="27" t="s">
        <v>1337</v>
      </c>
      <c r="P29" s="27"/>
      <c r="Q29" s="31">
        <v>41828</v>
      </c>
      <c r="R29" s="88">
        <f ca="1" t="shared" si="2"/>
        <v>12</v>
      </c>
      <c r="S29" s="27" t="s">
        <v>806</v>
      </c>
      <c r="T29" s="27" t="s">
        <v>3322</v>
      </c>
      <c r="U29" s="27" t="s">
        <v>3323</v>
      </c>
      <c r="V29" s="27" t="s">
        <v>79</v>
      </c>
      <c r="W29" s="31"/>
      <c r="X29" s="27" t="s">
        <v>79</v>
      </c>
      <c r="Y29" s="27"/>
      <c r="Z29" s="27" t="s">
        <v>1075</v>
      </c>
      <c r="AA29" s="27"/>
      <c r="AB29" s="27"/>
      <c r="AC29" s="27" t="s">
        <v>1148</v>
      </c>
      <c r="AD29" s="27" t="s">
        <v>3324</v>
      </c>
      <c r="AE29" s="27"/>
      <c r="AF29" s="27"/>
      <c r="AG29" s="27" t="s">
        <v>3325</v>
      </c>
      <c r="AH29" s="27" t="s">
        <v>3232</v>
      </c>
      <c r="AI29" s="27" t="s">
        <v>3326</v>
      </c>
      <c r="AJ29" s="27" t="s">
        <v>3327</v>
      </c>
      <c r="AK29" s="27" t="s">
        <v>3328</v>
      </c>
      <c r="AL29" s="27"/>
      <c r="AM29" s="27" t="s">
        <v>3323</v>
      </c>
      <c r="AN29" s="32" t="s">
        <v>3329</v>
      </c>
      <c r="AO29" s="27" t="s">
        <v>30</v>
      </c>
      <c r="AP29" s="27" t="s">
        <v>1337</v>
      </c>
    </row>
    <row r="30" ht="15.75" customHeight="1" spans="1:42">
      <c r="A30" s="29"/>
      <c r="B30" s="29"/>
      <c r="C30" s="29"/>
      <c r="D30" s="29" t="s">
        <v>51</v>
      </c>
      <c r="E30" s="27"/>
      <c r="F30" s="27" t="str">
        <f ca="1" t="shared" si="0"/>
        <v>Primary</v>
      </c>
      <c r="G30" s="27" t="str">
        <f t="shared" si="1"/>
        <v>Pulicay, Ceanne Marc</v>
      </c>
      <c r="H30" s="27" t="s">
        <v>1363</v>
      </c>
      <c r="I30" s="27" t="s">
        <v>3330</v>
      </c>
      <c r="J30" s="27" t="s">
        <v>907</v>
      </c>
      <c r="K30" s="27" t="s">
        <v>1642</v>
      </c>
      <c r="L30" s="32" t="s">
        <v>3331</v>
      </c>
      <c r="M30" s="27" t="s">
        <v>224</v>
      </c>
      <c r="N30" s="27" t="s">
        <v>1365</v>
      </c>
      <c r="O30" s="27" t="s">
        <v>1366</v>
      </c>
      <c r="P30" s="27"/>
      <c r="Q30" s="31">
        <v>42024</v>
      </c>
      <c r="R30" s="88">
        <f ca="1" t="shared" si="2"/>
        <v>11</v>
      </c>
      <c r="S30" s="27" t="s">
        <v>123</v>
      </c>
      <c r="T30" s="27" t="s">
        <v>1370</v>
      </c>
      <c r="U30" s="27" t="s">
        <v>3332</v>
      </c>
      <c r="V30" s="27" t="s">
        <v>79</v>
      </c>
      <c r="W30" s="31"/>
      <c r="X30" s="27" t="s">
        <v>79</v>
      </c>
      <c r="Y30" s="27"/>
      <c r="Z30" s="27"/>
      <c r="AA30" s="27"/>
      <c r="AB30" s="27"/>
      <c r="AC30" s="27" t="s">
        <v>3276</v>
      </c>
      <c r="AD30" s="27" t="s">
        <v>3231</v>
      </c>
      <c r="AE30" s="27"/>
      <c r="AF30" s="27"/>
      <c r="AG30" s="27"/>
      <c r="AH30" s="27" t="s">
        <v>3333</v>
      </c>
      <c r="AI30" s="27" t="s">
        <v>3334</v>
      </c>
      <c r="AJ30" s="27"/>
      <c r="AK30" s="27" t="s">
        <v>561</v>
      </c>
      <c r="AL30" s="27"/>
      <c r="AM30" s="27" t="s">
        <v>3332</v>
      </c>
      <c r="AN30" s="27" t="s">
        <v>3335</v>
      </c>
      <c r="AO30" s="27" t="s">
        <v>30</v>
      </c>
      <c r="AP30" s="27" t="s">
        <v>1366</v>
      </c>
    </row>
    <row r="31" ht="15.75" customHeight="1" spans="1:42">
      <c r="A31" s="29"/>
      <c r="B31" s="29"/>
      <c r="C31" s="29"/>
      <c r="D31" s="29" t="s">
        <v>51</v>
      </c>
      <c r="E31" s="27"/>
      <c r="F31" s="27" t="str">
        <f ca="1" t="shared" si="0"/>
        <v>Beginners 1</v>
      </c>
      <c r="G31" s="27" t="str">
        <f t="shared" si="1"/>
        <v>Rivera, Princess Khina</v>
      </c>
      <c r="H31" s="27" t="s">
        <v>1431</v>
      </c>
      <c r="I31" s="27" t="s">
        <v>3336</v>
      </c>
      <c r="J31" s="27"/>
      <c r="K31" s="27" t="s">
        <v>57</v>
      </c>
      <c r="L31" s="32"/>
      <c r="M31" s="27" t="s">
        <v>3337</v>
      </c>
      <c r="N31" s="27"/>
      <c r="O31" s="27" t="s">
        <v>3338</v>
      </c>
      <c r="P31" s="27"/>
      <c r="Q31" s="31">
        <v>43068</v>
      </c>
      <c r="R31" s="88">
        <f ca="1" t="shared" si="2"/>
        <v>8</v>
      </c>
      <c r="S31" s="27" t="s">
        <v>123</v>
      </c>
      <c r="T31" s="27" t="s">
        <v>1008</v>
      </c>
      <c r="U31" s="27" t="s">
        <v>2080</v>
      </c>
      <c r="V31" s="27" t="s">
        <v>79</v>
      </c>
      <c r="W31" s="31"/>
      <c r="X31" s="27" t="s">
        <v>79</v>
      </c>
      <c r="Y31" s="27"/>
      <c r="Z31" s="27"/>
      <c r="AA31" s="27"/>
      <c r="AB31" s="27"/>
      <c r="AC31" s="27" t="s">
        <v>1109</v>
      </c>
      <c r="AD31" s="27" t="s">
        <v>3339</v>
      </c>
      <c r="AE31" s="27"/>
      <c r="AF31" s="27"/>
      <c r="AG31" s="27"/>
      <c r="AH31" s="27" t="s">
        <v>3340</v>
      </c>
      <c r="AI31" s="27"/>
      <c r="AJ31" s="27"/>
      <c r="AK31" s="27" t="s">
        <v>561</v>
      </c>
      <c r="AL31" s="27" t="s">
        <v>268</v>
      </c>
      <c r="AM31" s="27" t="s">
        <v>1008</v>
      </c>
      <c r="AN31" s="27" t="s">
        <v>3337</v>
      </c>
      <c r="AO31" s="27" t="s">
        <v>29</v>
      </c>
      <c r="AP31" s="27" t="s">
        <v>3341</v>
      </c>
    </row>
    <row r="32" ht="15.75" customHeight="1" spans="1:42">
      <c r="A32" s="29"/>
      <c r="B32" s="29"/>
      <c r="C32" s="29"/>
      <c r="D32" s="29" t="s">
        <v>51</v>
      </c>
      <c r="E32" s="27"/>
      <c r="F32" s="27" t="str">
        <f ca="1" t="shared" si="0"/>
        <v>Primary</v>
      </c>
      <c r="G32" s="27" t="str">
        <f t="shared" si="1"/>
        <v>Romeo, Sean Thyrinz</v>
      </c>
      <c r="H32" s="27" t="s">
        <v>3342</v>
      </c>
      <c r="I32" s="27" t="s">
        <v>3343</v>
      </c>
      <c r="J32" s="27" t="s">
        <v>538</v>
      </c>
      <c r="K32" s="27" t="s">
        <v>1642</v>
      </c>
      <c r="L32" s="32" t="s">
        <v>3344</v>
      </c>
      <c r="M32" s="27" t="s">
        <v>1436</v>
      </c>
      <c r="N32" s="27"/>
      <c r="O32" s="27"/>
      <c r="P32" s="27"/>
      <c r="Q32" s="31">
        <v>41669</v>
      </c>
      <c r="R32" s="88">
        <f ca="1" t="shared" si="2"/>
        <v>12</v>
      </c>
      <c r="S32" s="27" t="s">
        <v>3345</v>
      </c>
      <c r="T32" s="27" t="s">
        <v>3346</v>
      </c>
      <c r="U32" s="27" t="s">
        <v>3347</v>
      </c>
      <c r="V32" s="27" t="s">
        <v>79</v>
      </c>
      <c r="W32" s="31"/>
      <c r="X32" s="27" t="s">
        <v>79</v>
      </c>
      <c r="Y32" s="27"/>
      <c r="Z32" s="27"/>
      <c r="AA32" s="27"/>
      <c r="AB32" s="27"/>
      <c r="AC32" s="27" t="s">
        <v>1148</v>
      </c>
      <c r="AD32" s="27" t="s">
        <v>3348</v>
      </c>
      <c r="AE32" s="27"/>
      <c r="AF32" s="27"/>
      <c r="AG32" s="27"/>
      <c r="AH32" s="27"/>
      <c r="AI32" s="27"/>
      <c r="AJ32" s="27"/>
      <c r="AK32" s="27"/>
      <c r="AL32" s="27"/>
      <c r="AM32" s="27" t="s">
        <v>3349</v>
      </c>
      <c r="AN32" s="27" t="s">
        <v>1442</v>
      </c>
      <c r="AO32" s="27" t="s">
        <v>3350</v>
      </c>
      <c r="AP32" s="27" t="s">
        <v>1437</v>
      </c>
    </row>
    <row r="33" ht="15.75" customHeight="1" spans="1:42">
      <c r="A33" s="29"/>
      <c r="B33" s="29"/>
      <c r="C33" s="29"/>
      <c r="D33" s="29" t="s">
        <v>51</v>
      </c>
      <c r="E33" s="27"/>
      <c r="F33" s="27" t="str">
        <f ca="1" t="shared" si="0"/>
        <v>Toddlers 1</v>
      </c>
      <c r="G33" s="27" t="str">
        <f t="shared" si="1"/>
        <v>Sayan, Leandrei Zhayne Zenkai</v>
      </c>
      <c r="H33" s="27" t="s">
        <v>1461</v>
      </c>
      <c r="I33" s="27" t="s">
        <v>3351</v>
      </c>
      <c r="J33" s="27" t="s">
        <v>222</v>
      </c>
      <c r="K33" s="27" t="s">
        <v>1642</v>
      </c>
      <c r="L33" s="32" t="s">
        <v>3352</v>
      </c>
      <c r="M33" s="27" t="s">
        <v>193</v>
      </c>
      <c r="N33" s="27" t="s">
        <v>3353</v>
      </c>
      <c r="O33" s="27" t="s">
        <v>1465</v>
      </c>
      <c r="P33" s="27"/>
      <c r="Q33" s="31">
        <v>44776</v>
      </c>
      <c r="R33" s="88">
        <f ca="1" t="shared" si="2"/>
        <v>4</v>
      </c>
      <c r="S33" s="27" t="s">
        <v>123</v>
      </c>
      <c r="T33" s="27" t="s">
        <v>1472</v>
      </c>
      <c r="U33" s="27" t="s">
        <v>2095</v>
      </c>
      <c r="V33" s="27" t="s">
        <v>51</v>
      </c>
      <c r="W33" s="31">
        <v>45165</v>
      </c>
      <c r="X33" s="27" t="s">
        <v>79</v>
      </c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 t="s">
        <v>2095</v>
      </c>
      <c r="AN33" s="32" t="s">
        <v>3354</v>
      </c>
      <c r="AO33" s="27" t="s">
        <v>30</v>
      </c>
      <c r="AP33" s="27" t="s">
        <v>1465</v>
      </c>
    </row>
    <row r="34" ht="15.75" customHeight="1" spans="1:42">
      <c r="A34" s="29"/>
      <c r="B34" s="29"/>
      <c r="C34" s="29"/>
      <c r="D34" s="29" t="s">
        <v>51</v>
      </c>
      <c r="E34" s="27"/>
      <c r="F34" s="27" t="str">
        <f ca="1" t="shared" si="0"/>
        <v>Primary</v>
      </c>
      <c r="G34" s="27" t="str">
        <f t="shared" si="1"/>
        <v>Zapata, Khezziah Enica</v>
      </c>
      <c r="H34" s="27" t="s">
        <v>1624</v>
      </c>
      <c r="I34" s="27" t="s">
        <v>3355</v>
      </c>
      <c r="J34" s="27"/>
      <c r="K34" s="27" t="s">
        <v>57</v>
      </c>
      <c r="L34" s="32">
        <v>33</v>
      </c>
      <c r="M34" s="27" t="s">
        <v>1626</v>
      </c>
      <c r="N34" s="27"/>
      <c r="O34" s="27" t="s">
        <v>1093</v>
      </c>
      <c r="P34" s="27" t="s">
        <v>3356</v>
      </c>
      <c r="Q34" s="31">
        <v>41915</v>
      </c>
      <c r="R34" s="88">
        <f ca="1" t="shared" si="2"/>
        <v>12</v>
      </c>
      <c r="S34" s="27" t="s">
        <v>123</v>
      </c>
      <c r="T34" s="27" t="s">
        <v>3189</v>
      </c>
      <c r="U34" s="27" t="s">
        <v>2166</v>
      </c>
      <c r="V34" s="27" t="s">
        <v>79</v>
      </c>
      <c r="W34" s="31"/>
      <c r="X34" s="27" t="s">
        <v>79</v>
      </c>
      <c r="Y34" s="27"/>
      <c r="Z34" s="27" t="s">
        <v>3270</v>
      </c>
      <c r="AA34" s="27"/>
      <c r="AB34" s="27"/>
      <c r="AC34" s="27" t="s">
        <v>3276</v>
      </c>
      <c r="AD34" s="27" t="s">
        <v>3243</v>
      </c>
      <c r="AE34" s="27"/>
      <c r="AF34" s="27"/>
      <c r="AG34" s="27"/>
      <c r="AH34" s="27" t="s">
        <v>3357</v>
      </c>
      <c r="AI34" s="27" t="s">
        <v>3358</v>
      </c>
      <c r="AJ34" s="27" t="s">
        <v>2300</v>
      </c>
      <c r="AK34" s="27"/>
      <c r="AL34" s="27"/>
      <c r="AM34" s="27" t="s">
        <v>1099</v>
      </c>
      <c r="AN34" s="27" t="s">
        <v>1100</v>
      </c>
      <c r="AO34" s="27" t="s">
        <v>30</v>
      </c>
      <c r="AP34" s="27" t="s">
        <v>1093</v>
      </c>
    </row>
    <row r="35" ht="15.75" customHeight="1" spans="1:42">
      <c r="A35" s="29"/>
      <c r="B35" s="29"/>
      <c r="C35" s="29"/>
      <c r="D35" s="27"/>
      <c r="E35" s="27"/>
      <c r="F35" s="27" t="str">
        <f ca="1" t="shared" si="0"/>
        <v/>
      </c>
      <c r="G35" s="27" t="str">
        <f t="shared" si="1"/>
        <v/>
      </c>
      <c r="H35" s="27"/>
      <c r="I35" s="27"/>
      <c r="J35" s="27"/>
      <c r="K35" s="27"/>
      <c r="L35" s="32"/>
      <c r="M35" s="27"/>
      <c r="N35" s="27"/>
      <c r="O35" s="27"/>
      <c r="P35" s="27"/>
      <c r="Q35" s="31"/>
      <c r="R35" s="88" t="str">
        <f ca="1" t="shared" si="2"/>
        <v/>
      </c>
      <c r="S35" s="27"/>
      <c r="T35" s="27"/>
      <c r="U35" s="27"/>
      <c r="V35" s="27"/>
      <c r="W35" s="31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</row>
    <row r="36" ht="15.75" customHeight="1" spans="1:42">
      <c r="A36" s="29"/>
      <c r="B36" s="29"/>
      <c r="C36" s="29"/>
      <c r="D36" s="27"/>
      <c r="E36" s="27"/>
      <c r="F36" s="27" t="str">
        <f ca="1" t="shared" si="0"/>
        <v/>
      </c>
      <c r="G36" s="27" t="str">
        <f t="shared" si="1"/>
        <v/>
      </c>
      <c r="H36" s="27"/>
      <c r="I36" s="27"/>
      <c r="J36" s="27"/>
      <c r="K36" s="27"/>
      <c r="L36" s="32"/>
      <c r="M36" s="27"/>
      <c r="N36" s="27"/>
      <c r="O36" s="27"/>
      <c r="P36" s="27"/>
      <c r="Q36" s="31"/>
      <c r="R36" s="88" t="str">
        <f ca="1" t="shared" si="2"/>
        <v/>
      </c>
      <c r="S36" s="27"/>
      <c r="T36" s="27"/>
      <c r="U36" s="27"/>
      <c r="V36" s="27"/>
      <c r="W36" s="31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</row>
    <row r="37" ht="15.75" customHeight="1" spans="1:42">
      <c r="A37" s="29"/>
      <c r="B37" s="29"/>
      <c r="C37" s="29"/>
      <c r="D37" s="27"/>
      <c r="E37" s="27"/>
      <c r="F37" s="27" t="str">
        <f ca="1" t="shared" si="0"/>
        <v/>
      </c>
      <c r="G37" s="27" t="str">
        <f t="shared" si="1"/>
        <v/>
      </c>
      <c r="H37" s="27"/>
      <c r="I37" s="27"/>
      <c r="J37" s="27"/>
      <c r="K37" s="27"/>
      <c r="L37" s="32"/>
      <c r="M37" s="27"/>
      <c r="N37" s="27"/>
      <c r="O37" s="27"/>
      <c r="P37" s="27"/>
      <c r="Q37" s="31"/>
      <c r="R37" s="88" t="str">
        <f ca="1" t="shared" si="2"/>
        <v/>
      </c>
      <c r="S37" s="27"/>
      <c r="T37" s="27"/>
      <c r="U37" s="27"/>
      <c r="V37" s="27"/>
      <c r="W37" s="31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</row>
    <row r="38" ht="15.75" customHeight="1" spans="1:42">
      <c r="A38" s="29"/>
      <c r="B38" s="29"/>
      <c r="C38" s="29"/>
      <c r="D38" s="27"/>
      <c r="E38" s="27"/>
      <c r="F38" s="27" t="str">
        <f ca="1" t="shared" si="0"/>
        <v/>
      </c>
      <c r="G38" s="27" t="str">
        <f t="shared" si="1"/>
        <v/>
      </c>
      <c r="H38" s="27"/>
      <c r="I38" s="27"/>
      <c r="J38" s="27"/>
      <c r="K38" s="27"/>
      <c r="L38" s="32"/>
      <c r="M38" s="27"/>
      <c r="N38" s="27"/>
      <c r="O38" s="27"/>
      <c r="P38" s="27"/>
      <c r="Q38" s="31"/>
      <c r="R38" s="88" t="str">
        <f ca="1" t="shared" si="2"/>
        <v/>
      </c>
      <c r="S38" s="27"/>
      <c r="T38" s="27"/>
      <c r="U38" s="27"/>
      <c r="V38" s="27"/>
      <c r="W38" s="31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</row>
    <row r="39" ht="15.75" customHeight="1" spans="1:42">
      <c r="A39" s="29"/>
      <c r="B39" s="29"/>
      <c r="C39" s="29"/>
      <c r="D39" s="27"/>
      <c r="E39" s="27"/>
      <c r="F39" s="27" t="str">
        <f ca="1" t="shared" si="0"/>
        <v/>
      </c>
      <c r="G39" s="27" t="str">
        <f t="shared" si="1"/>
        <v/>
      </c>
      <c r="H39" s="27"/>
      <c r="I39" s="27"/>
      <c r="J39" s="27"/>
      <c r="K39" s="27"/>
      <c r="L39" s="32"/>
      <c r="M39" s="27"/>
      <c r="N39" s="27"/>
      <c r="O39" s="27"/>
      <c r="P39" s="27"/>
      <c r="Q39" s="31"/>
      <c r="R39" s="88" t="str">
        <f ca="1" t="shared" si="2"/>
        <v/>
      </c>
      <c r="S39" s="27"/>
      <c r="T39" s="27"/>
      <c r="U39" s="27"/>
      <c r="V39" s="27"/>
      <c r="W39" s="31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</row>
    <row r="40" ht="15.75" customHeight="1" spans="1:42">
      <c r="A40" s="29"/>
      <c r="B40" s="29"/>
      <c r="C40" s="29"/>
      <c r="D40" s="27"/>
      <c r="E40" s="27"/>
      <c r="F40" s="27" t="str">
        <f ca="1" t="shared" si="0"/>
        <v/>
      </c>
      <c r="G40" s="27" t="str">
        <f t="shared" si="1"/>
        <v/>
      </c>
      <c r="H40" s="27"/>
      <c r="I40" s="27"/>
      <c r="J40" s="27"/>
      <c r="K40" s="27"/>
      <c r="L40" s="32"/>
      <c r="M40" s="27"/>
      <c r="N40" s="27"/>
      <c r="O40" s="27"/>
      <c r="P40" s="27"/>
      <c r="Q40" s="31"/>
      <c r="R40" s="88" t="str">
        <f ca="1" t="shared" si="2"/>
        <v/>
      </c>
      <c r="S40" s="27"/>
      <c r="T40" s="27"/>
      <c r="U40" s="27"/>
      <c r="V40" s="27"/>
      <c r="W40" s="31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</row>
    <row r="41" ht="15.75" customHeight="1" spans="1:42">
      <c r="A41" s="29"/>
      <c r="B41" s="29"/>
      <c r="C41" s="29"/>
      <c r="D41" s="27"/>
      <c r="E41" s="27"/>
      <c r="F41" s="27" t="str">
        <f ca="1" t="shared" si="0"/>
        <v/>
      </c>
      <c r="G41" s="27" t="str">
        <f t="shared" si="1"/>
        <v/>
      </c>
      <c r="H41" s="27"/>
      <c r="I41" s="27"/>
      <c r="J41" s="27"/>
      <c r="K41" s="27"/>
      <c r="L41" s="32"/>
      <c r="M41" s="27"/>
      <c r="N41" s="27"/>
      <c r="O41" s="27"/>
      <c r="P41" s="27"/>
      <c r="Q41" s="31"/>
      <c r="R41" s="88" t="str">
        <f ca="1" t="shared" si="2"/>
        <v/>
      </c>
      <c r="S41" s="27"/>
      <c r="T41" s="27"/>
      <c r="U41" s="27"/>
      <c r="V41" s="27"/>
      <c r="W41" s="31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</row>
    <row r="42" ht="15.75" customHeight="1" spans="1:42">
      <c r="A42" s="29"/>
      <c r="B42" s="29"/>
      <c r="C42" s="29"/>
      <c r="D42" s="27"/>
      <c r="E42" s="27"/>
      <c r="F42" s="27" t="str">
        <f ca="1" t="shared" si="0"/>
        <v/>
      </c>
      <c r="G42" s="27" t="str">
        <f t="shared" si="1"/>
        <v/>
      </c>
      <c r="H42" s="27"/>
      <c r="I42" s="27"/>
      <c r="J42" s="27"/>
      <c r="K42" s="27"/>
      <c r="L42" s="32"/>
      <c r="M42" s="27"/>
      <c r="N42" s="27"/>
      <c r="O42" s="27"/>
      <c r="P42" s="27"/>
      <c r="Q42" s="31"/>
      <c r="R42" s="88" t="str">
        <f ca="1" t="shared" si="2"/>
        <v/>
      </c>
      <c r="S42" s="27"/>
      <c r="T42" s="27"/>
      <c r="U42" s="27"/>
      <c r="V42" s="27"/>
      <c r="W42" s="31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</row>
    <row r="43" ht="15.75" customHeight="1" spans="1:42">
      <c r="A43" s="29"/>
      <c r="B43" s="29"/>
      <c r="C43" s="29"/>
      <c r="D43" s="27"/>
      <c r="E43" s="27"/>
      <c r="F43" s="27" t="str">
        <f ca="1" t="shared" si="0"/>
        <v/>
      </c>
      <c r="G43" s="27" t="str">
        <f t="shared" si="1"/>
        <v/>
      </c>
      <c r="H43" s="27"/>
      <c r="I43" s="27"/>
      <c r="J43" s="27"/>
      <c r="K43" s="27"/>
      <c r="L43" s="32"/>
      <c r="M43" s="27"/>
      <c r="N43" s="27"/>
      <c r="O43" s="27"/>
      <c r="P43" s="27"/>
      <c r="Q43" s="31"/>
      <c r="R43" s="88" t="str">
        <f ca="1" t="shared" si="2"/>
        <v/>
      </c>
      <c r="S43" s="27"/>
      <c r="T43" s="27"/>
      <c r="U43" s="27"/>
      <c r="V43" s="27"/>
      <c r="W43" s="31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</row>
    <row r="44" ht="15.75" customHeight="1" spans="1:42">
      <c r="A44" s="29"/>
      <c r="B44" s="29"/>
      <c r="C44" s="29"/>
      <c r="D44" s="27"/>
      <c r="E44" s="27"/>
      <c r="F44" s="27" t="str">
        <f ca="1" t="shared" si="0"/>
        <v/>
      </c>
      <c r="G44" s="27" t="str">
        <f t="shared" si="1"/>
        <v/>
      </c>
      <c r="H44" s="27"/>
      <c r="I44" s="27"/>
      <c r="J44" s="27"/>
      <c r="K44" s="27"/>
      <c r="L44" s="32"/>
      <c r="M44" s="27"/>
      <c r="N44" s="27"/>
      <c r="O44" s="27"/>
      <c r="P44" s="27"/>
      <c r="Q44" s="31"/>
      <c r="R44" s="88" t="str">
        <f ca="1" t="shared" si="2"/>
        <v/>
      </c>
      <c r="S44" s="27"/>
      <c r="T44" s="27"/>
      <c r="U44" s="27"/>
      <c r="V44" s="27"/>
      <c r="W44" s="31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</row>
    <row r="45" ht="15.75" customHeight="1" spans="1:42">
      <c r="A45" s="29"/>
      <c r="B45" s="29"/>
      <c r="C45" s="29"/>
      <c r="D45" s="27"/>
      <c r="E45" s="27"/>
      <c r="F45" s="27" t="str">
        <f ca="1" t="shared" si="0"/>
        <v/>
      </c>
      <c r="G45" s="27" t="str">
        <f t="shared" si="1"/>
        <v/>
      </c>
      <c r="H45" s="27"/>
      <c r="I45" s="27"/>
      <c r="J45" s="27"/>
      <c r="K45" s="27"/>
      <c r="L45" s="32"/>
      <c r="M45" s="27"/>
      <c r="N45" s="27"/>
      <c r="O45" s="27"/>
      <c r="P45" s="27"/>
      <c r="Q45" s="31"/>
      <c r="R45" s="88" t="str">
        <f ca="1" t="shared" si="2"/>
        <v/>
      </c>
      <c r="S45" s="27"/>
      <c r="T45" s="27"/>
      <c r="U45" s="27"/>
      <c r="V45" s="27"/>
      <c r="W45" s="31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</row>
    <row r="46" ht="15.75" customHeight="1" spans="1:42">
      <c r="A46" s="29"/>
      <c r="B46" s="29"/>
      <c r="C46" s="29"/>
      <c r="D46" s="27"/>
      <c r="E46" s="27"/>
      <c r="F46" s="27" t="str">
        <f ca="1" t="shared" si="0"/>
        <v/>
      </c>
      <c r="G46" s="27" t="str">
        <f t="shared" si="1"/>
        <v/>
      </c>
      <c r="H46" s="27"/>
      <c r="I46" s="27"/>
      <c r="J46" s="27"/>
      <c r="K46" s="27"/>
      <c r="L46" s="32"/>
      <c r="M46" s="27"/>
      <c r="N46" s="27"/>
      <c r="O46" s="27"/>
      <c r="P46" s="27"/>
      <c r="Q46" s="31"/>
      <c r="R46" s="88" t="str">
        <f ca="1" t="shared" si="2"/>
        <v/>
      </c>
      <c r="S46" s="27"/>
      <c r="T46" s="27"/>
      <c r="U46" s="27"/>
      <c r="V46" s="27"/>
      <c r="W46" s="31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</row>
    <row r="47" ht="15.75" customHeight="1" spans="1:42">
      <c r="A47" s="29"/>
      <c r="B47" s="29"/>
      <c r="C47" s="29"/>
      <c r="D47" s="27"/>
      <c r="E47" s="27"/>
      <c r="F47" s="27" t="str">
        <f ca="1" t="shared" si="0"/>
        <v/>
      </c>
      <c r="G47" s="27" t="str">
        <f t="shared" si="1"/>
        <v/>
      </c>
      <c r="H47" s="27"/>
      <c r="I47" s="27"/>
      <c r="J47" s="27"/>
      <c r="K47" s="27"/>
      <c r="L47" s="32"/>
      <c r="M47" s="27"/>
      <c r="N47" s="27"/>
      <c r="O47" s="27"/>
      <c r="P47" s="27"/>
      <c r="Q47" s="31"/>
      <c r="R47" s="88" t="str">
        <f ca="1" t="shared" si="2"/>
        <v/>
      </c>
      <c r="S47" s="27"/>
      <c r="T47" s="27"/>
      <c r="U47" s="27"/>
      <c r="V47" s="27"/>
      <c r="W47" s="31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</row>
    <row r="48" ht="15.75" customHeight="1" spans="1:42">
      <c r="A48" s="29"/>
      <c r="B48" s="29"/>
      <c r="C48" s="29"/>
      <c r="D48" s="27"/>
      <c r="E48" s="27"/>
      <c r="F48" s="27" t="str">
        <f ca="1" t="shared" si="0"/>
        <v/>
      </c>
      <c r="G48" s="27" t="str">
        <f t="shared" si="1"/>
        <v/>
      </c>
      <c r="H48" s="27"/>
      <c r="I48" s="27"/>
      <c r="J48" s="27"/>
      <c r="K48" s="27"/>
      <c r="L48" s="32"/>
      <c r="M48" s="27"/>
      <c r="N48" s="27"/>
      <c r="O48" s="27"/>
      <c r="P48" s="27"/>
      <c r="Q48" s="31"/>
      <c r="R48" s="88" t="str">
        <f ca="1" t="shared" si="2"/>
        <v/>
      </c>
      <c r="S48" s="27"/>
      <c r="T48" s="27"/>
      <c r="U48" s="27"/>
      <c r="V48" s="27"/>
      <c r="W48" s="31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</row>
    <row r="49" ht="15.75" customHeight="1" spans="1:42">
      <c r="A49" s="29"/>
      <c r="B49" s="29"/>
      <c r="C49" s="29"/>
      <c r="D49" s="27"/>
      <c r="E49" s="27"/>
      <c r="F49" s="27" t="str">
        <f ca="1" t="shared" si="0"/>
        <v/>
      </c>
      <c r="G49" s="27" t="str">
        <f t="shared" si="1"/>
        <v/>
      </c>
      <c r="H49" s="27"/>
      <c r="I49" s="27"/>
      <c r="J49" s="27"/>
      <c r="K49" s="27"/>
      <c r="L49" s="32"/>
      <c r="M49" s="27"/>
      <c r="N49" s="27"/>
      <c r="O49" s="27"/>
      <c r="P49" s="27"/>
      <c r="Q49" s="31"/>
      <c r="R49" s="88" t="str">
        <f ca="1" t="shared" si="2"/>
        <v/>
      </c>
      <c r="S49" s="27"/>
      <c r="T49" s="27"/>
      <c r="U49" s="27"/>
      <c r="V49" s="27"/>
      <c r="W49" s="31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</row>
    <row r="50" ht="15.75" customHeight="1" spans="1:42">
      <c r="A50" s="29"/>
      <c r="B50" s="29"/>
      <c r="C50" s="29"/>
      <c r="D50" s="27"/>
      <c r="E50" s="27"/>
      <c r="F50" s="27" t="str">
        <f ca="1" t="shared" si="0"/>
        <v/>
      </c>
      <c r="G50" s="27" t="str">
        <f t="shared" si="1"/>
        <v/>
      </c>
      <c r="H50" s="27"/>
      <c r="I50" s="27"/>
      <c r="J50" s="27"/>
      <c r="K50" s="27"/>
      <c r="L50" s="32"/>
      <c r="M50" s="27"/>
      <c r="N50" s="27"/>
      <c r="O50" s="27"/>
      <c r="P50" s="27"/>
      <c r="Q50" s="31"/>
      <c r="R50" s="88" t="str">
        <f ca="1" t="shared" si="2"/>
        <v/>
      </c>
      <c r="S50" s="27"/>
      <c r="T50" s="27"/>
      <c r="U50" s="27"/>
      <c r="V50" s="27"/>
      <c r="W50" s="31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</row>
    <row r="51" ht="15.75" customHeight="1" spans="1:42">
      <c r="A51" s="29"/>
      <c r="B51" s="29"/>
      <c r="C51" s="29"/>
      <c r="D51" s="27"/>
      <c r="E51" s="27"/>
      <c r="F51" s="27" t="str">
        <f ca="1" t="shared" si="0"/>
        <v/>
      </c>
      <c r="G51" s="27" t="str">
        <f t="shared" si="1"/>
        <v/>
      </c>
      <c r="H51" s="27"/>
      <c r="I51" s="27"/>
      <c r="J51" s="27"/>
      <c r="K51" s="27"/>
      <c r="L51" s="32"/>
      <c r="M51" s="27"/>
      <c r="N51" s="27"/>
      <c r="O51" s="27"/>
      <c r="P51" s="27"/>
      <c r="Q51" s="31"/>
      <c r="R51" s="88" t="str">
        <f ca="1" t="shared" si="2"/>
        <v/>
      </c>
      <c r="S51" s="27"/>
      <c r="T51" s="27"/>
      <c r="U51" s="27"/>
      <c r="V51" s="27"/>
      <c r="W51" s="31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</row>
    <row r="52" ht="15.75" customHeight="1" spans="1:42">
      <c r="A52" s="29"/>
      <c r="B52" s="29"/>
      <c r="C52" s="29"/>
      <c r="D52" s="27"/>
      <c r="E52" s="27"/>
      <c r="F52" s="27" t="str">
        <f ca="1" t="shared" si="0"/>
        <v/>
      </c>
      <c r="G52" s="27" t="str">
        <f t="shared" si="1"/>
        <v/>
      </c>
      <c r="H52" s="27"/>
      <c r="I52" s="27"/>
      <c r="J52" s="27"/>
      <c r="K52" s="27"/>
      <c r="L52" s="32"/>
      <c r="M52" s="27"/>
      <c r="N52" s="27"/>
      <c r="O52" s="27"/>
      <c r="P52" s="27"/>
      <c r="Q52" s="31"/>
      <c r="R52" s="88" t="str">
        <f ca="1" t="shared" si="2"/>
        <v/>
      </c>
      <c r="S52" s="27"/>
      <c r="T52" s="27"/>
      <c r="U52" s="27"/>
      <c r="V52" s="27"/>
      <c r="W52" s="31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</row>
    <row r="53" ht="15.75" customHeight="1" spans="1:42">
      <c r="A53" s="29"/>
      <c r="B53" s="29"/>
      <c r="C53" s="29"/>
      <c r="D53" s="27"/>
      <c r="E53" s="27"/>
      <c r="F53" s="27" t="str">
        <f ca="1" t="shared" si="0"/>
        <v/>
      </c>
      <c r="G53" s="27" t="str">
        <f t="shared" si="1"/>
        <v/>
      </c>
      <c r="H53" s="27"/>
      <c r="I53" s="27"/>
      <c r="J53" s="27"/>
      <c r="K53" s="27"/>
      <c r="L53" s="32"/>
      <c r="M53" s="27"/>
      <c r="N53" s="27"/>
      <c r="O53" s="27"/>
      <c r="P53" s="27"/>
      <c r="Q53" s="31"/>
      <c r="R53" s="88" t="str">
        <f ca="1" t="shared" si="2"/>
        <v/>
      </c>
      <c r="S53" s="27"/>
      <c r="T53" s="27"/>
      <c r="U53" s="27"/>
      <c r="V53" s="27"/>
      <c r="W53" s="31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</row>
    <row r="54" ht="15.75" customHeight="1" spans="1:42">
      <c r="A54" s="29"/>
      <c r="B54" s="29"/>
      <c r="C54" s="29"/>
      <c r="D54" s="27"/>
      <c r="E54" s="27"/>
      <c r="F54" s="27" t="str">
        <f ca="1" t="shared" si="0"/>
        <v/>
      </c>
      <c r="G54" s="27" t="str">
        <f t="shared" si="1"/>
        <v/>
      </c>
      <c r="H54" s="27"/>
      <c r="I54" s="27"/>
      <c r="J54" s="27"/>
      <c r="K54" s="27"/>
      <c r="L54" s="32"/>
      <c r="M54" s="27"/>
      <c r="N54" s="27"/>
      <c r="O54" s="27"/>
      <c r="P54" s="27"/>
      <c r="Q54" s="31"/>
      <c r="R54" s="88" t="str">
        <f ca="1" t="shared" si="2"/>
        <v/>
      </c>
      <c r="S54" s="27"/>
      <c r="T54" s="27"/>
      <c r="U54" s="27"/>
      <c r="V54" s="27"/>
      <c r="W54" s="31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</row>
    <row r="55" ht="15.75" customHeight="1" spans="1:42">
      <c r="A55" s="29"/>
      <c r="B55" s="29"/>
      <c r="C55" s="29"/>
      <c r="D55" s="27"/>
      <c r="E55" s="27"/>
      <c r="F55" s="27" t="str">
        <f ca="1" t="shared" si="0"/>
        <v/>
      </c>
      <c r="G55" s="27" t="str">
        <f t="shared" si="1"/>
        <v/>
      </c>
      <c r="H55" s="27"/>
      <c r="I55" s="27"/>
      <c r="J55" s="27"/>
      <c r="K55" s="27"/>
      <c r="L55" s="32"/>
      <c r="M55" s="27"/>
      <c r="N55" s="27"/>
      <c r="O55" s="27"/>
      <c r="P55" s="27"/>
      <c r="Q55" s="31"/>
      <c r="R55" s="88" t="str">
        <f ca="1" t="shared" si="2"/>
        <v/>
      </c>
      <c r="S55" s="27"/>
      <c r="T55" s="27"/>
      <c r="U55" s="27"/>
      <c r="V55" s="27"/>
      <c r="W55" s="31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</row>
    <row r="56" ht="15.75" customHeight="1" spans="1:42">
      <c r="A56" s="29"/>
      <c r="B56" s="29"/>
      <c r="C56" s="29"/>
      <c r="D56" s="27"/>
      <c r="E56" s="27"/>
      <c r="F56" s="27" t="str">
        <f ca="1" t="shared" si="0"/>
        <v/>
      </c>
      <c r="G56" s="27" t="str">
        <f t="shared" si="1"/>
        <v/>
      </c>
      <c r="H56" s="27"/>
      <c r="I56" s="27"/>
      <c r="J56" s="27"/>
      <c r="K56" s="27"/>
      <c r="L56" s="32"/>
      <c r="M56" s="27"/>
      <c r="N56" s="27"/>
      <c r="O56" s="27"/>
      <c r="P56" s="27"/>
      <c r="Q56" s="31"/>
      <c r="R56" s="88" t="str">
        <f ca="1" t="shared" si="2"/>
        <v/>
      </c>
      <c r="S56" s="27"/>
      <c r="T56" s="27"/>
      <c r="U56" s="27"/>
      <c r="V56" s="27"/>
      <c r="W56" s="31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</row>
    <row r="57" ht="15.75" customHeight="1" spans="1:42">
      <c r="A57" s="29"/>
      <c r="B57" s="29"/>
      <c r="C57" s="29"/>
      <c r="D57" s="27"/>
      <c r="E57" s="27"/>
      <c r="F57" s="27" t="str">
        <f ca="1" t="shared" si="0"/>
        <v/>
      </c>
      <c r="G57" s="27" t="str">
        <f t="shared" si="1"/>
        <v/>
      </c>
      <c r="H57" s="27"/>
      <c r="I57" s="27"/>
      <c r="J57" s="27"/>
      <c r="K57" s="27"/>
      <c r="L57" s="32"/>
      <c r="M57" s="27"/>
      <c r="N57" s="27"/>
      <c r="O57" s="27"/>
      <c r="P57" s="27"/>
      <c r="Q57" s="31"/>
      <c r="R57" s="88" t="str">
        <f ca="1" t="shared" si="2"/>
        <v/>
      </c>
      <c r="S57" s="27"/>
      <c r="T57" s="27"/>
      <c r="U57" s="27"/>
      <c r="V57" s="27"/>
      <c r="W57" s="31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</row>
    <row r="58" ht="15.75" customHeight="1" spans="1:42">
      <c r="A58" s="29"/>
      <c r="B58" s="29"/>
      <c r="C58" s="29"/>
      <c r="D58" s="27"/>
      <c r="E58" s="27"/>
      <c r="F58" s="27" t="str">
        <f ca="1" t="shared" si="0"/>
        <v/>
      </c>
      <c r="G58" s="27" t="str">
        <f t="shared" si="1"/>
        <v/>
      </c>
      <c r="H58" s="27"/>
      <c r="I58" s="27"/>
      <c r="J58" s="27"/>
      <c r="K58" s="27"/>
      <c r="L58" s="32"/>
      <c r="M58" s="27"/>
      <c r="N58" s="27"/>
      <c r="O58" s="27"/>
      <c r="P58" s="27"/>
      <c r="Q58" s="31"/>
      <c r="R58" s="88" t="str">
        <f ca="1" t="shared" si="2"/>
        <v/>
      </c>
      <c r="S58" s="27"/>
      <c r="T58" s="27"/>
      <c r="U58" s="27"/>
      <c r="V58" s="27"/>
      <c r="W58" s="31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</row>
    <row r="59" ht="15.75" customHeight="1" spans="1:42">
      <c r="A59" s="29"/>
      <c r="B59" s="29"/>
      <c r="C59" s="29"/>
      <c r="D59" s="27"/>
      <c r="E59" s="27"/>
      <c r="F59" s="27" t="str">
        <f ca="1" t="shared" si="0"/>
        <v/>
      </c>
      <c r="G59" s="27" t="str">
        <f t="shared" si="1"/>
        <v/>
      </c>
      <c r="H59" s="27"/>
      <c r="I59" s="27"/>
      <c r="J59" s="27"/>
      <c r="K59" s="27"/>
      <c r="L59" s="32"/>
      <c r="M59" s="27"/>
      <c r="N59" s="27"/>
      <c r="O59" s="27"/>
      <c r="P59" s="27"/>
      <c r="Q59" s="31"/>
      <c r="R59" s="88" t="str">
        <f ca="1" t="shared" si="2"/>
        <v/>
      </c>
      <c r="S59" s="27"/>
      <c r="T59" s="27"/>
      <c r="U59" s="27"/>
      <c r="V59" s="27"/>
      <c r="W59" s="31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</row>
    <row r="60" ht="15.75" customHeight="1" spans="1:42">
      <c r="A60" s="29"/>
      <c r="B60" s="29"/>
      <c r="C60" s="29"/>
      <c r="D60" s="27"/>
      <c r="E60" s="27"/>
      <c r="F60" s="27" t="str">
        <f ca="1" t="shared" si="0"/>
        <v/>
      </c>
      <c r="G60" s="27" t="str">
        <f t="shared" si="1"/>
        <v/>
      </c>
      <c r="H60" s="27"/>
      <c r="I60" s="27"/>
      <c r="J60" s="27"/>
      <c r="K60" s="27"/>
      <c r="L60" s="32"/>
      <c r="M60" s="27"/>
      <c r="N60" s="27"/>
      <c r="O60" s="27"/>
      <c r="P60" s="27"/>
      <c r="Q60" s="31"/>
      <c r="R60" s="88" t="str">
        <f ca="1" t="shared" si="2"/>
        <v/>
      </c>
      <c r="S60" s="27"/>
      <c r="T60" s="27"/>
      <c r="U60" s="27"/>
      <c r="V60" s="27"/>
      <c r="W60" s="31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</row>
    <row r="61" ht="15.75" customHeight="1" spans="1:42">
      <c r="A61" s="29"/>
      <c r="B61" s="29"/>
      <c r="C61" s="29"/>
      <c r="D61" s="27"/>
      <c r="E61" s="27"/>
      <c r="F61" s="27" t="str">
        <f ca="1" t="shared" si="0"/>
        <v/>
      </c>
      <c r="G61" s="27" t="str">
        <f t="shared" si="1"/>
        <v/>
      </c>
      <c r="H61" s="27"/>
      <c r="I61" s="27"/>
      <c r="J61" s="27"/>
      <c r="K61" s="27"/>
      <c r="L61" s="32"/>
      <c r="M61" s="27"/>
      <c r="N61" s="27"/>
      <c r="O61" s="27"/>
      <c r="P61" s="27"/>
      <c r="Q61" s="31"/>
      <c r="R61" s="88" t="str">
        <f ca="1" t="shared" si="2"/>
        <v/>
      </c>
      <c r="S61" s="27"/>
      <c r="T61" s="27"/>
      <c r="U61" s="27"/>
      <c r="V61" s="27"/>
      <c r="W61" s="31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</row>
    <row r="62" ht="15.75" customHeight="1" spans="1:42">
      <c r="A62" s="29"/>
      <c r="B62" s="29"/>
      <c r="C62" s="29"/>
      <c r="D62" s="27"/>
      <c r="E62" s="27"/>
      <c r="F62" s="27" t="str">
        <f ca="1" t="shared" si="0"/>
        <v/>
      </c>
      <c r="G62" s="27" t="str">
        <f t="shared" si="1"/>
        <v/>
      </c>
      <c r="H62" s="27"/>
      <c r="I62" s="27"/>
      <c r="J62" s="27"/>
      <c r="K62" s="27"/>
      <c r="L62" s="32"/>
      <c r="M62" s="27"/>
      <c r="N62" s="27"/>
      <c r="O62" s="27"/>
      <c r="P62" s="27"/>
      <c r="Q62" s="31"/>
      <c r="R62" s="88" t="str">
        <f ca="1" t="shared" si="2"/>
        <v/>
      </c>
      <c r="S62" s="27"/>
      <c r="T62" s="27"/>
      <c r="U62" s="27"/>
      <c r="V62" s="27"/>
      <c r="W62" s="31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</row>
    <row r="63" ht="15.75" customHeight="1" spans="1:42">
      <c r="A63" s="29"/>
      <c r="B63" s="29"/>
      <c r="C63" s="29"/>
      <c r="D63" s="27"/>
      <c r="E63" s="27"/>
      <c r="F63" s="27" t="str">
        <f ca="1" t="shared" si="0"/>
        <v/>
      </c>
      <c r="G63" s="27" t="str">
        <f t="shared" si="1"/>
        <v/>
      </c>
      <c r="H63" s="27"/>
      <c r="I63" s="27"/>
      <c r="J63" s="27"/>
      <c r="K63" s="27"/>
      <c r="L63" s="32"/>
      <c r="M63" s="27"/>
      <c r="N63" s="27"/>
      <c r="O63" s="27"/>
      <c r="P63" s="27"/>
      <c r="Q63" s="31"/>
      <c r="R63" s="88" t="str">
        <f ca="1" t="shared" si="2"/>
        <v/>
      </c>
      <c r="S63" s="27"/>
      <c r="T63" s="27"/>
      <c r="U63" s="27"/>
      <c r="V63" s="27"/>
      <c r="W63" s="31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</row>
    <row r="64" ht="15.75" customHeight="1" spans="1:42">
      <c r="A64" s="29"/>
      <c r="B64" s="29"/>
      <c r="C64" s="29"/>
      <c r="D64" s="27"/>
      <c r="E64" s="27"/>
      <c r="F64" s="27" t="str">
        <f ca="1" t="shared" si="0"/>
        <v/>
      </c>
      <c r="G64" s="27" t="str">
        <f t="shared" si="1"/>
        <v/>
      </c>
      <c r="H64" s="27"/>
      <c r="I64" s="27"/>
      <c r="J64" s="27"/>
      <c r="K64" s="27"/>
      <c r="L64" s="32"/>
      <c r="M64" s="27"/>
      <c r="N64" s="27"/>
      <c r="O64" s="27"/>
      <c r="P64" s="27"/>
      <c r="Q64" s="31"/>
      <c r="R64" s="88" t="str">
        <f ca="1" t="shared" si="2"/>
        <v/>
      </c>
      <c r="S64" s="27"/>
      <c r="T64" s="27"/>
      <c r="U64" s="27"/>
      <c r="V64" s="27"/>
      <c r="W64" s="31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</row>
    <row r="65" ht="15.75" customHeight="1" spans="1:42">
      <c r="A65" s="29"/>
      <c r="B65" s="29"/>
      <c r="C65" s="29"/>
      <c r="D65" s="27"/>
      <c r="E65" s="27"/>
      <c r="F65" s="27" t="str">
        <f ca="1" t="shared" si="0"/>
        <v/>
      </c>
      <c r="G65" s="27" t="str">
        <f t="shared" si="1"/>
        <v/>
      </c>
      <c r="H65" s="27"/>
      <c r="I65" s="27"/>
      <c r="J65" s="27"/>
      <c r="K65" s="27"/>
      <c r="L65" s="32"/>
      <c r="M65" s="27"/>
      <c r="N65" s="27"/>
      <c r="O65" s="27"/>
      <c r="P65" s="27"/>
      <c r="Q65" s="31"/>
      <c r="R65" s="88" t="str">
        <f ca="1" t="shared" si="2"/>
        <v/>
      </c>
      <c r="S65" s="27"/>
      <c r="T65" s="27"/>
      <c r="U65" s="27"/>
      <c r="V65" s="27"/>
      <c r="W65" s="31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</row>
    <row r="66" ht="15.75" customHeight="1" spans="1:42">
      <c r="A66" s="29"/>
      <c r="B66" s="29"/>
      <c r="C66" s="29"/>
      <c r="D66" s="27"/>
      <c r="E66" s="27"/>
      <c r="F66" s="27" t="str">
        <f ca="1" t="shared" si="0"/>
        <v/>
      </c>
      <c r="G66" s="27" t="str">
        <f t="shared" si="1"/>
        <v/>
      </c>
      <c r="H66" s="27"/>
      <c r="I66" s="27"/>
      <c r="J66" s="27"/>
      <c r="K66" s="27"/>
      <c r="L66" s="32"/>
      <c r="M66" s="27"/>
      <c r="N66" s="27"/>
      <c r="O66" s="27"/>
      <c r="P66" s="27"/>
      <c r="Q66" s="31"/>
      <c r="R66" s="88" t="str">
        <f ca="1" t="shared" si="2"/>
        <v/>
      </c>
      <c r="S66" s="27"/>
      <c r="T66" s="27"/>
      <c r="U66" s="27"/>
      <c r="V66" s="27"/>
      <c r="W66" s="31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</row>
    <row r="67" ht="15.75" customHeight="1" spans="1:42">
      <c r="A67" s="29"/>
      <c r="B67" s="29"/>
      <c r="C67" s="29"/>
      <c r="D67" s="27"/>
      <c r="E67" s="27"/>
      <c r="F67" s="27" t="str">
        <f ca="1" t="shared" si="0"/>
        <v/>
      </c>
      <c r="G67" s="27" t="str">
        <f t="shared" si="1"/>
        <v/>
      </c>
      <c r="H67" s="27"/>
      <c r="I67" s="27"/>
      <c r="J67" s="27"/>
      <c r="K67" s="27"/>
      <c r="L67" s="32"/>
      <c r="M67" s="27"/>
      <c r="N67" s="27"/>
      <c r="O67" s="27"/>
      <c r="P67" s="27"/>
      <c r="Q67" s="31"/>
      <c r="R67" s="88" t="str">
        <f ca="1" t="shared" si="2"/>
        <v/>
      </c>
      <c r="S67" s="27"/>
      <c r="T67" s="27"/>
      <c r="U67" s="27"/>
      <c r="V67" s="27"/>
      <c r="W67" s="31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</row>
    <row r="68" ht="15.75" customHeight="1" spans="1:42">
      <c r="A68" s="29"/>
      <c r="B68" s="29"/>
      <c r="C68" s="29"/>
      <c r="D68" s="27"/>
      <c r="E68" s="27"/>
      <c r="F68" s="27" t="str">
        <f ca="1" t="shared" si="0"/>
        <v/>
      </c>
      <c r="G68" s="27" t="str">
        <f t="shared" si="1"/>
        <v/>
      </c>
      <c r="H68" s="27"/>
      <c r="I68" s="27"/>
      <c r="J68" s="27"/>
      <c r="K68" s="27"/>
      <c r="L68" s="32"/>
      <c r="M68" s="27"/>
      <c r="N68" s="27"/>
      <c r="O68" s="27"/>
      <c r="P68" s="27"/>
      <c r="Q68" s="31"/>
      <c r="R68" s="88" t="str">
        <f ca="1" t="shared" si="2"/>
        <v/>
      </c>
      <c r="S68" s="27"/>
      <c r="T68" s="27"/>
      <c r="U68" s="27"/>
      <c r="V68" s="27"/>
      <c r="W68" s="31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ht="15.75" customHeight="1" spans="1:42">
      <c r="A69" s="29"/>
      <c r="B69" s="29"/>
      <c r="C69" s="29"/>
      <c r="D69" s="27"/>
      <c r="E69" s="27"/>
      <c r="F69" s="27" t="str">
        <f ca="1" t="shared" si="0"/>
        <v/>
      </c>
      <c r="G69" s="27" t="str">
        <f t="shared" si="1"/>
        <v/>
      </c>
      <c r="H69" s="27"/>
      <c r="I69" s="27"/>
      <c r="J69" s="27"/>
      <c r="K69" s="27"/>
      <c r="L69" s="32"/>
      <c r="M69" s="27"/>
      <c r="N69" s="27"/>
      <c r="O69" s="27"/>
      <c r="P69" s="27"/>
      <c r="Q69" s="31"/>
      <c r="R69" s="88" t="str">
        <f ca="1" t="shared" si="2"/>
        <v/>
      </c>
      <c r="S69" s="27"/>
      <c r="T69" s="27"/>
      <c r="U69" s="27"/>
      <c r="V69" s="27"/>
      <c r="W69" s="31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</row>
    <row r="70" ht="15.75" customHeight="1" spans="1:42">
      <c r="A70" s="29"/>
      <c r="B70" s="29"/>
      <c r="C70" s="29"/>
      <c r="D70" s="27"/>
      <c r="E70" s="27"/>
      <c r="F70" s="27" t="str">
        <f ca="1" t="shared" si="0"/>
        <v/>
      </c>
      <c r="G70" s="27" t="str">
        <f t="shared" si="1"/>
        <v/>
      </c>
      <c r="H70" s="27"/>
      <c r="I70" s="27"/>
      <c r="J70" s="27"/>
      <c r="K70" s="27"/>
      <c r="L70" s="32"/>
      <c r="M70" s="27"/>
      <c r="N70" s="27"/>
      <c r="O70" s="27"/>
      <c r="P70" s="27"/>
      <c r="Q70" s="31"/>
      <c r="R70" s="88" t="str">
        <f ca="1" t="shared" si="2"/>
        <v/>
      </c>
      <c r="S70" s="27"/>
      <c r="T70" s="27"/>
      <c r="U70" s="27"/>
      <c r="V70" s="27"/>
      <c r="W70" s="31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</row>
    <row r="71" ht="15.75" customHeight="1" spans="1:42">
      <c r="A71" s="29"/>
      <c r="B71" s="29"/>
      <c r="C71" s="29"/>
      <c r="D71" s="27"/>
      <c r="E71" s="27"/>
      <c r="F71" s="27" t="str">
        <f ca="1" t="shared" si="0"/>
        <v/>
      </c>
      <c r="G71" s="27" t="str">
        <f t="shared" si="1"/>
        <v/>
      </c>
      <c r="H71" s="27"/>
      <c r="I71" s="27"/>
      <c r="J71" s="27"/>
      <c r="K71" s="27"/>
      <c r="L71" s="32"/>
      <c r="M71" s="27"/>
      <c r="N71" s="27"/>
      <c r="O71" s="27"/>
      <c r="P71" s="27"/>
      <c r="Q71" s="31"/>
      <c r="R71" s="88" t="str">
        <f ca="1" t="shared" si="2"/>
        <v/>
      </c>
      <c r="S71" s="27"/>
      <c r="T71" s="27"/>
      <c r="U71" s="27"/>
      <c r="V71" s="27"/>
      <c r="W71" s="31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</row>
    <row r="72" ht="15.75" customHeight="1" spans="1:42">
      <c r="A72" s="29"/>
      <c r="B72" s="29"/>
      <c r="C72" s="29"/>
      <c r="D72" s="27"/>
      <c r="E72" s="27"/>
      <c r="F72" s="27" t="str">
        <f ca="1" t="shared" si="0"/>
        <v/>
      </c>
      <c r="G72" s="27" t="str">
        <f t="shared" si="1"/>
        <v/>
      </c>
      <c r="H72" s="27"/>
      <c r="I72" s="27"/>
      <c r="J72" s="27"/>
      <c r="K72" s="27"/>
      <c r="L72" s="32"/>
      <c r="M72" s="27"/>
      <c r="N72" s="27"/>
      <c r="O72" s="27"/>
      <c r="P72" s="27"/>
      <c r="Q72" s="31"/>
      <c r="R72" s="88" t="str">
        <f ca="1" t="shared" si="2"/>
        <v/>
      </c>
      <c r="S72" s="27"/>
      <c r="T72" s="27"/>
      <c r="U72" s="27"/>
      <c r="V72" s="27"/>
      <c r="W72" s="31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</row>
    <row r="73" ht="15.75" customHeight="1" spans="1:42">
      <c r="A73" s="29"/>
      <c r="B73" s="29"/>
      <c r="C73" s="29"/>
      <c r="D73" s="27"/>
      <c r="E73" s="27"/>
      <c r="F73" s="27" t="str">
        <f ca="1" t="shared" si="0"/>
        <v/>
      </c>
      <c r="G73" s="27" t="str">
        <f t="shared" si="1"/>
        <v/>
      </c>
      <c r="H73" s="27"/>
      <c r="I73" s="27"/>
      <c r="J73" s="27"/>
      <c r="K73" s="27"/>
      <c r="L73" s="32"/>
      <c r="M73" s="27"/>
      <c r="N73" s="27"/>
      <c r="O73" s="27"/>
      <c r="P73" s="27"/>
      <c r="Q73" s="31"/>
      <c r="R73" s="88" t="str">
        <f ca="1" t="shared" si="2"/>
        <v/>
      </c>
      <c r="S73" s="27"/>
      <c r="T73" s="27"/>
      <c r="U73" s="27"/>
      <c r="V73" s="27"/>
      <c r="W73" s="31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</row>
    <row r="74" ht="15.75" customHeight="1" spans="1:42">
      <c r="A74" s="29"/>
      <c r="B74" s="29"/>
      <c r="C74" s="29"/>
      <c r="D74" s="27"/>
      <c r="E74" s="27"/>
      <c r="F74" s="27" t="str">
        <f ca="1" t="shared" si="0"/>
        <v/>
      </c>
      <c r="G74" s="27" t="str">
        <f t="shared" si="1"/>
        <v/>
      </c>
      <c r="H74" s="27"/>
      <c r="I74" s="27"/>
      <c r="J74" s="27"/>
      <c r="K74" s="27"/>
      <c r="L74" s="32"/>
      <c r="M74" s="27"/>
      <c r="N74" s="27"/>
      <c r="O74" s="27"/>
      <c r="P74" s="27"/>
      <c r="Q74" s="31"/>
      <c r="R74" s="88" t="str">
        <f ca="1" t="shared" si="2"/>
        <v/>
      </c>
      <c r="S74" s="27"/>
      <c r="T74" s="27"/>
      <c r="U74" s="27"/>
      <c r="V74" s="27"/>
      <c r="W74" s="31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</row>
    <row r="75" ht="15.75" customHeight="1" spans="1:42">
      <c r="A75" s="29"/>
      <c r="B75" s="29"/>
      <c r="C75" s="29"/>
      <c r="D75" s="27"/>
      <c r="E75" s="27"/>
      <c r="F75" s="27" t="str">
        <f ca="1" t="shared" si="0"/>
        <v/>
      </c>
      <c r="G75" s="27" t="str">
        <f t="shared" si="1"/>
        <v/>
      </c>
      <c r="H75" s="27"/>
      <c r="I75" s="27"/>
      <c r="J75" s="27"/>
      <c r="K75" s="27"/>
      <c r="L75" s="32"/>
      <c r="M75" s="27"/>
      <c r="N75" s="27"/>
      <c r="O75" s="27"/>
      <c r="P75" s="27"/>
      <c r="Q75" s="31"/>
      <c r="R75" s="88" t="str">
        <f ca="1" t="shared" si="2"/>
        <v/>
      </c>
      <c r="S75" s="27"/>
      <c r="T75" s="27"/>
      <c r="U75" s="27"/>
      <c r="V75" s="27"/>
      <c r="W75" s="31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</row>
    <row r="76" ht="15.75" customHeight="1" spans="1:42">
      <c r="A76" s="29"/>
      <c r="B76" s="29"/>
      <c r="C76" s="29"/>
      <c r="D76" s="27"/>
      <c r="E76" s="27"/>
      <c r="F76" s="27" t="str">
        <f ca="1" t="shared" si="0"/>
        <v/>
      </c>
      <c r="G76" s="27" t="str">
        <f t="shared" si="1"/>
        <v/>
      </c>
      <c r="H76" s="27"/>
      <c r="I76" s="27"/>
      <c r="J76" s="27"/>
      <c r="K76" s="27"/>
      <c r="L76" s="32"/>
      <c r="M76" s="27"/>
      <c r="N76" s="27"/>
      <c r="O76" s="27"/>
      <c r="P76" s="27"/>
      <c r="Q76" s="31"/>
      <c r="R76" s="88" t="str">
        <f ca="1" t="shared" si="2"/>
        <v/>
      </c>
      <c r="S76" s="27"/>
      <c r="T76" s="27"/>
      <c r="U76" s="27"/>
      <c r="V76" s="27"/>
      <c r="W76" s="31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</row>
    <row r="77" ht="15.75" customHeight="1" spans="1:42">
      <c r="A77" s="29"/>
      <c r="B77" s="29"/>
      <c r="C77" s="29"/>
      <c r="D77" s="27"/>
      <c r="E77" s="27"/>
      <c r="F77" s="27" t="str">
        <f ca="1" t="shared" si="0"/>
        <v/>
      </c>
      <c r="G77" s="27" t="str">
        <f t="shared" si="1"/>
        <v/>
      </c>
      <c r="H77" s="27"/>
      <c r="I77" s="27"/>
      <c r="J77" s="27"/>
      <c r="K77" s="27"/>
      <c r="L77" s="32"/>
      <c r="M77" s="27"/>
      <c r="N77" s="27"/>
      <c r="O77" s="27"/>
      <c r="P77" s="27"/>
      <c r="Q77" s="31"/>
      <c r="R77" s="88" t="str">
        <f ca="1" t="shared" si="2"/>
        <v/>
      </c>
      <c r="S77" s="27"/>
      <c r="T77" s="27"/>
      <c r="U77" s="27"/>
      <c r="V77" s="27"/>
      <c r="W77" s="31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</row>
    <row r="78" ht="15.75" customHeight="1" spans="1:42">
      <c r="A78" s="29"/>
      <c r="B78" s="29"/>
      <c r="C78" s="29"/>
      <c r="D78" s="27"/>
      <c r="E78" s="27"/>
      <c r="F78" s="27" t="str">
        <f ca="1" t="shared" si="0"/>
        <v/>
      </c>
      <c r="G78" s="27" t="str">
        <f t="shared" si="1"/>
        <v/>
      </c>
      <c r="H78" s="27"/>
      <c r="I78" s="27"/>
      <c r="J78" s="27"/>
      <c r="K78" s="27"/>
      <c r="L78" s="32"/>
      <c r="M78" s="27"/>
      <c r="N78" s="27"/>
      <c r="O78" s="27"/>
      <c r="P78" s="27"/>
      <c r="Q78" s="31"/>
      <c r="R78" s="88" t="str">
        <f ca="1" t="shared" si="2"/>
        <v/>
      </c>
      <c r="S78" s="27"/>
      <c r="T78" s="27"/>
      <c r="U78" s="27"/>
      <c r="V78" s="27"/>
      <c r="W78" s="31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</row>
    <row r="79" ht="15.75" customHeight="1" spans="1:42">
      <c r="A79" s="29"/>
      <c r="B79" s="29"/>
      <c r="C79" s="29"/>
      <c r="D79" s="27"/>
      <c r="E79" s="27"/>
      <c r="F79" s="27" t="str">
        <f ca="1" t="shared" si="0"/>
        <v/>
      </c>
      <c r="G79" s="27" t="str">
        <f t="shared" si="1"/>
        <v/>
      </c>
      <c r="H79" s="27"/>
      <c r="I79" s="27"/>
      <c r="J79" s="27"/>
      <c r="K79" s="27"/>
      <c r="L79" s="32"/>
      <c r="M79" s="27"/>
      <c r="N79" s="27"/>
      <c r="O79" s="27"/>
      <c r="P79" s="27"/>
      <c r="Q79" s="31"/>
      <c r="R79" s="88" t="str">
        <f ca="1" t="shared" si="2"/>
        <v/>
      </c>
      <c r="S79" s="27"/>
      <c r="T79" s="27"/>
      <c r="U79" s="27"/>
      <c r="V79" s="27"/>
      <c r="W79" s="31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</row>
    <row r="80" ht="15.75" customHeight="1" spans="1:42">
      <c r="A80" s="29"/>
      <c r="B80" s="29"/>
      <c r="C80" s="29"/>
      <c r="D80" s="27"/>
      <c r="E80" s="27"/>
      <c r="F80" s="27" t="str">
        <f ca="1" t="shared" si="0"/>
        <v/>
      </c>
      <c r="G80" s="27" t="str">
        <f t="shared" si="1"/>
        <v/>
      </c>
      <c r="H80" s="27"/>
      <c r="I80" s="27"/>
      <c r="J80" s="27"/>
      <c r="K80" s="27"/>
      <c r="L80" s="32"/>
      <c r="M80" s="27"/>
      <c r="N80" s="27"/>
      <c r="O80" s="27"/>
      <c r="P80" s="27"/>
      <c r="Q80" s="31"/>
      <c r="R80" s="88" t="str">
        <f ca="1" t="shared" si="2"/>
        <v/>
      </c>
      <c r="S80" s="27"/>
      <c r="T80" s="27"/>
      <c r="U80" s="27"/>
      <c r="V80" s="27"/>
      <c r="W80" s="31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</row>
    <row r="81" ht="15.75" customHeight="1" spans="1:42">
      <c r="A81" s="29"/>
      <c r="B81" s="29"/>
      <c r="C81" s="29"/>
      <c r="D81" s="27"/>
      <c r="E81" s="27"/>
      <c r="F81" s="27" t="str">
        <f ca="1" t="shared" si="0"/>
        <v/>
      </c>
      <c r="G81" s="27" t="str">
        <f t="shared" si="1"/>
        <v/>
      </c>
      <c r="H81" s="27"/>
      <c r="I81" s="27"/>
      <c r="J81" s="27"/>
      <c r="K81" s="27"/>
      <c r="L81" s="32"/>
      <c r="M81" s="27"/>
      <c r="N81" s="27"/>
      <c r="O81" s="27"/>
      <c r="P81" s="27"/>
      <c r="Q81" s="31"/>
      <c r="R81" s="88" t="str">
        <f ca="1" t="shared" si="2"/>
        <v/>
      </c>
      <c r="S81" s="27"/>
      <c r="T81" s="27"/>
      <c r="U81" s="27"/>
      <c r="V81" s="27"/>
      <c r="W81" s="31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</row>
    <row r="82" ht="15.75" customHeight="1" spans="1:42">
      <c r="A82" s="29"/>
      <c r="B82" s="29"/>
      <c r="C82" s="29"/>
      <c r="D82" s="27"/>
      <c r="E82" s="27"/>
      <c r="F82" s="27" t="str">
        <f ca="1" t="shared" si="0"/>
        <v/>
      </c>
      <c r="G82" s="27" t="str">
        <f t="shared" si="1"/>
        <v/>
      </c>
      <c r="H82" s="27"/>
      <c r="I82" s="27"/>
      <c r="J82" s="27"/>
      <c r="K82" s="27"/>
      <c r="L82" s="32"/>
      <c r="M82" s="27"/>
      <c r="N82" s="27"/>
      <c r="O82" s="27"/>
      <c r="P82" s="27"/>
      <c r="Q82" s="31"/>
      <c r="R82" s="88" t="str">
        <f ca="1" t="shared" si="2"/>
        <v/>
      </c>
      <c r="S82" s="27"/>
      <c r="T82" s="27"/>
      <c r="U82" s="27"/>
      <c r="V82" s="27"/>
      <c r="W82" s="31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</row>
    <row r="83" ht="15.75" customHeight="1" spans="1:42">
      <c r="A83" s="29"/>
      <c r="B83" s="29"/>
      <c r="C83" s="29"/>
      <c r="D83" s="27"/>
      <c r="E83" s="27"/>
      <c r="F83" s="27" t="str">
        <f ca="1" t="shared" si="0"/>
        <v/>
      </c>
      <c r="G83" s="27" t="str">
        <f t="shared" si="1"/>
        <v/>
      </c>
      <c r="H83" s="27"/>
      <c r="I83" s="27"/>
      <c r="J83" s="27"/>
      <c r="K83" s="27"/>
      <c r="L83" s="32"/>
      <c r="M83" s="27"/>
      <c r="N83" s="27"/>
      <c r="O83" s="27"/>
      <c r="P83" s="27"/>
      <c r="Q83" s="31"/>
      <c r="R83" s="88" t="str">
        <f ca="1" t="shared" si="2"/>
        <v/>
      </c>
      <c r="S83" s="27"/>
      <c r="T83" s="27"/>
      <c r="U83" s="27"/>
      <c r="V83" s="27"/>
      <c r="W83" s="31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</row>
    <row r="84" ht="15.75" customHeight="1" spans="1:42">
      <c r="A84" s="29"/>
      <c r="B84" s="29"/>
      <c r="C84" s="29"/>
      <c r="D84" s="27"/>
      <c r="E84" s="27"/>
      <c r="F84" s="27" t="str">
        <f ca="1" t="shared" si="0"/>
        <v/>
      </c>
      <c r="G84" s="27" t="str">
        <f t="shared" si="1"/>
        <v/>
      </c>
      <c r="H84" s="27"/>
      <c r="I84" s="27"/>
      <c r="J84" s="27"/>
      <c r="K84" s="27"/>
      <c r="L84" s="32"/>
      <c r="M84" s="27"/>
      <c r="N84" s="27"/>
      <c r="O84" s="27"/>
      <c r="P84" s="27"/>
      <c r="Q84" s="31"/>
      <c r="R84" s="88" t="str">
        <f ca="1" t="shared" si="2"/>
        <v/>
      </c>
      <c r="S84" s="27"/>
      <c r="T84" s="27"/>
      <c r="U84" s="27"/>
      <c r="V84" s="27"/>
      <c r="W84" s="31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</row>
    <row r="85" ht="15.75" customHeight="1" spans="1:42">
      <c r="A85" s="29"/>
      <c r="B85" s="29"/>
      <c r="C85" s="29"/>
      <c r="D85" s="27"/>
      <c r="E85" s="27"/>
      <c r="F85" s="27" t="str">
        <f ca="1" t="shared" si="0"/>
        <v/>
      </c>
      <c r="G85" s="27" t="str">
        <f t="shared" si="1"/>
        <v/>
      </c>
      <c r="H85" s="27"/>
      <c r="I85" s="27"/>
      <c r="J85" s="27"/>
      <c r="K85" s="27"/>
      <c r="L85" s="32"/>
      <c r="M85" s="27"/>
      <c r="N85" s="27"/>
      <c r="O85" s="27"/>
      <c r="P85" s="27"/>
      <c r="Q85" s="31"/>
      <c r="R85" s="88" t="str">
        <f ca="1" t="shared" si="2"/>
        <v/>
      </c>
      <c r="S85" s="27"/>
      <c r="T85" s="27"/>
      <c r="U85" s="27"/>
      <c r="V85" s="27"/>
      <c r="W85" s="31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</row>
    <row r="86" ht="15.75" customHeight="1" spans="1:42">
      <c r="A86" s="29"/>
      <c r="B86" s="29"/>
      <c r="C86" s="29"/>
      <c r="D86" s="27"/>
      <c r="E86" s="27"/>
      <c r="F86" s="27" t="str">
        <f ca="1" t="shared" si="0"/>
        <v/>
      </c>
      <c r="G86" s="27" t="str">
        <f t="shared" si="1"/>
        <v/>
      </c>
      <c r="H86" s="27"/>
      <c r="I86" s="27"/>
      <c r="J86" s="27"/>
      <c r="K86" s="27"/>
      <c r="L86" s="32"/>
      <c r="M86" s="27"/>
      <c r="N86" s="27"/>
      <c r="O86" s="27"/>
      <c r="P86" s="27"/>
      <c r="Q86" s="31"/>
      <c r="R86" s="88" t="str">
        <f ca="1" t="shared" si="2"/>
        <v/>
      </c>
      <c r="S86" s="27"/>
      <c r="T86" s="27"/>
      <c r="U86" s="27"/>
      <c r="V86" s="27"/>
      <c r="W86" s="31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</row>
    <row r="87" ht="15.75" customHeight="1" spans="1:42">
      <c r="A87" s="29"/>
      <c r="B87" s="29"/>
      <c r="C87" s="29"/>
      <c r="D87" s="27"/>
      <c r="E87" s="27"/>
      <c r="F87" s="27" t="str">
        <f ca="1" t="shared" si="0"/>
        <v/>
      </c>
      <c r="G87" s="27" t="str">
        <f t="shared" si="1"/>
        <v/>
      </c>
      <c r="H87" s="27"/>
      <c r="I87" s="27"/>
      <c r="J87" s="27"/>
      <c r="K87" s="27"/>
      <c r="L87" s="32"/>
      <c r="M87" s="27"/>
      <c r="N87" s="27"/>
      <c r="O87" s="27"/>
      <c r="P87" s="27"/>
      <c r="Q87" s="31"/>
      <c r="R87" s="88" t="str">
        <f ca="1" t="shared" si="2"/>
        <v/>
      </c>
      <c r="S87" s="27"/>
      <c r="T87" s="27"/>
      <c r="U87" s="27"/>
      <c r="V87" s="27"/>
      <c r="W87" s="31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</row>
    <row r="88" ht="15.75" customHeight="1" spans="1:42">
      <c r="A88" s="29"/>
      <c r="B88" s="29"/>
      <c r="C88" s="29"/>
      <c r="D88" s="27"/>
      <c r="E88" s="27"/>
      <c r="F88" s="27" t="str">
        <f ca="1" t="shared" si="0"/>
        <v/>
      </c>
      <c r="G88" s="27" t="str">
        <f t="shared" si="1"/>
        <v/>
      </c>
      <c r="H88" s="27"/>
      <c r="I88" s="27"/>
      <c r="J88" s="27"/>
      <c r="K88" s="27"/>
      <c r="L88" s="32"/>
      <c r="M88" s="27"/>
      <c r="N88" s="27"/>
      <c r="O88" s="27"/>
      <c r="P88" s="27"/>
      <c r="Q88" s="31"/>
      <c r="R88" s="88" t="str">
        <f ca="1" t="shared" si="2"/>
        <v/>
      </c>
      <c r="S88" s="27"/>
      <c r="T88" s="27"/>
      <c r="U88" s="27"/>
      <c r="V88" s="27"/>
      <c r="W88" s="31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</row>
    <row r="89" ht="15.75" customHeight="1" spans="1:42">
      <c r="A89" s="29"/>
      <c r="B89" s="29"/>
      <c r="C89" s="29"/>
      <c r="D89" s="27"/>
      <c r="E89" s="27"/>
      <c r="F89" s="27" t="str">
        <f ca="1" t="shared" si="0"/>
        <v/>
      </c>
      <c r="G89" s="27" t="str">
        <f t="shared" si="1"/>
        <v/>
      </c>
      <c r="H89" s="27"/>
      <c r="I89" s="27"/>
      <c r="J89" s="27"/>
      <c r="K89" s="27"/>
      <c r="L89" s="32"/>
      <c r="M89" s="27"/>
      <c r="N89" s="27"/>
      <c r="O89" s="27"/>
      <c r="P89" s="27"/>
      <c r="Q89" s="31"/>
      <c r="R89" s="88" t="str">
        <f ca="1" t="shared" si="2"/>
        <v/>
      </c>
      <c r="S89" s="27"/>
      <c r="T89" s="27"/>
      <c r="U89" s="27"/>
      <c r="V89" s="27"/>
      <c r="W89" s="31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</row>
    <row r="90" ht="15.75" customHeight="1" spans="1:42">
      <c r="A90" s="29"/>
      <c r="B90" s="29"/>
      <c r="C90" s="29"/>
      <c r="D90" s="27"/>
      <c r="E90" s="27"/>
      <c r="F90" s="27" t="str">
        <f ca="1" t="shared" si="0"/>
        <v/>
      </c>
      <c r="G90" s="27" t="str">
        <f t="shared" si="1"/>
        <v/>
      </c>
      <c r="H90" s="27"/>
      <c r="I90" s="27"/>
      <c r="J90" s="27"/>
      <c r="K90" s="27"/>
      <c r="L90" s="32"/>
      <c r="M90" s="27"/>
      <c r="N90" s="27"/>
      <c r="O90" s="27"/>
      <c r="P90" s="27"/>
      <c r="Q90" s="31"/>
      <c r="R90" s="88" t="str">
        <f ca="1" t="shared" si="2"/>
        <v/>
      </c>
      <c r="S90" s="27"/>
      <c r="T90" s="27"/>
      <c r="U90" s="27"/>
      <c r="V90" s="27"/>
      <c r="W90" s="31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</row>
    <row r="91" ht="15.75" customHeight="1" spans="1:42">
      <c r="A91" s="29"/>
      <c r="B91" s="29"/>
      <c r="C91" s="29"/>
      <c r="D91" s="27"/>
      <c r="E91" s="27"/>
      <c r="F91" s="27" t="str">
        <f ca="1" t="shared" si="0"/>
        <v/>
      </c>
      <c r="G91" s="27" t="str">
        <f t="shared" si="1"/>
        <v/>
      </c>
      <c r="H91" s="27"/>
      <c r="I91" s="27"/>
      <c r="J91" s="27"/>
      <c r="K91" s="27"/>
      <c r="L91" s="32"/>
      <c r="M91" s="27"/>
      <c r="N91" s="27"/>
      <c r="O91" s="27"/>
      <c r="P91" s="27"/>
      <c r="Q91" s="31"/>
      <c r="R91" s="88" t="str">
        <f ca="1" t="shared" si="2"/>
        <v/>
      </c>
      <c r="S91" s="27"/>
      <c r="T91" s="27"/>
      <c r="U91" s="27"/>
      <c r="V91" s="27"/>
      <c r="W91" s="31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</row>
    <row r="92" ht="15.75" customHeight="1" spans="1:42">
      <c r="A92" s="29"/>
      <c r="B92" s="29"/>
      <c r="C92" s="29"/>
      <c r="D92" s="27"/>
      <c r="E92" s="27"/>
      <c r="F92" s="27" t="str">
        <f ca="1" t="shared" si="0"/>
        <v/>
      </c>
      <c r="G92" s="27" t="str">
        <f t="shared" si="1"/>
        <v/>
      </c>
      <c r="H92" s="27"/>
      <c r="I92" s="27"/>
      <c r="J92" s="27"/>
      <c r="K92" s="27"/>
      <c r="L92" s="32"/>
      <c r="M92" s="27"/>
      <c r="N92" s="27"/>
      <c r="O92" s="27"/>
      <c r="P92" s="27"/>
      <c r="Q92" s="31"/>
      <c r="R92" s="88" t="str">
        <f ca="1" t="shared" si="2"/>
        <v/>
      </c>
      <c r="S92" s="27"/>
      <c r="T92" s="27"/>
      <c r="U92" s="27"/>
      <c r="V92" s="27"/>
      <c r="W92" s="31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</row>
    <row r="93" ht="15.75" customHeight="1" spans="1:42">
      <c r="A93" s="29"/>
      <c r="B93" s="29"/>
      <c r="C93" s="29"/>
      <c r="D93" s="27"/>
      <c r="E93" s="27"/>
      <c r="F93" s="27" t="str">
        <f ca="1" t="shared" si="0"/>
        <v/>
      </c>
      <c r="G93" s="27" t="str">
        <f t="shared" si="1"/>
        <v/>
      </c>
      <c r="H93" s="27"/>
      <c r="I93" s="27"/>
      <c r="J93" s="27"/>
      <c r="K93" s="27"/>
      <c r="L93" s="32"/>
      <c r="M93" s="27"/>
      <c r="N93" s="27"/>
      <c r="O93" s="27"/>
      <c r="P93" s="27"/>
      <c r="Q93" s="31"/>
      <c r="R93" s="88" t="str">
        <f ca="1" t="shared" si="2"/>
        <v/>
      </c>
      <c r="S93" s="27"/>
      <c r="T93" s="27"/>
      <c r="U93" s="27"/>
      <c r="V93" s="27"/>
      <c r="W93" s="31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</row>
    <row r="94" ht="15.75" customHeight="1" spans="1:42">
      <c r="A94" s="29"/>
      <c r="B94" s="29"/>
      <c r="C94" s="29"/>
      <c r="D94" s="27"/>
      <c r="E94" s="27"/>
      <c r="F94" s="27" t="str">
        <f ca="1" t="shared" si="0"/>
        <v/>
      </c>
      <c r="G94" s="27" t="str">
        <f t="shared" si="1"/>
        <v/>
      </c>
      <c r="H94" s="27"/>
      <c r="I94" s="27"/>
      <c r="J94" s="27"/>
      <c r="K94" s="27"/>
      <c r="L94" s="32"/>
      <c r="M94" s="27"/>
      <c r="N94" s="27"/>
      <c r="O94" s="27"/>
      <c r="P94" s="27"/>
      <c r="Q94" s="31"/>
      <c r="R94" s="88" t="str">
        <f ca="1" t="shared" si="2"/>
        <v/>
      </c>
      <c r="S94" s="27"/>
      <c r="T94" s="27"/>
      <c r="U94" s="27"/>
      <c r="V94" s="27"/>
      <c r="W94" s="31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</row>
    <row r="95" ht="15.75" customHeight="1" spans="1:42">
      <c r="A95" s="29"/>
      <c r="B95" s="29"/>
      <c r="C95" s="29"/>
      <c r="D95" s="27"/>
      <c r="E95" s="27"/>
      <c r="F95" s="27" t="str">
        <f ca="1" t="shared" si="0"/>
        <v/>
      </c>
      <c r="G95" s="27" t="str">
        <f t="shared" si="1"/>
        <v/>
      </c>
      <c r="H95" s="27"/>
      <c r="I95" s="27"/>
      <c r="J95" s="27"/>
      <c r="K95" s="27"/>
      <c r="L95" s="32"/>
      <c r="M95" s="27"/>
      <c r="N95" s="27"/>
      <c r="O95" s="27"/>
      <c r="P95" s="27"/>
      <c r="Q95" s="31"/>
      <c r="R95" s="88" t="str">
        <f ca="1" t="shared" si="2"/>
        <v/>
      </c>
      <c r="S95" s="27"/>
      <c r="T95" s="27"/>
      <c r="U95" s="27"/>
      <c r="V95" s="27"/>
      <c r="W95" s="31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</row>
    <row r="96" ht="15.75" customHeight="1" spans="1:42">
      <c r="A96" s="29"/>
      <c r="B96" s="29"/>
      <c r="C96" s="29"/>
      <c r="D96" s="27"/>
      <c r="E96" s="27"/>
      <c r="F96" s="27" t="str">
        <f ca="1" t="shared" si="0"/>
        <v/>
      </c>
      <c r="G96" s="27" t="str">
        <f t="shared" si="1"/>
        <v/>
      </c>
      <c r="H96" s="27"/>
      <c r="I96" s="27"/>
      <c r="J96" s="27"/>
      <c r="K96" s="27"/>
      <c r="L96" s="32"/>
      <c r="M96" s="27"/>
      <c r="N96" s="27"/>
      <c r="O96" s="27"/>
      <c r="P96" s="27"/>
      <c r="Q96" s="31"/>
      <c r="R96" s="88" t="str">
        <f ca="1" t="shared" si="2"/>
        <v/>
      </c>
      <c r="S96" s="27"/>
      <c r="T96" s="27"/>
      <c r="U96" s="27"/>
      <c r="V96" s="27"/>
      <c r="W96" s="31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</row>
    <row r="97" ht="15.75" customHeight="1" spans="1:42">
      <c r="A97" s="29"/>
      <c r="B97" s="29"/>
      <c r="C97" s="29"/>
      <c r="D97" s="27"/>
      <c r="E97" s="27"/>
      <c r="F97" s="27" t="str">
        <f ca="1" t="shared" si="0"/>
        <v/>
      </c>
      <c r="G97" s="27" t="str">
        <f t="shared" si="1"/>
        <v/>
      </c>
      <c r="H97" s="27"/>
      <c r="I97" s="27"/>
      <c r="J97" s="27"/>
      <c r="K97" s="27"/>
      <c r="L97" s="32"/>
      <c r="M97" s="27"/>
      <c r="N97" s="27"/>
      <c r="O97" s="27"/>
      <c r="P97" s="27"/>
      <c r="Q97" s="31"/>
      <c r="R97" s="88" t="str">
        <f ca="1" t="shared" si="2"/>
        <v/>
      </c>
      <c r="S97" s="27"/>
      <c r="T97" s="27"/>
      <c r="U97" s="27"/>
      <c r="V97" s="27"/>
      <c r="W97" s="31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</row>
    <row r="98" ht="15.75" customHeight="1" spans="1:42">
      <c r="A98" s="29"/>
      <c r="B98" s="29"/>
      <c r="C98" s="29"/>
      <c r="D98" s="27"/>
      <c r="E98" s="27"/>
      <c r="F98" s="27" t="str">
        <f ca="1" t="shared" si="0"/>
        <v/>
      </c>
      <c r="G98" s="27" t="str">
        <f t="shared" si="1"/>
        <v/>
      </c>
      <c r="H98" s="27"/>
      <c r="I98" s="27"/>
      <c r="J98" s="27"/>
      <c r="K98" s="27"/>
      <c r="L98" s="32"/>
      <c r="M98" s="27"/>
      <c r="N98" s="27"/>
      <c r="O98" s="27"/>
      <c r="P98" s="27"/>
      <c r="Q98" s="31"/>
      <c r="R98" s="88" t="str">
        <f ca="1" t="shared" si="2"/>
        <v/>
      </c>
      <c r="S98" s="27"/>
      <c r="T98" s="27"/>
      <c r="U98" s="27"/>
      <c r="V98" s="27"/>
      <c r="W98" s="31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</row>
    <row r="99" ht="15.75" customHeight="1" spans="1:42">
      <c r="A99" s="29"/>
      <c r="B99" s="29"/>
      <c r="C99" s="29"/>
      <c r="D99" s="27"/>
      <c r="E99" s="27"/>
      <c r="F99" s="27" t="str">
        <f ca="1" t="shared" si="0"/>
        <v/>
      </c>
      <c r="G99" s="27" t="str">
        <f t="shared" si="1"/>
        <v/>
      </c>
      <c r="H99" s="27"/>
      <c r="I99" s="27"/>
      <c r="J99" s="27"/>
      <c r="K99" s="27"/>
      <c r="L99" s="32"/>
      <c r="M99" s="27"/>
      <c r="N99" s="27"/>
      <c r="O99" s="27"/>
      <c r="P99" s="27"/>
      <c r="Q99" s="31"/>
      <c r="R99" s="88" t="str">
        <f ca="1" t="shared" si="2"/>
        <v/>
      </c>
      <c r="S99" s="27"/>
      <c r="T99" s="27"/>
      <c r="U99" s="27"/>
      <c r="V99" s="27"/>
      <c r="W99" s="31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</row>
    <row r="100" ht="15.75" customHeight="1" spans="1:42">
      <c r="A100" s="29"/>
      <c r="B100" s="29"/>
      <c r="C100" s="29"/>
      <c r="D100" s="27"/>
      <c r="E100" s="27"/>
      <c r="F100" s="27" t="str">
        <f ca="1" t="shared" si="0"/>
        <v/>
      </c>
      <c r="G100" s="27" t="str">
        <f t="shared" si="1"/>
        <v/>
      </c>
      <c r="H100" s="27"/>
      <c r="I100" s="27"/>
      <c r="J100" s="27"/>
      <c r="K100" s="27"/>
      <c r="L100" s="32"/>
      <c r="M100" s="27"/>
      <c r="N100" s="27"/>
      <c r="O100" s="27"/>
      <c r="P100" s="27"/>
      <c r="Q100" s="31"/>
      <c r="R100" s="88" t="str">
        <f ca="1" t="shared" si="2"/>
        <v/>
      </c>
      <c r="S100" s="27"/>
      <c r="T100" s="27"/>
      <c r="U100" s="27"/>
      <c r="V100" s="27"/>
      <c r="W100" s="31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</row>
    <row r="101" ht="15.75" customHeight="1" spans="1:42">
      <c r="A101" s="29"/>
      <c r="B101" s="29"/>
      <c r="C101" s="29"/>
      <c r="D101" s="27"/>
      <c r="E101" s="27"/>
      <c r="F101" s="27" t="str">
        <f ca="1" t="shared" si="0"/>
        <v/>
      </c>
      <c r="G101" s="27" t="str">
        <f t="shared" si="1"/>
        <v/>
      </c>
      <c r="H101" s="27"/>
      <c r="I101" s="27"/>
      <c r="J101" s="27"/>
      <c r="K101" s="27"/>
      <c r="L101" s="32"/>
      <c r="M101" s="27"/>
      <c r="N101" s="27"/>
      <c r="O101" s="27"/>
      <c r="P101" s="27"/>
      <c r="Q101" s="31"/>
      <c r="R101" s="88" t="str">
        <f ca="1" t="shared" si="2"/>
        <v/>
      </c>
      <c r="S101" s="27"/>
      <c r="T101" s="27"/>
      <c r="U101" s="27"/>
      <c r="V101" s="27"/>
      <c r="W101" s="31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</row>
    <row r="102" ht="15.75" customHeight="1" spans="1:42">
      <c r="A102" s="29"/>
      <c r="B102" s="29"/>
      <c r="C102" s="29"/>
      <c r="D102" s="27"/>
      <c r="E102" s="27"/>
      <c r="F102" s="27" t="str">
        <f ca="1" t="shared" si="0"/>
        <v/>
      </c>
      <c r="G102" s="27" t="str">
        <f t="shared" si="1"/>
        <v/>
      </c>
      <c r="H102" s="27"/>
      <c r="I102" s="27"/>
      <c r="J102" s="27"/>
      <c r="K102" s="27"/>
      <c r="L102" s="32"/>
      <c r="M102" s="27"/>
      <c r="N102" s="27"/>
      <c r="O102" s="27"/>
      <c r="P102" s="27"/>
      <c r="Q102" s="31"/>
      <c r="R102" s="88" t="str">
        <f ca="1" t="shared" si="2"/>
        <v/>
      </c>
      <c r="S102" s="27"/>
      <c r="T102" s="27"/>
      <c r="U102" s="27"/>
      <c r="V102" s="27"/>
      <c r="W102" s="31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</row>
    <row r="103" ht="15.75" customHeight="1" spans="1:42">
      <c r="A103" s="29"/>
      <c r="B103" s="29"/>
      <c r="C103" s="29"/>
      <c r="D103" s="27"/>
      <c r="E103" s="27"/>
      <c r="F103" s="27" t="str">
        <f ca="1" t="shared" si="0"/>
        <v/>
      </c>
      <c r="G103" s="27" t="str">
        <f t="shared" si="1"/>
        <v/>
      </c>
      <c r="H103" s="27"/>
      <c r="I103" s="27"/>
      <c r="J103" s="27"/>
      <c r="K103" s="27"/>
      <c r="L103" s="32"/>
      <c r="M103" s="27"/>
      <c r="N103" s="27"/>
      <c r="O103" s="27"/>
      <c r="P103" s="27"/>
      <c r="Q103" s="31"/>
      <c r="R103" s="88" t="str">
        <f ca="1" t="shared" si="2"/>
        <v/>
      </c>
      <c r="S103" s="27"/>
      <c r="T103" s="27"/>
      <c r="U103" s="27"/>
      <c r="V103" s="27"/>
      <c r="W103" s="31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</row>
    <row r="104" ht="15.75" customHeight="1" spans="1:42">
      <c r="A104" s="29"/>
      <c r="B104" s="29"/>
      <c r="C104" s="29"/>
      <c r="D104" s="27"/>
      <c r="E104" s="27"/>
      <c r="F104" s="27" t="str">
        <f ca="1" t="shared" si="0"/>
        <v/>
      </c>
      <c r="G104" s="27" t="str">
        <f t="shared" si="1"/>
        <v/>
      </c>
      <c r="H104" s="27"/>
      <c r="I104" s="27"/>
      <c r="J104" s="27"/>
      <c r="K104" s="27"/>
      <c r="L104" s="32"/>
      <c r="M104" s="27"/>
      <c r="N104" s="27"/>
      <c r="O104" s="27"/>
      <c r="P104" s="27"/>
      <c r="Q104" s="31"/>
      <c r="R104" s="88" t="str">
        <f ca="1" t="shared" si="2"/>
        <v/>
      </c>
      <c r="S104" s="27"/>
      <c r="T104" s="27"/>
      <c r="U104" s="27"/>
      <c r="V104" s="27"/>
      <c r="W104" s="31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</row>
    <row r="105" ht="15.75" customHeight="1" spans="1:42">
      <c r="A105" s="29"/>
      <c r="B105" s="29"/>
      <c r="C105" s="29"/>
      <c r="D105" s="27"/>
      <c r="E105" s="27"/>
      <c r="F105" s="27" t="str">
        <f ca="1" t="shared" si="0"/>
        <v/>
      </c>
      <c r="G105" s="27" t="str">
        <f t="shared" si="1"/>
        <v/>
      </c>
      <c r="H105" s="27"/>
      <c r="I105" s="27"/>
      <c r="J105" s="27"/>
      <c r="K105" s="27"/>
      <c r="L105" s="32"/>
      <c r="M105" s="27"/>
      <c r="N105" s="27"/>
      <c r="O105" s="27"/>
      <c r="P105" s="27"/>
      <c r="Q105" s="31"/>
      <c r="R105" s="88" t="str">
        <f ca="1" t="shared" si="2"/>
        <v/>
      </c>
      <c r="S105" s="27"/>
      <c r="T105" s="27"/>
      <c r="U105" s="27"/>
      <c r="V105" s="27"/>
      <c r="W105" s="31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</row>
    <row r="106" ht="15.75" customHeight="1" spans="1:42">
      <c r="A106" s="29"/>
      <c r="B106" s="29"/>
      <c r="C106" s="29"/>
      <c r="D106" s="27"/>
      <c r="E106" s="27"/>
      <c r="F106" s="27" t="str">
        <f ca="1" t="shared" si="0"/>
        <v/>
      </c>
      <c r="G106" s="27" t="str">
        <f t="shared" si="1"/>
        <v/>
      </c>
      <c r="H106" s="27"/>
      <c r="I106" s="27"/>
      <c r="J106" s="27"/>
      <c r="K106" s="27"/>
      <c r="L106" s="32"/>
      <c r="M106" s="27"/>
      <c r="N106" s="27"/>
      <c r="O106" s="27"/>
      <c r="P106" s="27"/>
      <c r="Q106" s="31"/>
      <c r="R106" s="88" t="str">
        <f ca="1" t="shared" si="2"/>
        <v/>
      </c>
      <c r="S106" s="27"/>
      <c r="T106" s="27"/>
      <c r="U106" s="27"/>
      <c r="V106" s="27"/>
      <c r="W106" s="31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</row>
    <row r="107" ht="15.75" customHeight="1" spans="1:42">
      <c r="A107" s="29"/>
      <c r="B107" s="29"/>
      <c r="C107" s="29"/>
      <c r="D107" s="27"/>
      <c r="E107" s="27"/>
      <c r="F107" s="27" t="str">
        <f ca="1" t="shared" si="0"/>
        <v/>
      </c>
      <c r="G107" s="27" t="str">
        <f t="shared" si="1"/>
        <v/>
      </c>
      <c r="H107" s="27"/>
      <c r="I107" s="27"/>
      <c r="J107" s="27"/>
      <c r="K107" s="27"/>
      <c r="L107" s="32"/>
      <c r="M107" s="27"/>
      <c r="N107" s="27"/>
      <c r="O107" s="27"/>
      <c r="P107" s="27"/>
      <c r="Q107" s="31"/>
      <c r="R107" s="88" t="str">
        <f ca="1" t="shared" si="2"/>
        <v/>
      </c>
      <c r="S107" s="27"/>
      <c r="T107" s="27"/>
      <c r="U107" s="27"/>
      <c r="V107" s="27"/>
      <c r="W107" s="31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</row>
    <row r="108" ht="15.75" customHeight="1" spans="1:42">
      <c r="A108" s="29"/>
      <c r="B108" s="29"/>
      <c r="C108" s="29"/>
      <c r="D108" s="27"/>
      <c r="E108" s="27"/>
      <c r="F108" s="27" t="str">
        <f ca="1" t="shared" si="0"/>
        <v/>
      </c>
      <c r="G108" s="27" t="str">
        <f t="shared" si="1"/>
        <v/>
      </c>
      <c r="H108" s="27"/>
      <c r="I108" s="27"/>
      <c r="J108" s="27"/>
      <c r="K108" s="27"/>
      <c r="L108" s="32"/>
      <c r="M108" s="27"/>
      <c r="N108" s="27"/>
      <c r="O108" s="27"/>
      <c r="P108" s="27"/>
      <c r="Q108" s="31"/>
      <c r="R108" s="88" t="str">
        <f ca="1" t="shared" si="2"/>
        <v/>
      </c>
      <c r="S108" s="27"/>
      <c r="T108" s="27"/>
      <c r="U108" s="27"/>
      <c r="V108" s="27"/>
      <c r="W108" s="31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</row>
    <row r="109" ht="15.75" customHeight="1" spans="1:42">
      <c r="A109" s="29"/>
      <c r="B109" s="29"/>
      <c r="C109" s="29"/>
      <c r="D109" s="27"/>
      <c r="E109" s="27"/>
      <c r="F109" s="27" t="str">
        <f ca="1" t="shared" si="0"/>
        <v/>
      </c>
      <c r="G109" s="27" t="str">
        <f t="shared" si="1"/>
        <v/>
      </c>
      <c r="H109" s="27"/>
      <c r="I109" s="27"/>
      <c r="J109" s="27"/>
      <c r="K109" s="27"/>
      <c r="L109" s="32"/>
      <c r="M109" s="27"/>
      <c r="N109" s="27"/>
      <c r="O109" s="27"/>
      <c r="P109" s="27"/>
      <c r="Q109" s="31"/>
      <c r="R109" s="88" t="str">
        <f ca="1" t="shared" si="2"/>
        <v/>
      </c>
      <c r="S109" s="27"/>
      <c r="T109" s="27"/>
      <c r="U109" s="27"/>
      <c r="V109" s="27"/>
      <c r="W109" s="31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</row>
    <row r="110" ht="15.75" customHeight="1" spans="1:42">
      <c r="A110" s="29"/>
      <c r="B110" s="29"/>
      <c r="C110" s="29"/>
      <c r="D110" s="27"/>
      <c r="E110" s="27"/>
      <c r="F110" s="27" t="str">
        <f ca="1" t="shared" si="0"/>
        <v/>
      </c>
      <c r="G110" s="27" t="str">
        <f t="shared" si="1"/>
        <v/>
      </c>
      <c r="H110" s="27"/>
      <c r="I110" s="27"/>
      <c r="J110" s="27"/>
      <c r="K110" s="27"/>
      <c r="L110" s="32"/>
      <c r="M110" s="27"/>
      <c r="N110" s="27"/>
      <c r="O110" s="27"/>
      <c r="P110" s="27"/>
      <c r="Q110" s="31"/>
      <c r="R110" s="88" t="str">
        <f ca="1" t="shared" si="2"/>
        <v/>
      </c>
      <c r="S110" s="27"/>
      <c r="T110" s="27"/>
      <c r="U110" s="27"/>
      <c r="V110" s="27"/>
      <c r="W110" s="31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</row>
    <row r="111" ht="15.75" customHeight="1" spans="1:42">
      <c r="A111" s="29"/>
      <c r="B111" s="29"/>
      <c r="C111" s="29"/>
      <c r="D111" s="27"/>
      <c r="E111" s="27"/>
      <c r="F111" s="27" t="str">
        <f ca="1" t="shared" si="0"/>
        <v/>
      </c>
      <c r="G111" s="27" t="str">
        <f t="shared" si="1"/>
        <v/>
      </c>
      <c r="H111" s="27"/>
      <c r="I111" s="27"/>
      <c r="J111" s="27"/>
      <c r="K111" s="27"/>
      <c r="L111" s="32"/>
      <c r="M111" s="27"/>
      <c r="N111" s="27"/>
      <c r="O111" s="27"/>
      <c r="P111" s="27"/>
      <c r="Q111" s="31"/>
      <c r="R111" s="88" t="str">
        <f ca="1" t="shared" si="2"/>
        <v/>
      </c>
      <c r="S111" s="27"/>
      <c r="T111" s="27"/>
      <c r="U111" s="27"/>
      <c r="V111" s="27"/>
      <c r="W111" s="31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</row>
    <row r="112" ht="15.75" customHeight="1" spans="1:42">
      <c r="A112" s="29"/>
      <c r="B112" s="29"/>
      <c r="C112" s="29"/>
      <c r="D112" s="27"/>
      <c r="E112" s="27"/>
      <c r="F112" s="27" t="str">
        <f ca="1" t="shared" si="0"/>
        <v/>
      </c>
      <c r="G112" s="27" t="str">
        <f t="shared" si="1"/>
        <v/>
      </c>
      <c r="H112" s="27"/>
      <c r="I112" s="27"/>
      <c r="J112" s="27"/>
      <c r="K112" s="27"/>
      <c r="L112" s="32"/>
      <c r="M112" s="27"/>
      <c r="N112" s="27"/>
      <c r="O112" s="27"/>
      <c r="P112" s="27"/>
      <c r="Q112" s="31"/>
      <c r="R112" s="88" t="str">
        <f ca="1" t="shared" si="2"/>
        <v/>
      </c>
      <c r="S112" s="27"/>
      <c r="T112" s="27"/>
      <c r="U112" s="27"/>
      <c r="V112" s="27"/>
      <c r="W112" s="31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</row>
    <row r="113" ht="15.75" customHeight="1" spans="1:42">
      <c r="A113" s="29"/>
      <c r="B113" s="29"/>
      <c r="C113" s="29"/>
      <c r="D113" s="27"/>
      <c r="E113" s="27"/>
      <c r="F113" s="27" t="str">
        <f ca="1" t="shared" si="0"/>
        <v/>
      </c>
      <c r="G113" s="27" t="str">
        <f t="shared" si="1"/>
        <v/>
      </c>
      <c r="H113" s="27"/>
      <c r="I113" s="27"/>
      <c r="J113" s="27"/>
      <c r="K113" s="27"/>
      <c r="L113" s="32"/>
      <c r="M113" s="27"/>
      <c r="N113" s="27"/>
      <c r="O113" s="27"/>
      <c r="P113" s="27"/>
      <c r="Q113" s="31"/>
      <c r="R113" s="88" t="str">
        <f ca="1" t="shared" si="2"/>
        <v/>
      </c>
      <c r="S113" s="27"/>
      <c r="T113" s="27"/>
      <c r="U113" s="27"/>
      <c r="V113" s="27"/>
      <c r="W113" s="31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</row>
    <row r="114" ht="15.75" customHeight="1" spans="1:42">
      <c r="A114" s="29"/>
      <c r="B114" s="29"/>
      <c r="C114" s="29"/>
      <c r="D114" s="27"/>
      <c r="E114" s="27"/>
      <c r="F114" s="27" t="str">
        <f ca="1" t="shared" si="0"/>
        <v/>
      </c>
      <c r="G114" s="27" t="str">
        <f t="shared" si="1"/>
        <v/>
      </c>
      <c r="H114" s="27"/>
      <c r="I114" s="27"/>
      <c r="J114" s="27"/>
      <c r="K114" s="27"/>
      <c r="L114" s="32"/>
      <c r="M114" s="27"/>
      <c r="N114" s="27"/>
      <c r="O114" s="27"/>
      <c r="P114" s="27"/>
      <c r="Q114" s="31"/>
      <c r="R114" s="88" t="str">
        <f ca="1" t="shared" si="2"/>
        <v/>
      </c>
      <c r="S114" s="27"/>
      <c r="T114" s="27"/>
      <c r="U114" s="27"/>
      <c r="V114" s="27"/>
      <c r="W114" s="31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</row>
    <row r="115" ht="15.75" customHeight="1" spans="1:42">
      <c r="A115" s="29"/>
      <c r="B115" s="29"/>
      <c r="C115" s="29"/>
      <c r="D115" s="27"/>
      <c r="E115" s="27"/>
      <c r="F115" s="27" t="str">
        <f ca="1" t="shared" si="0"/>
        <v/>
      </c>
      <c r="G115" s="27" t="str">
        <f t="shared" si="1"/>
        <v/>
      </c>
      <c r="H115" s="27"/>
      <c r="I115" s="27"/>
      <c r="J115" s="27"/>
      <c r="K115" s="27"/>
      <c r="L115" s="32"/>
      <c r="M115" s="27"/>
      <c r="N115" s="27"/>
      <c r="O115" s="27"/>
      <c r="P115" s="27"/>
      <c r="Q115" s="31"/>
      <c r="R115" s="88" t="str">
        <f ca="1" t="shared" si="2"/>
        <v/>
      </c>
      <c r="S115" s="27"/>
      <c r="T115" s="27"/>
      <c r="U115" s="27"/>
      <c r="V115" s="27"/>
      <c r="W115" s="31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</row>
    <row r="116" ht="15.75" customHeight="1" spans="1:42">
      <c r="A116" s="29"/>
      <c r="B116" s="29"/>
      <c r="C116" s="29"/>
      <c r="D116" s="27"/>
      <c r="E116" s="27"/>
      <c r="F116" s="27" t="str">
        <f ca="1" t="shared" si="0"/>
        <v/>
      </c>
      <c r="G116" s="27" t="str">
        <f t="shared" si="1"/>
        <v/>
      </c>
      <c r="H116" s="27"/>
      <c r="I116" s="27"/>
      <c r="J116" s="27"/>
      <c r="K116" s="27"/>
      <c r="L116" s="32"/>
      <c r="M116" s="27"/>
      <c r="N116" s="27"/>
      <c r="O116" s="27"/>
      <c r="P116" s="27"/>
      <c r="Q116" s="31"/>
      <c r="R116" s="88" t="str">
        <f ca="1" t="shared" si="2"/>
        <v/>
      </c>
      <c r="S116" s="27"/>
      <c r="T116" s="27"/>
      <c r="U116" s="27"/>
      <c r="V116" s="27"/>
      <c r="W116" s="31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</row>
    <row r="117" ht="15.75" customHeight="1" spans="1:42">
      <c r="A117" s="29"/>
      <c r="B117" s="29"/>
      <c r="C117" s="29"/>
      <c r="D117" s="27"/>
      <c r="E117" s="27"/>
      <c r="F117" s="27" t="str">
        <f ca="1" t="shared" si="0"/>
        <v/>
      </c>
      <c r="G117" s="27" t="str">
        <f t="shared" si="1"/>
        <v/>
      </c>
      <c r="H117" s="27"/>
      <c r="I117" s="27"/>
      <c r="J117" s="27"/>
      <c r="K117" s="27"/>
      <c r="L117" s="32"/>
      <c r="M117" s="27"/>
      <c r="N117" s="27"/>
      <c r="O117" s="27"/>
      <c r="P117" s="27"/>
      <c r="Q117" s="31"/>
      <c r="R117" s="88" t="str">
        <f ca="1" t="shared" si="2"/>
        <v/>
      </c>
      <c r="S117" s="27"/>
      <c r="T117" s="27"/>
      <c r="U117" s="27"/>
      <c r="V117" s="27"/>
      <c r="W117" s="31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</row>
    <row r="118" ht="15.75" customHeight="1" spans="1:42">
      <c r="A118" s="29"/>
      <c r="B118" s="29"/>
      <c r="C118" s="29"/>
      <c r="D118" s="27"/>
      <c r="E118" s="27"/>
      <c r="F118" s="27" t="str">
        <f ca="1" t="shared" si="0"/>
        <v/>
      </c>
      <c r="G118" s="27" t="str">
        <f t="shared" si="1"/>
        <v/>
      </c>
      <c r="H118" s="27"/>
      <c r="I118" s="27"/>
      <c r="J118" s="27"/>
      <c r="K118" s="27"/>
      <c r="L118" s="32"/>
      <c r="M118" s="27"/>
      <c r="N118" s="27"/>
      <c r="O118" s="27"/>
      <c r="P118" s="27"/>
      <c r="Q118" s="31"/>
      <c r="R118" s="88" t="str">
        <f ca="1" t="shared" si="2"/>
        <v/>
      </c>
      <c r="S118" s="27"/>
      <c r="T118" s="27"/>
      <c r="U118" s="27"/>
      <c r="V118" s="27"/>
      <c r="W118" s="31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</row>
    <row r="119" ht="15.75" customHeight="1" spans="1:42">
      <c r="A119" s="29"/>
      <c r="B119" s="29"/>
      <c r="C119" s="29"/>
      <c r="D119" s="27"/>
      <c r="E119" s="27"/>
      <c r="F119" s="27" t="str">
        <f ca="1" t="shared" si="0"/>
        <v/>
      </c>
      <c r="G119" s="27" t="str">
        <f t="shared" si="1"/>
        <v/>
      </c>
      <c r="H119" s="27"/>
      <c r="I119" s="27"/>
      <c r="J119" s="27"/>
      <c r="K119" s="27"/>
      <c r="L119" s="32"/>
      <c r="M119" s="27"/>
      <c r="N119" s="27"/>
      <c r="O119" s="27"/>
      <c r="P119" s="27"/>
      <c r="Q119" s="31"/>
      <c r="R119" s="88" t="str">
        <f ca="1" t="shared" si="2"/>
        <v/>
      </c>
      <c r="S119" s="27"/>
      <c r="T119" s="27"/>
      <c r="U119" s="27"/>
      <c r="V119" s="27"/>
      <c r="W119" s="31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</row>
    <row r="120" ht="15.75" customHeight="1" spans="1:42">
      <c r="A120" s="29"/>
      <c r="B120" s="29"/>
      <c r="C120" s="29"/>
      <c r="D120" s="27"/>
      <c r="E120" s="27"/>
      <c r="F120" s="27" t="str">
        <f ca="1" t="shared" si="0"/>
        <v/>
      </c>
      <c r="G120" s="27" t="str">
        <f t="shared" si="1"/>
        <v/>
      </c>
      <c r="H120" s="27"/>
      <c r="I120" s="27"/>
      <c r="J120" s="27"/>
      <c r="K120" s="27"/>
      <c r="L120" s="32"/>
      <c r="M120" s="27"/>
      <c r="N120" s="27"/>
      <c r="O120" s="27"/>
      <c r="P120" s="27"/>
      <c r="Q120" s="31"/>
      <c r="R120" s="88" t="str">
        <f ca="1" t="shared" si="2"/>
        <v/>
      </c>
      <c r="S120" s="27"/>
      <c r="T120" s="27"/>
      <c r="U120" s="27"/>
      <c r="V120" s="27"/>
      <c r="W120" s="31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</row>
    <row r="121" ht="15.75" customHeight="1" spans="1:42">
      <c r="A121" s="29"/>
      <c r="B121" s="29"/>
      <c r="C121" s="29"/>
      <c r="D121" s="27"/>
      <c r="E121" s="27"/>
      <c r="F121" s="27" t="str">
        <f ca="1" t="shared" si="0"/>
        <v/>
      </c>
      <c r="G121" s="27" t="str">
        <f t="shared" si="1"/>
        <v/>
      </c>
      <c r="H121" s="27"/>
      <c r="I121" s="27"/>
      <c r="J121" s="27"/>
      <c r="K121" s="27"/>
      <c r="L121" s="32"/>
      <c r="M121" s="27"/>
      <c r="N121" s="27"/>
      <c r="O121" s="27"/>
      <c r="P121" s="27"/>
      <c r="Q121" s="31"/>
      <c r="R121" s="88" t="str">
        <f ca="1" t="shared" si="2"/>
        <v/>
      </c>
      <c r="S121" s="27"/>
      <c r="T121" s="27"/>
      <c r="U121" s="27"/>
      <c r="V121" s="27"/>
      <c r="W121" s="31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</row>
    <row r="122" ht="15.75" customHeight="1" spans="1:42">
      <c r="A122" s="29"/>
      <c r="B122" s="29"/>
      <c r="C122" s="29"/>
      <c r="D122" s="27"/>
      <c r="E122" s="27"/>
      <c r="F122" s="27" t="str">
        <f ca="1" t="shared" si="0"/>
        <v/>
      </c>
      <c r="G122" s="27" t="str">
        <f t="shared" si="1"/>
        <v/>
      </c>
      <c r="H122" s="27"/>
      <c r="I122" s="27"/>
      <c r="J122" s="27"/>
      <c r="K122" s="27"/>
      <c r="L122" s="32"/>
      <c r="M122" s="27"/>
      <c r="N122" s="27"/>
      <c r="O122" s="27"/>
      <c r="P122" s="27"/>
      <c r="Q122" s="31"/>
      <c r="R122" s="88" t="str">
        <f ca="1" t="shared" si="2"/>
        <v/>
      </c>
      <c r="S122" s="27"/>
      <c r="T122" s="27"/>
      <c r="U122" s="27"/>
      <c r="V122" s="27"/>
      <c r="W122" s="31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</row>
    <row r="123" ht="15.75" customHeight="1" spans="1:42">
      <c r="A123" s="29"/>
      <c r="B123" s="29"/>
      <c r="C123" s="29"/>
      <c r="D123" s="27"/>
      <c r="E123" s="27"/>
      <c r="F123" s="27" t="str">
        <f ca="1" t="shared" si="0"/>
        <v/>
      </c>
      <c r="G123" s="27" t="str">
        <f t="shared" si="1"/>
        <v/>
      </c>
      <c r="H123" s="27"/>
      <c r="I123" s="27"/>
      <c r="J123" s="27"/>
      <c r="K123" s="27"/>
      <c r="L123" s="32"/>
      <c r="M123" s="27"/>
      <c r="N123" s="27"/>
      <c r="O123" s="27"/>
      <c r="P123" s="27"/>
      <c r="Q123" s="31"/>
      <c r="R123" s="88" t="str">
        <f ca="1" t="shared" si="2"/>
        <v/>
      </c>
      <c r="S123" s="27"/>
      <c r="T123" s="27"/>
      <c r="U123" s="27"/>
      <c r="V123" s="27"/>
      <c r="W123" s="31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</row>
    <row r="124" ht="15.75" customHeight="1" spans="1:42">
      <c r="A124" s="29"/>
      <c r="B124" s="29"/>
      <c r="C124" s="29"/>
      <c r="D124" s="27"/>
      <c r="E124" s="27"/>
      <c r="F124" s="27" t="str">
        <f ca="1" t="shared" si="0"/>
        <v/>
      </c>
      <c r="G124" s="27" t="str">
        <f t="shared" si="1"/>
        <v/>
      </c>
      <c r="H124" s="27"/>
      <c r="I124" s="27"/>
      <c r="J124" s="27"/>
      <c r="K124" s="27"/>
      <c r="L124" s="32"/>
      <c r="M124" s="27"/>
      <c r="N124" s="27"/>
      <c r="O124" s="27"/>
      <c r="P124" s="27"/>
      <c r="Q124" s="31"/>
      <c r="R124" s="88" t="str">
        <f ca="1" t="shared" si="2"/>
        <v/>
      </c>
      <c r="S124" s="27"/>
      <c r="T124" s="27"/>
      <c r="U124" s="27"/>
      <c r="V124" s="27"/>
      <c r="W124" s="31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</row>
    <row r="125" ht="15.75" customHeight="1" spans="1:42">
      <c r="A125" s="29"/>
      <c r="B125" s="29"/>
      <c r="C125" s="29"/>
      <c r="D125" s="27"/>
      <c r="E125" s="27"/>
      <c r="F125" s="27" t="str">
        <f ca="1" t="shared" si="0"/>
        <v/>
      </c>
      <c r="G125" s="27" t="str">
        <f t="shared" si="1"/>
        <v/>
      </c>
      <c r="H125" s="27"/>
      <c r="I125" s="27"/>
      <c r="J125" s="27"/>
      <c r="K125" s="27"/>
      <c r="L125" s="32"/>
      <c r="M125" s="27"/>
      <c r="N125" s="27"/>
      <c r="O125" s="27"/>
      <c r="P125" s="27"/>
      <c r="Q125" s="31"/>
      <c r="R125" s="88" t="str">
        <f ca="1" t="shared" si="2"/>
        <v/>
      </c>
      <c r="S125" s="27"/>
      <c r="T125" s="27"/>
      <c r="U125" s="27"/>
      <c r="V125" s="27"/>
      <c r="W125" s="31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</row>
    <row r="126" ht="15.75" customHeight="1" spans="1:42">
      <c r="A126" s="29"/>
      <c r="B126" s="29"/>
      <c r="C126" s="29"/>
      <c r="D126" s="27"/>
      <c r="E126" s="27"/>
      <c r="F126" s="27" t="str">
        <f ca="1" t="shared" si="0"/>
        <v/>
      </c>
      <c r="G126" s="27" t="str">
        <f t="shared" si="1"/>
        <v/>
      </c>
      <c r="H126" s="27"/>
      <c r="I126" s="27"/>
      <c r="J126" s="27"/>
      <c r="K126" s="27"/>
      <c r="L126" s="32"/>
      <c r="M126" s="27"/>
      <c r="N126" s="27"/>
      <c r="O126" s="27"/>
      <c r="P126" s="27"/>
      <c r="Q126" s="31"/>
      <c r="R126" s="88" t="str">
        <f ca="1" t="shared" si="2"/>
        <v/>
      </c>
      <c r="S126" s="27"/>
      <c r="T126" s="27"/>
      <c r="U126" s="27"/>
      <c r="V126" s="27"/>
      <c r="W126" s="31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</row>
    <row r="127" ht="15.75" customHeight="1" spans="1:42">
      <c r="A127" s="29"/>
      <c r="B127" s="29"/>
      <c r="C127" s="29"/>
      <c r="D127" s="27"/>
      <c r="E127" s="27"/>
      <c r="F127" s="27" t="str">
        <f ca="1" t="shared" si="0"/>
        <v/>
      </c>
      <c r="G127" s="27" t="str">
        <f t="shared" si="1"/>
        <v/>
      </c>
      <c r="H127" s="27"/>
      <c r="I127" s="27"/>
      <c r="J127" s="27"/>
      <c r="K127" s="27"/>
      <c r="L127" s="32"/>
      <c r="M127" s="27"/>
      <c r="N127" s="27"/>
      <c r="O127" s="27"/>
      <c r="P127" s="27"/>
      <c r="Q127" s="31"/>
      <c r="R127" s="88" t="str">
        <f ca="1" t="shared" si="2"/>
        <v/>
      </c>
      <c r="S127" s="27"/>
      <c r="T127" s="27"/>
      <c r="U127" s="27"/>
      <c r="V127" s="27"/>
      <c r="W127" s="31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</row>
    <row r="128" ht="15.75" customHeight="1" spans="1:42">
      <c r="A128" s="29"/>
      <c r="B128" s="29"/>
      <c r="C128" s="29"/>
      <c r="D128" s="27"/>
      <c r="E128" s="27"/>
      <c r="F128" s="27" t="str">
        <f ca="1" t="shared" si="0"/>
        <v/>
      </c>
      <c r="G128" s="27" t="str">
        <f t="shared" si="1"/>
        <v/>
      </c>
      <c r="H128" s="27"/>
      <c r="I128" s="27"/>
      <c r="J128" s="27"/>
      <c r="K128" s="27"/>
      <c r="L128" s="32"/>
      <c r="M128" s="27"/>
      <c r="N128" s="27"/>
      <c r="O128" s="27"/>
      <c r="P128" s="27"/>
      <c r="Q128" s="31"/>
      <c r="R128" s="88" t="str">
        <f ca="1" t="shared" si="2"/>
        <v/>
      </c>
      <c r="S128" s="27"/>
      <c r="T128" s="27"/>
      <c r="U128" s="27"/>
      <c r="V128" s="27"/>
      <c r="W128" s="31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</row>
    <row r="129" ht="15.75" customHeight="1" spans="1:42">
      <c r="A129" s="29"/>
      <c r="B129" s="29"/>
      <c r="C129" s="29"/>
      <c r="D129" s="27"/>
      <c r="E129" s="27"/>
      <c r="F129" s="27" t="str">
        <f ca="1" t="shared" si="0"/>
        <v/>
      </c>
      <c r="G129" s="27" t="str">
        <f t="shared" si="1"/>
        <v/>
      </c>
      <c r="H129" s="27"/>
      <c r="I129" s="27"/>
      <c r="J129" s="27"/>
      <c r="K129" s="27"/>
      <c r="L129" s="32"/>
      <c r="M129" s="27"/>
      <c r="N129" s="27"/>
      <c r="O129" s="27"/>
      <c r="P129" s="27"/>
      <c r="Q129" s="31"/>
      <c r="R129" s="88" t="str">
        <f ca="1" t="shared" si="2"/>
        <v/>
      </c>
      <c r="S129" s="27"/>
      <c r="T129" s="27"/>
      <c r="U129" s="27"/>
      <c r="V129" s="27"/>
      <c r="W129" s="31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</row>
    <row r="130" ht="15.75" customHeight="1" spans="1:42">
      <c r="A130" s="29"/>
      <c r="B130" s="29"/>
      <c r="C130" s="29"/>
      <c r="D130" s="27"/>
      <c r="E130" s="27"/>
      <c r="F130" s="27" t="str">
        <f ca="1" t="shared" si="0"/>
        <v/>
      </c>
      <c r="G130" s="27" t="str">
        <f t="shared" si="1"/>
        <v/>
      </c>
      <c r="H130" s="27"/>
      <c r="I130" s="27"/>
      <c r="J130" s="27"/>
      <c r="K130" s="27"/>
      <c r="L130" s="32"/>
      <c r="M130" s="27"/>
      <c r="N130" s="27"/>
      <c r="O130" s="27"/>
      <c r="P130" s="27"/>
      <c r="Q130" s="31"/>
      <c r="R130" s="88" t="str">
        <f ca="1" t="shared" si="2"/>
        <v/>
      </c>
      <c r="S130" s="27"/>
      <c r="T130" s="27"/>
      <c r="U130" s="27"/>
      <c r="V130" s="27"/>
      <c r="W130" s="31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</row>
    <row r="131" ht="15.75" customHeight="1" spans="1:42">
      <c r="A131" s="29"/>
      <c r="B131" s="29"/>
      <c r="C131" s="29"/>
      <c r="D131" s="27"/>
      <c r="E131" s="27"/>
      <c r="F131" s="27" t="str">
        <f ca="1" t="shared" si="0"/>
        <v/>
      </c>
      <c r="G131" s="27" t="str">
        <f t="shared" si="1"/>
        <v/>
      </c>
      <c r="H131" s="27"/>
      <c r="I131" s="27"/>
      <c r="J131" s="27"/>
      <c r="K131" s="27"/>
      <c r="L131" s="32"/>
      <c r="M131" s="27"/>
      <c r="N131" s="27"/>
      <c r="O131" s="27"/>
      <c r="P131" s="27"/>
      <c r="Q131" s="31"/>
      <c r="R131" s="88" t="str">
        <f ca="1" t="shared" si="2"/>
        <v/>
      </c>
      <c r="S131" s="27"/>
      <c r="T131" s="27"/>
      <c r="U131" s="27"/>
      <c r="V131" s="27"/>
      <c r="W131" s="31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</row>
    <row r="132" ht="15.75" customHeight="1" spans="1:42">
      <c r="A132" s="29"/>
      <c r="B132" s="29"/>
      <c r="C132" s="29"/>
      <c r="D132" s="27"/>
      <c r="E132" s="27"/>
      <c r="F132" s="27" t="str">
        <f ca="1" t="shared" si="0"/>
        <v/>
      </c>
      <c r="G132" s="27" t="str">
        <f t="shared" si="1"/>
        <v/>
      </c>
      <c r="H132" s="27"/>
      <c r="I132" s="27"/>
      <c r="J132" s="27"/>
      <c r="K132" s="27"/>
      <c r="L132" s="32"/>
      <c r="M132" s="27"/>
      <c r="N132" s="27"/>
      <c r="O132" s="27"/>
      <c r="P132" s="27"/>
      <c r="Q132" s="31"/>
      <c r="R132" s="88" t="str">
        <f ca="1" t="shared" si="2"/>
        <v/>
      </c>
      <c r="S132" s="27"/>
      <c r="T132" s="27"/>
      <c r="U132" s="27"/>
      <c r="V132" s="27"/>
      <c r="W132" s="31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</row>
    <row r="133" ht="15.75" customHeight="1" spans="1:42">
      <c r="A133" s="29"/>
      <c r="B133" s="29"/>
      <c r="C133" s="29"/>
      <c r="D133" s="27"/>
      <c r="E133" s="27"/>
      <c r="F133" s="27" t="str">
        <f ca="1" t="shared" si="0"/>
        <v/>
      </c>
      <c r="G133" s="27" t="str">
        <f t="shared" si="1"/>
        <v/>
      </c>
      <c r="H133" s="27"/>
      <c r="I133" s="27"/>
      <c r="J133" s="27"/>
      <c r="K133" s="27"/>
      <c r="L133" s="32"/>
      <c r="M133" s="27"/>
      <c r="N133" s="27"/>
      <c r="O133" s="27"/>
      <c r="P133" s="27"/>
      <c r="Q133" s="31"/>
      <c r="R133" s="88" t="str">
        <f ca="1" t="shared" si="2"/>
        <v/>
      </c>
      <c r="S133" s="27"/>
      <c r="T133" s="27"/>
      <c r="U133" s="27"/>
      <c r="V133" s="27"/>
      <c r="W133" s="31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</row>
    <row r="134" ht="15.75" customHeight="1" spans="1:42">
      <c r="A134" s="29"/>
      <c r="B134" s="29"/>
      <c r="C134" s="29"/>
      <c r="D134" s="27"/>
      <c r="E134" s="27"/>
      <c r="F134" s="27" t="str">
        <f ca="1" t="shared" si="0"/>
        <v/>
      </c>
      <c r="G134" s="27" t="str">
        <f t="shared" si="1"/>
        <v/>
      </c>
      <c r="H134" s="27"/>
      <c r="I134" s="27"/>
      <c r="J134" s="27"/>
      <c r="K134" s="27"/>
      <c r="L134" s="32"/>
      <c r="M134" s="27"/>
      <c r="N134" s="27"/>
      <c r="O134" s="27"/>
      <c r="P134" s="27"/>
      <c r="Q134" s="31"/>
      <c r="R134" s="88" t="str">
        <f ca="1" t="shared" si="2"/>
        <v/>
      </c>
      <c r="S134" s="27"/>
      <c r="T134" s="27"/>
      <c r="U134" s="27"/>
      <c r="V134" s="27"/>
      <c r="W134" s="31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</row>
    <row r="135" ht="15.75" customHeight="1" spans="1:42">
      <c r="A135" s="29"/>
      <c r="B135" s="29"/>
      <c r="C135" s="29"/>
      <c r="D135" s="27"/>
      <c r="E135" s="27"/>
      <c r="F135" s="27" t="str">
        <f ca="1" t="shared" si="0"/>
        <v/>
      </c>
      <c r="G135" s="27" t="str">
        <f t="shared" si="1"/>
        <v/>
      </c>
      <c r="H135" s="27"/>
      <c r="I135" s="27"/>
      <c r="J135" s="27"/>
      <c r="K135" s="27"/>
      <c r="L135" s="32"/>
      <c r="M135" s="27"/>
      <c r="N135" s="27"/>
      <c r="O135" s="27"/>
      <c r="P135" s="27"/>
      <c r="Q135" s="31"/>
      <c r="R135" s="88" t="str">
        <f ca="1" t="shared" si="2"/>
        <v/>
      </c>
      <c r="S135" s="27"/>
      <c r="T135" s="27"/>
      <c r="U135" s="27"/>
      <c r="V135" s="27"/>
      <c r="W135" s="31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</row>
    <row r="136" ht="15.75" customHeight="1" spans="1:42">
      <c r="A136" s="29"/>
      <c r="B136" s="29"/>
      <c r="C136" s="29"/>
      <c r="D136" s="27"/>
      <c r="E136" s="27"/>
      <c r="F136" s="27" t="str">
        <f ca="1" t="shared" si="0"/>
        <v/>
      </c>
      <c r="G136" s="27" t="str">
        <f t="shared" si="1"/>
        <v/>
      </c>
      <c r="H136" s="27"/>
      <c r="I136" s="27"/>
      <c r="J136" s="27"/>
      <c r="K136" s="27"/>
      <c r="L136" s="32"/>
      <c r="M136" s="27"/>
      <c r="N136" s="27"/>
      <c r="O136" s="27"/>
      <c r="P136" s="27"/>
      <c r="Q136" s="31"/>
      <c r="R136" s="88" t="str">
        <f ca="1" t="shared" si="2"/>
        <v/>
      </c>
      <c r="S136" s="27"/>
      <c r="T136" s="27"/>
      <c r="U136" s="27"/>
      <c r="V136" s="27"/>
      <c r="W136" s="31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</row>
    <row r="137" ht="15.75" customHeight="1" spans="1:42">
      <c r="A137" s="29"/>
      <c r="B137" s="29"/>
      <c r="C137" s="29"/>
      <c r="D137" s="27"/>
      <c r="E137" s="27"/>
      <c r="F137" s="27" t="str">
        <f ca="1" t="shared" si="0"/>
        <v/>
      </c>
      <c r="G137" s="27" t="str">
        <f t="shared" si="1"/>
        <v/>
      </c>
      <c r="H137" s="27"/>
      <c r="I137" s="27"/>
      <c r="J137" s="27"/>
      <c r="K137" s="27"/>
      <c r="L137" s="32"/>
      <c r="M137" s="27"/>
      <c r="N137" s="27"/>
      <c r="O137" s="27"/>
      <c r="P137" s="27"/>
      <c r="Q137" s="31"/>
      <c r="R137" s="88" t="str">
        <f ca="1" t="shared" si="2"/>
        <v/>
      </c>
      <c r="S137" s="27"/>
      <c r="T137" s="27"/>
      <c r="U137" s="27"/>
      <c r="V137" s="27"/>
      <c r="W137" s="31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</row>
    <row r="138" ht="15.75" customHeight="1" spans="1:42">
      <c r="A138" s="29"/>
      <c r="B138" s="29"/>
      <c r="C138" s="29"/>
      <c r="D138" s="27"/>
      <c r="E138" s="27"/>
      <c r="F138" s="27" t="str">
        <f ca="1" t="shared" si="0"/>
        <v/>
      </c>
      <c r="G138" s="27" t="str">
        <f t="shared" si="1"/>
        <v/>
      </c>
      <c r="H138" s="27"/>
      <c r="I138" s="27"/>
      <c r="J138" s="27"/>
      <c r="K138" s="27"/>
      <c r="L138" s="32"/>
      <c r="M138" s="27"/>
      <c r="N138" s="27"/>
      <c r="O138" s="27"/>
      <c r="P138" s="27"/>
      <c r="Q138" s="31"/>
      <c r="R138" s="88" t="str">
        <f ca="1" t="shared" si="2"/>
        <v/>
      </c>
      <c r="S138" s="27"/>
      <c r="T138" s="27"/>
      <c r="U138" s="27"/>
      <c r="V138" s="27"/>
      <c r="W138" s="31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</row>
    <row r="139" ht="15.75" customHeight="1" spans="1:42">
      <c r="A139" s="29"/>
      <c r="B139" s="29"/>
      <c r="C139" s="29"/>
      <c r="D139" s="27"/>
      <c r="E139" s="27"/>
      <c r="F139" s="27" t="str">
        <f ca="1" t="shared" si="0"/>
        <v/>
      </c>
      <c r="G139" s="27" t="str">
        <f t="shared" si="1"/>
        <v/>
      </c>
      <c r="H139" s="27"/>
      <c r="I139" s="27"/>
      <c r="J139" s="27"/>
      <c r="K139" s="27"/>
      <c r="L139" s="32"/>
      <c r="M139" s="27"/>
      <c r="N139" s="27"/>
      <c r="O139" s="27"/>
      <c r="P139" s="27"/>
      <c r="Q139" s="31"/>
      <c r="R139" s="88" t="str">
        <f ca="1" t="shared" si="2"/>
        <v/>
      </c>
      <c r="S139" s="27"/>
      <c r="T139" s="27"/>
      <c r="U139" s="27"/>
      <c r="V139" s="27"/>
      <c r="W139" s="31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</row>
    <row r="140" ht="15.75" customHeight="1" spans="1:42">
      <c r="A140" s="29"/>
      <c r="B140" s="29"/>
      <c r="C140" s="29"/>
      <c r="D140" s="27"/>
      <c r="E140" s="27"/>
      <c r="F140" s="27" t="str">
        <f ca="1" t="shared" si="0"/>
        <v/>
      </c>
      <c r="G140" s="27" t="str">
        <f t="shared" si="1"/>
        <v/>
      </c>
      <c r="H140" s="27"/>
      <c r="I140" s="27"/>
      <c r="J140" s="27"/>
      <c r="K140" s="27"/>
      <c r="L140" s="32"/>
      <c r="M140" s="27"/>
      <c r="N140" s="27"/>
      <c r="O140" s="27"/>
      <c r="P140" s="27"/>
      <c r="Q140" s="31"/>
      <c r="R140" s="88" t="str">
        <f ca="1" t="shared" si="2"/>
        <v/>
      </c>
      <c r="S140" s="27"/>
      <c r="T140" s="27"/>
      <c r="U140" s="27"/>
      <c r="V140" s="27"/>
      <c r="W140" s="31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</row>
    <row r="141" ht="15.75" customHeight="1" spans="1:42">
      <c r="A141" s="29"/>
      <c r="B141" s="29"/>
      <c r="C141" s="29"/>
      <c r="D141" s="27"/>
      <c r="E141" s="27"/>
      <c r="F141" s="27" t="str">
        <f ca="1" t="shared" si="0"/>
        <v/>
      </c>
      <c r="G141" s="27" t="str">
        <f t="shared" si="1"/>
        <v/>
      </c>
      <c r="H141" s="27"/>
      <c r="I141" s="27"/>
      <c r="J141" s="27"/>
      <c r="K141" s="27"/>
      <c r="L141" s="32"/>
      <c r="M141" s="27"/>
      <c r="N141" s="27"/>
      <c r="O141" s="27"/>
      <c r="P141" s="27"/>
      <c r="Q141" s="31"/>
      <c r="R141" s="88" t="str">
        <f ca="1" t="shared" si="2"/>
        <v/>
      </c>
      <c r="S141" s="27"/>
      <c r="T141" s="27"/>
      <c r="U141" s="27"/>
      <c r="V141" s="27"/>
      <c r="W141" s="31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</row>
    <row r="142" ht="15.75" customHeight="1" spans="1:42">
      <c r="A142" s="29"/>
      <c r="B142" s="29"/>
      <c r="C142" s="29"/>
      <c r="D142" s="27"/>
      <c r="E142" s="27"/>
      <c r="F142" s="27" t="str">
        <f ca="1" t="shared" si="0"/>
        <v/>
      </c>
      <c r="G142" s="27" t="str">
        <f t="shared" si="1"/>
        <v/>
      </c>
      <c r="H142" s="27"/>
      <c r="I142" s="27"/>
      <c r="J142" s="27"/>
      <c r="K142" s="27"/>
      <c r="L142" s="32"/>
      <c r="M142" s="27"/>
      <c r="N142" s="27"/>
      <c r="O142" s="27"/>
      <c r="P142" s="27"/>
      <c r="Q142" s="31"/>
      <c r="R142" s="88" t="str">
        <f ca="1" t="shared" si="2"/>
        <v/>
      </c>
      <c r="S142" s="27"/>
      <c r="T142" s="27"/>
      <c r="U142" s="27"/>
      <c r="V142" s="27"/>
      <c r="W142" s="31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</row>
    <row r="143" ht="15.75" customHeight="1" spans="1:42">
      <c r="A143" s="29"/>
      <c r="B143" s="29"/>
      <c r="C143" s="29"/>
      <c r="D143" s="27"/>
      <c r="E143" s="27"/>
      <c r="F143" s="27" t="str">
        <f ca="1" t="shared" si="0"/>
        <v/>
      </c>
      <c r="G143" s="27" t="str">
        <f t="shared" si="1"/>
        <v/>
      </c>
      <c r="H143" s="27"/>
      <c r="I143" s="27"/>
      <c r="J143" s="27"/>
      <c r="K143" s="27"/>
      <c r="L143" s="32"/>
      <c r="M143" s="27"/>
      <c r="N143" s="27"/>
      <c r="O143" s="27"/>
      <c r="P143" s="27"/>
      <c r="Q143" s="31"/>
      <c r="R143" s="88" t="str">
        <f ca="1" t="shared" si="2"/>
        <v/>
      </c>
      <c r="S143" s="27"/>
      <c r="T143" s="27"/>
      <c r="U143" s="27"/>
      <c r="V143" s="27"/>
      <c r="W143" s="31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</row>
    <row r="144" ht="15.75" customHeight="1" spans="1:42">
      <c r="A144" s="29"/>
      <c r="B144" s="29"/>
      <c r="C144" s="29"/>
      <c r="D144" s="27"/>
      <c r="E144" s="27"/>
      <c r="F144" s="27" t="str">
        <f ca="1" t="shared" si="0"/>
        <v/>
      </c>
      <c r="G144" s="27" t="str">
        <f t="shared" si="1"/>
        <v/>
      </c>
      <c r="H144" s="27"/>
      <c r="I144" s="27"/>
      <c r="J144" s="27"/>
      <c r="K144" s="27"/>
      <c r="L144" s="32"/>
      <c r="M144" s="27"/>
      <c r="N144" s="27"/>
      <c r="O144" s="27"/>
      <c r="P144" s="27"/>
      <c r="Q144" s="31"/>
      <c r="R144" s="88" t="str">
        <f ca="1" t="shared" si="2"/>
        <v/>
      </c>
      <c r="S144" s="27"/>
      <c r="T144" s="27"/>
      <c r="U144" s="27"/>
      <c r="V144" s="27"/>
      <c r="W144" s="31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</row>
    <row r="145" ht="15.75" customHeight="1" spans="1:42">
      <c r="A145" s="29"/>
      <c r="B145" s="29"/>
      <c r="C145" s="29"/>
      <c r="D145" s="27"/>
      <c r="E145" s="27"/>
      <c r="F145" s="27" t="str">
        <f ca="1" t="shared" si="0"/>
        <v/>
      </c>
      <c r="G145" s="27" t="str">
        <f t="shared" si="1"/>
        <v/>
      </c>
      <c r="H145" s="27"/>
      <c r="I145" s="27"/>
      <c r="J145" s="27"/>
      <c r="K145" s="27"/>
      <c r="L145" s="32"/>
      <c r="M145" s="27"/>
      <c r="N145" s="27"/>
      <c r="O145" s="27"/>
      <c r="P145" s="27"/>
      <c r="Q145" s="31"/>
      <c r="R145" s="88" t="str">
        <f ca="1" t="shared" si="2"/>
        <v/>
      </c>
      <c r="S145" s="27"/>
      <c r="T145" s="27"/>
      <c r="U145" s="27"/>
      <c r="V145" s="27"/>
      <c r="W145" s="31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</row>
    <row r="146" ht="15.75" customHeight="1" spans="1:42">
      <c r="A146" s="29"/>
      <c r="B146" s="29"/>
      <c r="C146" s="29"/>
      <c r="D146" s="27"/>
      <c r="E146" s="27"/>
      <c r="F146" s="27" t="str">
        <f ca="1" t="shared" si="0"/>
        <v/>
      </c>
      <c r="G146" s="27" t="str">
        <f t="shared" si="1"/>
        <v/>
      </c>
      <c r="H146" s="27"/>
      <c r="I146" s="27"/>
      <c r="J146" s="27"/>
      <c r="K146" s="27"/>
      <c r="L146" s="32"/>
      <c r="M146" s="27"/>
      <c r="N146" s="27"/>
      <c r="O146" s="27"/>
      <c r="P146" s="27"/>
      <c r="Q146" s="31"/>
      <c r="R146" s="88" t="str">
        <f ca="1" t="shared" si="2"/>
        <v/>
      </c>
      <c r="S146" s="27"/>
      <c r="T146" s="27"/>
      <c r="U146" s="27"/>
      <c r="V146" s="27"/>
      <c r="W146" s="31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</row>
    <row r="147" ht="15.75" customHeight="1" spans="1:42">
      <c r="A147" s="29"/>
      <c r="B147" s="29"/>
      <c r="C147" s="29"/>
      <c r="D147" s="27"/>
      <c r="E147" s="27"/>
      <c r="F147" s="27" t="str">
        <f ca="1" t="shared" si="0"/>
        <v/>
      </c>
      <c r="G147" s="27" t="str">
        <f t="shared" si="1"/>
        <v/>
      </c>
      <c r="H147" s="27"/>
      <c r="I147" s="27"/>
      <c r="J147" s="27"/>
      <c r="K147" s="27"/>
      <c r="L147" s="32"/>
      <c r="M147" s="27"/>
      <c r="N147" s="27"/>
      <c r="O147" s="27"/>
      <c r="P147" s="27"/>
      <c r="Q147" s="31"/>
      <c r="R147" s="88" t="str">
        <f ca="1" t="shared" si="2"/>
        <v/>
      </c>
      <c r="S147" s="27"/>
      <c r="T147" s="27"/>
      <c r="U147" s="27"/>
      <c r="V147" s="27"/>
      <c r="W147" s="31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</row>
    <row r="148" ht="15.75" customHeight="1" spans="1:42">
      <c r="A148" s="29"/>
      <c r="B148" s="29"/>
      <c r="C148" s="29"/>
      <c r="D148" s="27"/>
      <c r="E148" s="27"/>
      <c r="F148" s="27" t="str">
        <f ca="1" t="shared" si="0"/>
        <v/>
      </c>
      <c r="G148" s="27" t="str">
        <f t="shared" si="1"/>
        <v/>
      </c>
      <c r="H148" s="27"/>
      <c r="I148" s="27"/>
      <c r="J148" s="27"/>
      <c r="K148" s="27"/>
      <c r="L148" s="32"/>
      <c r="M148" s="27"/>
      <c r="N148" s="27"/>
      <c r="O148" s="27"/>
      <c r="P148" s="27"/>
      <c r="Q148" s="31"/>
      <c r="R148" s="88" t="str">
        <f ca="1" t="shared" si="2"/>
        <v/>
      </c>
      <c r="S148" s="27"/>
      <c r="T148" s="27"/>
      <c r="U148" s="27"/>
      <c r="V148" s="27"/>
      <c r="W148" s="31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</row>
    <row r="149" ht="15.75" customHeight="1" spans="1:42">
      <c r="A149" s="29"/>
      <c r="B149" s="29"/>
      <c r="C149" s="29"/>
      <c r="D149" s="27"/>
      <c r="E149" s="27"/>
      <c r="F149" s="27" t="str">
        <f ca="1" t="shared" si="0"/>
        <v/>
      </c>
      <c r="G149" s="27" t="str">
        <f t="shared" si="1"/>
        <v/>
      </c>
      <c r="H149" s="27"/>
      <c r="I149" s="27"/>
      <c r="J149" s="27"/>
      <c r="K149" s="27"/>
      <c r="L149" s="32"/>
      <c r="M149" s="27"/>
      <c r="N149" s="27"/>
      <c r="O149" s="27"/>
      <c r="P149" s="27"/>
      <c r="Q149" s="31"/>
      <c r="R149" s="88" t="str">
        <f ca="1" t="shared" si="2"/>
        <v/>
      </c>
      <c r="S149" s="27"/>
      <c r="T149" s="27"/>
      <c r="U149" s="27"/>
      <c r="V149" s="27"/>
      <c r="W149" s="31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</row>
    <row r="150" ht="15.75" customHeight="1" spans="1:42">
      <c r="A150" s="29"/>
      <c r="B150" s="29"/>
      <c r="C150" s="29"/>
      <c r="D150" s="27"/>
      <c r="E150" s="27"/>
      <c r="F150" s="27" t="str">
        <f ca="1" t="shared" si="0"/>
        <v/>
      </c>
      <c r="G150" s="27" t="str">
        <f t="shared" si="1"/>
        <v/>
      </c>
      <c r="H150" s="27"/>
      <c r="I150" s="27"/>
      <c r="J150" s="27"/>
      <c r="K150" s="27"/>
      <c r="L150" s="32"/>
      <c r="M150" s="27"/>
      <c r="N150" s="27"/>
      <c r="O150" s="27"/>
      <c r="P150" s="27"/>
      <c r="Q150" s="31"/>
      <c r="R150" s="88" t="str">
        <f ca="1" t="shared" si="2"/>
        <v/>
      </c>
      <c r="S150" s="27"/>
      <c r="T150" s="27"/>
      <c r="U150" s="27"/>
      <c r="V150" s="27"/>
      <c r="W150" s="31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</row>
    <row r="151" ht="15.75" customHeight="1" spans="1:42">
      <c r="A151" s="29"/>
      <c r="B151" s="29"/>
      <c r="C151" s="29"/>
      <c r="D151" s="27"/>
      <c r="E151" s="27"/>
      <c r="F151" s="27" t="str">
        <f ca="1" t="shared" si="0"/>
        <v/>
      </c>
      <c r="G151" s="27" t="str">
        <f t="shared" si="1"/>
        <v/>
      </c>
      <c r="H151" s="27"/>
      <c r="I151" s="27"/>
      <c r="J151" s="27"/>
      <c r="K151" s="27"/>
      <c r="L151" s="32"/>
      <c r="M151" s="27"/>
      <c r="N151" s="27"/>
      <c r="O151" s="27"/>
      <c r="P151" s="27"/>
      <c r="Q151" s="31"/>
      <c r="R151" s="88" t="str">
        <f ca="1" t="shared" si="2"/>
        <v/>
      </c>
      <c r="S151" s="27"/>
      <c r="T151" s="27"/>
      <c r="U151" s="27"/>
      <c r="V151" s="27"/>
      <c r="W151" s="31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</row>
    <row r="152" ht="15.75" customHeight="1" spans="1:42">
      <c r="A152" s="29"/>
      <c r="B152" s="29"/>
      <c r="C152" s="29"/>
      <c r="D152" s="27"/>
      <c r="E152" s="27"/>
      <c r="F152" s="27" t="str">
        <f ca="1" t="shared" si="0"/>
        <v/>
      </c>
      <c r="G152" s="27" t="str">
        <f t="shared" si="1"/>
        <v/>
      </c>
      <c r="H152" s="27"/>
      <c r="I152" s="27"/>
      <c r="J152" s="27"/>
      <c r="K152" s="27"/>
      <c r="L152" s="32"/>
      <c r="M152" s="27"/>
      <c r="N152" s="27"/>
      <c r="O152" s="27"/>
      <c r="P152" s="27"/>
      <c r="Q152" s="31"/>
      <c r="R152" s="88" t="str">
        <f ca="1" t="shared" si="2"/>
        <v/>
      </c>
      <c r="S152" s="27"/>
      <c r="T152" s="27"/>
      <c r="U152" s="27"/>
      <c r="V152" s="27"/>
      <c r="W152" s="31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</row>
    <row r="153" ht="15.75" customHeight="1" spans="1:42">
      <c r="A153" s="29"/>
      <c r="B153" s="29"/>
      <c r="C153" s="29"/>
      <c r="D153" s="27"/>
      <c r="E153" s="27"/>
      <c r="F153" s="27" t="str">
        <f ca="1" t="shared" si="0"/>
        <v/>
      </c>
      <c r="G153" s="27" t="str">
        <f t="shared" si="1"/>
        <v/>
      </c>
      <c r="H153" s="27"/>
      <c r="I153" s="27"/>
      <c r="J153" s="27"/>
      <c r="K153" s="27"/>
      <c r="L153" s="32"/>
      <c r="M153" s="27"/>
      <c r="N153" s="27"/>
      <c r="O153" s="27"/>
      <c r="P153" s="27"/>
      <c r="Q153" s="31"/>
      <c r="R153" s="88" t="str">
        <f ca="1" t="shared" si="2"/>
        <v/>
      </c>
      <c r="S153" s="27"/>
      <c r="T153" s="27"/>
      <c r="U153" s="27"/>
      <c r="V153" s="27"/>
      <c r="W153" s="31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</row>
    <row r="154" ht="15.75" customHeight="1" spans="1:42">
      <c r="A154" s="29"/>
      <c r="B154" s="29"/>
      <c r="C154" s="29"/>
      <c r="D154" s="27"/>
      <c r="E154" s="27"/>
      <c r="F154" s="27" t="str">
        <f ca="1" t="shared" si="0"/>
        <v/>
      </c>
      <c r="G154" s="27" t="str">
        <f t="shared" si="1"/>
        <v/>
      </c>
      <c r="H154" s="27"/>
      <c r="I154" s="27"/>
      <c r="J154" s="27"/>
      <c r="K154" s="27"/>
      <c r="L154" s="32"/>
      <c r="M154" s="27"/>
      <c r="N154" s="27"/>
      <c r="O154" s="27"/>
      <c r="P154" s="27"/>
      <c r="Q154" s="31"/>
      <c r="R154" s="88" t="str">
        <f ca="1" t="shared" si="2"/>
        <v/>
      </c>
      <c r="S154" s="27"/>
      <c r="T154" s="27"/>
      <c r="U154" s="27"/>
      <c r="V154" s="27"/>
      <c r="W154" s="31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</row>
    <row r="155" ht="15.75" customHeight="1" spans="1:42">
      <c r="A155" s="29"/>
      <c r="B155" s="29"/>
      <c r="C155" s="29"/>
      <c r="D155" s="27"/>
      <c r="E155" s="27"/>
      <c r="F155" s="27" t="str">
        <f ca="1" t="shared" si="0"/>
        <v/>
      </c>
      <c r="G155" s="27" t="str">
        <f t="shared" si="1"/>
        <v/>
      </c>
      <c r="H155" s="27"/>
      <c r="I155" s="27"/>
      <c r="J155" s="27"/>
      <c r="K155" s="27"/>
      <c r="L155" s="32"/>
      <c r="M155" s="27"/>
      <c r="N155" s="27"/>
      <c r="O155" s="27"/>
      <c r="P155" s="27"/>
      <c r="Q155" s="31"/>
      <c r="R155" s="88" t="str">
        <f ca="1" t="shared" si="2"/>
        <v/>
      </c>
      <c r="S155" s="27"/>
      <c r="T155" s="27"/>
      <c r="U155" s="27"/>
      <c r="V155" s="27"/>
      <c r="W155" s="31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</row>
    <row r="156" ht="15.75" customHeight="1" spans="1:42">
      <c r="A156" s="29"/>
      <c r="B156" s="29"/>
      <c r="C156" s="29"/>
      <c r="D156" s="27"/>
      <c r="E156" s="27"/>
      <c r="F156" s="27" t="str">
        <f ca="1" t="shared" si="0"/>
        <v/>
      </c>
      <c r="G156" s="27" t="str">
        <f t="shared" si="1"/>
        <v/>
      </c>
      <c r="H156" s="27"/>
      <c r="I156" s="27"/>
      <c r="J156" s="27"/>
      <c r="K156" s="27"/>
      <c r="L156" s="32"/>
      <c r="M156" s="27"/>
      <c r="N156" s="27"/>
      <c r="O156" s="27"/>
      <c r="P156" s="27"/>
      <c r="Q156" s="31"/>
      <c r="R156" s="88" t="str">
        <f ca="1" t="shared" si="2"/>
        <v/>
      </c>
      <c r="S156" s="27"/>
      <c r="T156" s="27"/>
      <c r="U156" s="27"/>
      <c r="V156" s="27"/>
      <c r="W156" s="31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</row>
    <row r="157" ht="15.75" customHeight="1" spans="1:42">
      <c r="A157" s="29"/>
      <c r="B157" s="29"/>
      <c r="C157" s="29"/>
      <c r="D157" s="27"/>
      <c r="E157" s="27"/>
      <c r="F157" s="27" t="str">
        <f ca="1" t="shared" si="0"/>
        <v/>
      </c>
      <c r="G157" s="27" t="str">
        <f t="shared" si="1"/>
        <v/>
      </c>
      <c r="H157" s="27"/>
      <c r="I157" s="27"/>
      <c r="J157" s="27"/>
      <c r="K157" s="27"/>
      <c r="L157" s="32"/>
      <c r="M157" s="27"/>
      <c r="N157" s="27"/>
      <c r="O157" s="27"/>
      <c r="P157" s="27"/>
      <c r="Q157" s="31"/>
      <c r="R157" s="88" t="str">
        <f ca="1" t="shared" si="2"/>
        <v/>
      </c>
      <c r="S157" s="27"/>
      <c r="T157" s="27"/>
      <c r="U157" s="27"/>
      <c r="V157" s="27"/>
      <c r="W157" s="31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</row>
    <row r="158" ht="15.75" customHeight="1" spans="1:42">
      <c r="A158" s="29"/>
      <c r="B158" s="29"/>
      <c r="C158" s="29"/>
      <c r="D158" s="27"/>
      <c r="E158" s="27"/>
      <c r="F158" s="27" t="str">
        <f ca="1" t="shared" si="0"/>
        <v/>
      </c>
      <c r="G158" s="27" t="str">
        <f t="shared" si="1"/>
        <v/>
      </c>
      <c r="H158" s="27"/>
      <c r="I158" s="27"/>
      <c r="J158" s="27"/>
      <c r="K158" s="27"/>
      <c r="L158" s="32"/>
      <c r="M158" s="27"/>
      <c r="N158" s="27"/>
      <c r="O158" s="27"/>
      <c r="P158" s="27"/>
      <c r="Q158" s="31"/>
      <c r="R158" s="88" t="str">
        <f ca="1" t="shared" si="2"/>
        <v/>
      </c>
      <c r="S158" s="27"/>
      <c r="T158" s="27"/>
      <c r="U158" s="27"/>
      <c r="V158" s="27"/>
      <c r="W158" s="31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</row>
    <row r="159" ht="15.75" customHeight="1" spans="1:42">
      <c r="A159" s="29"/>
      <c r="B159" s="29"/>
      <c r="C159" s="29"/>
      <c r="D159" s="27"/>
      <c r="E159" s="27"/>
      <c r="F159" s="27" t="str">
        <f ca="1" t="shared" si="0"/>
        <v/>
      </c>
      <c r="G159" s="27" t="str">
        <f t="shared" si="1"/>
        <v/>
      </c>
      <c r="H159" s="27"/>
      <c r="I159" s="27"/>
      <c r="J159" s="27"/>
      <c r="K159" s="27"/>
      <c r="L159" s="32"/>
      <c r="M159" s="27"/>
      <c r="N159" s="27"/>
      <c r="O159" s="27"/>
      <c r="P159" s="27"/>
      <c r="Q159" s="31"/>
      <c r="R159" s="88" t="str">
        <f ca="1" t="shared" si="2"/>
        <v/>
      </c>
      <c r="S159" s="27"/>
      <c r="T159" s="27"/>
      <c r="U159" s="27"/>
      <c r="V159" s="27"/>
      <c r="W159" s="31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</row>
    <row r="160" ht="15.75" customHeight="1" spans="1:42">
      <c r="A160" s="29"/>
      <c r="B160" s="29"/>
      <c r="C160" s="29"/>
      <c r="D160" s="27"/>
      <c r="E160" s="27"/>
      <c r="F160" s="27" t="str">
        <f ca="1" t="shared" si="0"/>
        <v/>
      </c>
      <c r="G160" s="27" t="str">
        <f t="shared" si="1"/>
        <v/>
      </c>
      <c r="H160" s="27"/>
      <c r="I160" s="27"/>
      <c r="J160" s="27"/>
      <c r="K160" s="27"/>
      <c r="L160" s="32"/>
      <c r="M160" s="27"/>
      <c r="N160" s="27"/>
      <c r="O160" s="27"/>
      <c r="P160" s="27"/>
      <c r="Q160" s="31"/>
      <c r="R160" s="88" t="str">
        <f ca="1" t="shared" si="2"/>
        <v/>
      </c>
      <c r="S160" s="27"/>
      <c r="T160" s="27"/>
      <c r="U160" s="27"/>
      <c r="V160" s="27"/>
      <c r="W160" s="31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</row>
    <row r="161" ht="15.75" customHeight="1" spans="1:42">
      <c r="A161" s="29"/>
      <c r="B161" s="29"/>
      <c r="C161" s="29"/>
      <c r="D161" s="27"/>
      <c r="E161" s="27"/>
      <c r="F161" s="27" t="str">
        <f ca="1" t="shared" si="0"/>
        <v/>
      </c>
      <c r="G161" s="27" t="str">
        <f t="shared" si="1"/>
        <v/>
      </c>
      <c r="H161" s="27"/>
      <c r="I161" s="27"/>
      <c r="J161" s="27"/>
      <c r="K161" s="27"/>
      <c r="L161" s="32"/>
      <c r="M161" s="27"/>
      <c r="N161" s="27"/>
      <c r="O161" s="27"/>
      <c r="P161" s="27"/>
      <c r="Q161" s="31"/>
      <c r="R161" s="88" t="str">
        <f ca="1" t="shared" si="2"/>
        <v/>
      </c>
      <c r="S161" s="27"/>
      <c r="T161" s="27"/>
      <c r="U161" s="27"/>
      <c r="V161" s="27"/>
      <c r="W161" s="31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</row>
    <row r="162" ht="15.75" customHeight="1" spans="1:42">
      <c r="A162" s="29"/>
      <c r="B162" s="29"/>
      <c r="C162" s="29"/>
      <c r="D162" s="27"/>
      <c r="E162" s="27"/>
      <c r="F162" s="27" t="str">
        <f ca="1" t="shared" si="0"/>
        <v/>
      </c>
      <c r="G162" s="27" t="str">
        <f t="shared" si="1"/>
        <v/>
      </c>
      <c r="H162" s="27"/>
      <c r="I162" s="27"/>
      <c r="J162" s="27"/>
      <c r="K162" s="27"/>
      <c r="L162" s="32"/>
      <c r="M162" s="27"/>
      <c r="N162" s="27"/>
      <c r="O162" s="27"/>
      <c r="P162" s="27"/>
      <c r="Q162" s="31"/>
      <c r="R162" s="88" t="str">
        <f ca="1" t="shared" si="2"/>
        <v/>
      </c>
      <c r="S162" s="27"/>
      <c r="T162" s="27"/>
      <c r="U162" s="27"/>
      <c r="V162" s="27"/>
      <c r="W162" s="31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</row>
    <row r="163" ht="15.75" customHeight="1" spans="1:42">
      <c r="A163" s="29"/>
      <c r="B163" s="29"/>
      <c r="C163" s="29"/>
      <c r="D163" s="27"/>
      <c r="E163" s="27"/>
      <c r="F163" s="27" t="str">
        <f ca="1" t="shared" si="0"/>
        <v/>
      </c>
      <c r="G163" s="27" t="str">
        <f t="shared" si="1"/>
        <v/>
      </c>
      <c r="H163" s="27"/>
      <c r="I163" s="27"/>
      <c r="J163" s="27"/>
      <c r="K163" s="27"/>
      <c r="L163" s="32"/>
      <c r="M163" s="27"/>
      <c r="N163" s="27"/>
      <c r="O163" s="27"/>
      <c r="P163" s="27"/>
      <c r="Q163" s="31"/>
      <c r="R163" s="88" t="str">
        <f ca="1" t="shared" si="2"/>
        <v/>
      </c>
      <c r="S163" s="27"/>
      <c r="T163" s="27"/>
      <c r="U163" s="27"/>
      <c r="V163" s="27"/>
      <c r="W163" s="31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</row>
    <row r="164" ht="15.75" customHeight="1" spans="1:42">
      <c r="A164" s="29"/>
      <c r="B164" s="29"/>
      <c r="C164" s="29"/>
      <c r="D164" s="27"/>
      <c r="E164" s="27"/>
      <c r="F164" s="27" t="str">
        <f ca="1" t="shared" si="0"/>
        <v/>
      </c>
      <c r="G164" s="27" t="str">
        <f t="shared" si="1"/>
        <v/>
      </c>
      <c r="H164" s="27"/>
      <c r="I164" s="27"/>
      <c r="J164" s="27"/>
      <c r="K164" s="27"/>
      <c r="L164" s="32"/>
      <c r="M164" s="27"/>
      <c r="N164" s="27"/>
      <c r="O164" s="27"/>
      <c r="P164" s="27"/>
      <c r="Q164" s="31"/>
      <c r="R164" s="88" t="str">
        <f ca="1" t="shared" si="2"/>
        <v/>
      </c>
      <c r="S164" s="27"/>
      <c r="T164" s="27"/>
      <c r="U164" s="27"/>
      <c r="V164" s="27"/>
      <c r="W164" s="31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</row>
    <row r="165" ht="15.75" customHeight="1" spans="1:42">
      <c r="A165" s="29"/>
      <c r="B165" s="29"/>
      <c r="C165" s="29"/>
      <c r="D165" s="27"/>
      <c r="E165" s="27"/>
      <c r="F165" s="27" t="str">
        <f ca="1" t="shared" si="0"/>
        <v/>
      </c>
      <c r="G165" s="27" t="str">
        <f t="shared" si="1"/>
        <v/>
      </c>
      <c r="H165" s="27"/>
      <c r="I165" s="27"/>
      <c r="J165" s="27"/>
      <c r="K165" s="27"/>
      <c r="L165" s="32"/>
      <c r="M165" s="27"/>
      <c r="N165" s="27"/>
      <c r="O165" s="27"/>
      <c r="P165" s="27"/>
      <c r="Q165" s="31"/>
      <c r="R165" s="88" t="str">
        <f ca="1" t="shared" si="2"/>
        <v/>
      </c>
      <c r="S165" s="27"/>
      <c r="T165" s="27"/>
      <c r="U165" s="27"/>
      <c r="V165" s="27"/>
      <c r="W165" s="31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</row>
    <row r="166" ht="15.75" customHeight="1" spans="1:42">
      <c r="A166" s="29"/>
      <c r="B166" s="29"/>
      <c r="C166" s="29"/>
      <c r="D166" s="27"/>
      <c r="E166" s="27"/>
      <c r="F166" s="27" t="str">
        <f ca="1" t="shared" si="0"/>
        <v/>
      </c>
      <c r="G166" s="27" t="str">
        <f t="shared" si="1"/>
        <v/>
      </c>
      <c r="H166" s="27"/>
      <c r="I166" s="27"/>
      <c r="J166" s="27"/>
      <c r="K166" s="27"/>
      <c r="L166" s="32"/>
      <c r="M166" s="27"/>
      <c r="N166" s="27"/>
      <c r="O166" s="27"/>
      <c r="P166" s="27"/>
      <c r="Q166" s="31"/>
      <c r="R166" s="88" t="str">
        <f ca="1" t="shared" si="2"/>
        <v/>
      </c>
      <c r="S166" s="27"/>
      <c r="T166" s="27"/>
      <c r="U166" s="27"/>
      <c r="V166" s="27"/>
      <c r="W166" s="31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</row>
    <row r="167" ht="15.75" customHeight="1" spans="1:42">
      <c r="A167" s="29"/>
      <c r="B167" s="29"/>
      <c r="C167" s="29"/>
      <c r="D167" s="27"/>
      <c r="E167" s="27"/>
      <c r="F167" s="27" t="str">
        <f ca="1" t="shared" si="0"/>
        <v/>
      </c>
      <c r="G167" s="27" t="str">
        <f t="shared" si="1"/>
        <v/>
      </c>
      <c r="H167" s="27"/>
      <c r="I167" s="27"/>
      <c r="J167" s="27"/>
      <c r="K167" s="27"/>
      <c r="L167" s="32"/>
      <c r="M167" s="27"/>
      <c r="N167" s="27"/>
      <c r="O167" s="27"/>
      <c r="P167" s="27"/>
      <c r="Q167" s="31"/>
      <c r="R167" s="88" t="str">
        <f ca="1" t="shared" si="2"/>
        <v/>
      </c>
      <c r="S167" s="27"/>
      <c r="T167" s="27"/>
      <c r="U167" s="27"/>
      <c r="V167" s="27"/>
      <c r="W167" s="31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</row>
    <row r="168" ht="15.75" customHeight="1" spans="1:42">
      <c r="A168" s="29"/>
      <c r="B168" s="29"/>
      <c r="C168" s="29"/>
      <c r="D168" s="27"/>
      <c r="E168" s="27"/>
      <c r="F168" s="27" t="str">
        <f ca="1" t="shared" si="0"/>
        <v/>
      </c>
      <c r="G168" s="27" t="str">
        <f t="shared" si="1"/>
        <v/>
      </c>
      <c r="H168" s="27"/>
      <c r="I168" s="27"/>
      <c r="J168" s="27"/>
      <c r="K168" s="27"/>
      <c r="L168" s="32"/>
      <c r="M168" s="27"/>
      <c r="N168" s="27"/>
      <c r="O168" s="27"/>
      <c r="P168" s="27"/>
      <c r="Q168" s="31"/>
      <c r="R168" s="88" t="str">
        <f ca="1" t="shared" si="2"/>
        <v/>
      </c>
      <c r="S168" s="27"/>
      <c r="T168" s="27"/>
      <c r="U168" s="27"/>
      <c r="V168" s="27"/>
      <c r="W168" s="31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</row>
    <row r="169" ht="15.75" customHeight="1" spans="1:42">
      <c r="A169" s="29"/>
      <c r="B169" s="29"/>
      <c r="C169" s="29"/>
      <c r="D169" s="27"/>
      <c r="E169" s="27"/>
      <c r="F169" s="27" t="str">
        <f ca="1" t="shared" si="0"/>
        <v/>
      </c>
      <c r="G169" s="27" t="str">
        <f t="shared" si="1"/>
        <v/>
      </c>
      <c r="H169" s="27"/>
      <c r="I169" s="27"/>
      <c r="J169" s="27"/>
      <c r="K169" s="27"/>
      <c r="L169" s="32"/>
      <c r="M169" s="27"/>
      <c r="N169" s="27"/>
      <c r="O169" s="27"/>
      <c r="P169" s="27"/>
      <c r="Q169" s="31"/>
      <c r="R169" s="88" t="str">
        <f ca="1" t="shared" si="2"/>
        <v/>
      </c>
      <c r="S169" s="27"/>
      <c r="T169" s="27"/>
      <c r="U169" s="27"/>
      <c r="V169" s="27"/>
      <c r="W169" s="31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</row>
    <row r="170" ht="15.75" customHeight="1" spans="1:42">
      <c r="A170" s="29"/>
      <c r="B170" s="29"/>
      <c r="C170" s="29"/>
      <c r="D170" s="27"/>
      <c r="E170" s="27"/>
      <c r="F170" s="27" t="str">
        <f ca="1" t="shared" si="0"/>
        <v/>
      </c>
      <c r="G170" s="27" t="str">
        <f t="shared" si="1"/>
        <v/>
      </c>
      <c r="H170" s="27"/>
      <c r="I170" s="27"/>
      <c r="J170" s="27"/>
      <c r="K170" s="27"/>
      <c r="L170" s="32"/>
      <c r="M170" s="27"/>
      <c r="N170" s="27"/>
      <c r="O170" s="27"/>
      <c r="P170" s="27"/>
      <c r="Q170" s="31"/>
      <c r="R170" s="88" t="str">
        <f ca="1" t="shared" si="2"/>
        <v/>
      </c>
      <c r="S170" s="27"/>
      <c r="T170" s="27"/>
      <c r="U170" s="27"/>
      <c r="V170" s="27"/>
      <c r="W170" s="31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</row>
    <row r="171" ht="15.75" customHeight="1" spans="1:42">
      <c r="A171" s="29"/>
      <c r="B171" s="29"/>
      <c r="C171" s="29"/>
      <c r="D171" s="27"/>
      <c r="E171" s="27"/>
      <c r="F171" s="27" t="str">
        <f ca="1" t="shared" si="0"/>
        <v/>
      </c>
      <c r="G171" s="27" t="str">
        <f t="shared" si="1"/>
        <v/>
      </c>
      <c r="H171" s="27"/>
      <c r="I171" s="27"/>
      <c r="J171" s="27"/>
      <c r="K171" s="27"/>
      <c r="L171" s="32"/>
      <c r="M171" s="27"/>
      <c r="N171" s="27"/>
      <c r="O171" s="27"/>
      <c r="P171" s="27"/>
      <c r="Q171" s="31"/>
      <c r="R171" s="88" t="str">
        <f ca="1" t="shared" si="2"/>
        <v/>
      </c>
      <c r="S171" s="27"/>
      <c r="T171" s="27"/>
      <c r="U171" s="27"/>
      <c r="V171" s="27"/>
      <c r="W171" s="31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</row>
    <row r="172" ht="15.75" customHeight="1" spans="1:42">
      <c r="A172" s="29"/>
      <c r="B172" s="29"/>
      <c r="C172" s="29"/>
      <c r="D172" s="27"/>
      <c r="E172" s="27"/>
      <c r="F172" s="27" t="str">
        <f ca="1" t="shared" si="0"/>
        <v/>
      </c>
      <c r="G172" s="27" t="str">
        <f t="shared" si="1"/>
        <v/>
      </c>
      <c r="H172" s="27"/>
      <c r="I172" s="27"/>
      <c r="J172" s="27"/>
      <c r="K172" s="27"/>
      <c r="L172" s="32"/>
      <c r="M172" s="27"/>
      <c r="N172" s="27"/>
      <c r="O172" s="27"/>
      <c r="P172" s="27"/>
      <c r="Q172" s="31"/>
      <c r="R172" s="88" t="str">
        <f ca="1" t="shared" si="2"/>
        <v/>
      </c>
      <c r="S172" s="27"/>
      <c r="T172" s="27"/>
      <c r="U172" s="27"/>
      <c r="V172" s="27"/>
      <c r="W172" s="31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</row>
    <row r="173" ht="15.75" customHeight="1" spans="1:42">
      <c r="A173" s="29"/>
      <c r="B173" s="29"/>
      <c r="C173" s="29"/>
      <c r="D173" s="27"/>
      <c r="E173" s="27"/>
      <c r="F173" s="27" t="str">
        <f ca="1" t="shared" si="0"/>
        <v/>
      </c>
      <c r="G173" s="27" t="str">
        <f t="shared" si="1"/>
        <v/>
      </c>
      <c r="H173" s="27"/>
      <c r="I173" s="27"/>
      <c r="J173" s="27"/>
      <c r="K173" s="27"/>
      <c r="L173" s="32"/>
      <c r="M173" s="27"/>
      <c r="N173" s="27"/>
      <c r="O173" s="27"/>
      <c r="P173" s="27"/>
      <c r="Q173" s="31"/>
      <c r="R173" s="88" t="str">
        <f ca="1" t="shared" si="2"/>
        <v/>
      </c>
      <c r="S173" s="27"/>
      <c r="T173" s="27"/>
      <c r="U173" s="27"/>
      <c r="V173" s="27"/>
      <c r="W173" s="31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</row>
    <row r="174" ht="15.75" customHeight="1" spans="1:42">
      <c r="A174" s="29"/>
      <c r="B174" s="29"/>
      <c r="C174" s="29"/>
      <c r="D174" s="27"/>
      <c r="E174" s="27"/>
      <c r="F174" s="27" t="str">
        <f ca="1" t="shared" si="0"/>
        <v/>
      </c>
      <c r="G174" s="27" t="str">
        <f t="shared" si="1"/>
        <v/>
      </c>
      <c r="H174" s="27"/>
      <c r="I174" s="27"/>
      <c r="J174" s="27"/>
      <c r="K174" s="27"/>
      <c r="L174" s="32"/>
      <c r="M174" s="27"/>
      <c r="N174" s="27"/>
      <c r="O174" s="27"/>
      <c r="P174" s="27"/>
      <c r="Q174" s="31"/>
      <c r="R174" s="88" t="str">
        <f ca="1" t="shared" si="2"/>
        <v/>
      </c>
      <c r="S174" s="27"/>
      <c r="T174" s="27"/>
      <c r="U174" s="27"/>
      <c r="V174" s="27"/>
      <c r="W174" s="31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</row>
    <row r="175" ht="15.75" customHeight="1" spans="1:42">
      <c r="A175" s="29"/>
      <c r="B175" s="29"/>
      <c r="C175" s="29"/>
      <c r="D175" s="27"/>
      <c r="E175" s="27"/>
      <c r="F175" s="27" t="str">
        <f ca="1" t="shared" si="0"/>
        <v/>
      </c>
      <c r="G175" s="27" t="str">
        <f t="shared" si="1"/>
        <v/>
      </c>
      <c r="H175" s="27"/>
      <c r="I175" s="27"/>
      <c r="J175" s="27"/>
      <c r="K175" s="27"/>
      <c r="L175" s="32"/>
      <c r="M175" s="27"/>
      <c r="N175" s="27"/>
      <c r="O175" s="27"/>
      <c r="P175" s="27"/>
      <c r="Q175" s="31"/>
      <c r="R175" s="88" t="str">
        <f ca="1" t="shared" si="2"/>
        <v/>
      </c>
      <c r="S175" s="27"/>
      <c r="T175" s="27"/>
      <c r="U175" s="27"/>
      <c r="V175" s="27"/>
      <c r="W175" s="31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</row>
    <row r="176" ht="15.75" customHeight="1" spans="1:42">
      <c r="A176" s="29"/>
      <c r="B176" s="29"/>
      <c r="C176" s="29"/>
      <c r="D176" s="27"/>
      <c r="E176" s="27"/>
      <c r="F176" s="27" t="str">
        <f ca="1" t="shared" si="0"/>
        <v/>
      </c>
      <c r="G176" s="27" t="str">
        <f t="shared" si="1"/>
        <v/>
      </c>
      <c r="H176" s="27"/>
      <c r="I176" s="27"/>
      <c r="J176" s="27"/>
      <c r="K176" s="27"/>
      <c r="L176" s="32"/>
      <c r="M176" s="27"/>
      <c r="N176" s="27"/>
      <c r="O176" s="27"/>
      <c r="P176" s="27"/>
      <c r="Q176" s="31"/>
      <c r="R176" s="88" t="str">
        <f ca="1" t="shared" si="2"/>
        <v/>
      </c>
      <c r="S176" s="27"/>
      <c r="T176" s="27"/>
      <c r="U176" s="27"/>
      <c r="V176" s="27"/>
      <c r="W176" s="31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</row>
    <row r="177" ht="15.75" customHeight="1" spans="1:42">
      <c r="A177" s="29"/>
      <c r="B177" s="29"/>
      <c r="C177" s="29"/>
      <c r="D177" s="27"/>
      <c r="E177" s="27"/>
      <c r="F177" s="27" t="str">
        <f ca="1" t="shared" si="0"/>
        <v/>
      </c>
      <c r="G177" s="27" t="str">
        <f t="shared" si="1"/>
        <v/>
      </c>
      <c r="H177" s="27"/>
      <c r="I177" s="27"/>
      <c r="J177" s="27"/>
      <c r="K177" s="27"/>
      <c r="L177" s="32"/>
      <c r="M177" s="27"/>
      <c r="N177" s="27"/>
      <c r="O177" s="27"/>
      <c r="P177" s="27"/>
      <c r="Q177" s="31"/>
      <c r="R177" s="88" t="str">
        <f ca="1" t="shared" si="2"/>
        <v/>
      </c>
      <c r="S177" s="27"/>
      <c r="T177" s="27"/>
      <c r="U177" s="27"/>
      <c r="V177" s="27"/>
      <c r="W177" s="31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</row>
    <row r="178" ht="15.75" customHeight="1" spans="1:42">
      <c r="A178" s="29"/>
      <c r="B178" s="29"/>
      <c r="C178" s="29"/>
      <c r="D178" s="27"/>
      <c r="E178" s="27"/>
      <c r="F178" s="27" t="str">
        <f ca="1" t="shared" si="0"/>
        <v/>
      </c>
      <c r="G178" s="27" t="str">
        <f t="shared" si="1"/>
        <v/>
      </c>
      <c r="H178" s="27"/>
      <c r="I178" s="27"/>
      <c r="J178" s="27"/>
      <c r="K178" s="27"/>
      <c r="L178" s="32"/>
      <c r="M178" s="27"/>
      <c r="N178" s="27"/>
      <c r="O178" s="27"/>
      <c r="P178" s="27"/>
      <c r="Q178" s="31"/>
      <c r="R178" s="88" t="str">
        <f ca="1" t="shared" si="2"/>
        <v/>
      </c>
      <c r="S178" s="27"/>
      <c r="T178" s="27"/>
      <c r="U178" s="27"/>
      <c r="V178" s="27"/>
      <c r="W178" s="31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</row>
    <row r="179" ht="15.75" customHeight="1" spans="1:42">
      <c r="A179" s="29"/>
      <c r="B179" s="29"/>
      <c r="C179" s="29"/>
      <c r="D179" s="27"/>
      <c r="E179" s="27"/>
      <c r="F179" s="27" t="str">
        <f ca="1" t="shared" si="0"/>
        <v/>
      </c>
      <c r="G179" s="27" t="str">
        <f t="shared" si="1"/>
        <v/>
      </c>
      <c r="H179" s="27"/>
      <c r="I179" s="27"/>
      <c r="J179" s="27"/>
      <c r="K179" s="27"/>
      <c r="L179" s="32"/>
      <c r="M179" s="27"/>
      <c r="N179" s="27"/>
      <c r="O179" s="27"/>
      <c r="P179" s="27"/>
      <c r="Q179" s="31"/>
      <c r="R179" s="88" t="str">
        <f ca="1" t="shared" si="2"/>
        <v/>
      </c>
      <c r="S179" s="27"/>
      <c r="T179" s="27"/>
      <c r="U179" s="27"/>
      <c r="V179" s="27"/>
      <c r="W179" s="31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</row>
    <row r="180" ht="15.75" customHeight="1" spans="1:42">
      <c r="A180" s="29"/>
      <c r="B180" s="29"/>
      <c r="C180" s="29"/>
      <c r="D180" s="27"/>
      <c r="E180" s="27"/>
      <c r="F180" s="27" t="str">
        <f ca="1" t="shared" si="0"/>
        <v/>
      </c>
      <c r="G180" s="27" t="str">
        <f t="shared" si="1"/>
        <v/>
      </c>
      <c r="H180" s="27"/>
      <c r="I180" s="27"/>
      <c r="J180" s="27"/>
      <c r="K180" s="27"/>
      <c r="L180" s="32"/>
      <c r="M180" s="27"/>
      <c r="N180" s="27"/>
      <c r="O180" s="27"/>
      <c r="P180" s="27"/>
      <c r="Q180" s="31"/>
      <c r="R180" s="88" t="str">
        <f ca="1" t="shared" si="2"/>
        <v/>
      </c>
      <c r="S180" s="27"/>
      <c r="T180" s="27"/>
      <c r="U180" s="27"/>
      <c r="V180" s="27"/>
      <c r="W180" s="31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</row>
    <row r="181" ht="15.75" customHeight="1" spans="1:42">
      <c r="A181" s="29"/>
      <c r="B181" s="29"/>
      <c r="C181" s="29"/>
      <c r="D181" s="27"/>
      <c r="E181" s="27"/>
      <c r="F181" s="27" t="str">
        <f ca="1" t="shared" si="0"/>
        <v/>
      </c>
      <c r="G181" s="27" t="str">
        <f t="shared" si="1"/>
        <v/>
      </c>
      <c r="H181" s="27"/>
      <c r="I181" s="27"/>
      <c r="J181" s="27"/>
      <c r="K181" s="27"/>
      <c r="L181" s="32"/>
      <c r="M181" s="27"/>
      <c r="N181" s="27"/>
      <c r="O181" s="27"/>
      <c r="P181" s="27"/>
      <c r="Q181" s="31"/>
      <c r="R181" s="88" t="str">
        <f ca="1" t="shared" si="2"/>
        <v/>
      </c>
      <c r="S181" s="27"/>
      <c r="T181" s="27"/>
      <c r="U181" s="27"/>
      <c r="V181" s="27"/>
      <c r="W181" s="31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</row>
    <row r="182" ht="15.75" customHeight="1" spans="1:42">
      <c r="A182" s="29"/>
      <c r="B182" s="29"/>
      <c r="C182" s="29"/>
      <c r="D182" s="27"/>
      <c r="E182" s="27"/>
      <c r="F182" s="27" t="str">
        <f ca="1" t="shared" si="0"/>
        <v/>
      </c>
      <c r="G182" s="27" t="str">
        <f t="shared" si="1"/>
        <v/>
      </c>
      <c r="H182" s="27"/>
      <c r="I182" s="27"/>
      <c r="J182" s="27"/>
      <c r="K182" s="27"/>
      <c r="L182" s="32"/>
      <c r="M182" s="27"/>
      <c r="N182" s="27"/>
      <c r="O182" s="27"/>
      <c r="P182" s="27"/>
      <c r="Q182" s="31"/>
      <c r="R182" s="88" t="str">
        <f ca="1" t="shared" si="2"/>
        <v/>
      </c>
      <c r="S182" s="27"/>
      <c r="T182" s="27"/>
      <c r="U182" s="27"/>
      <c r="V182" s="27"/>
      <c r="W182" s="31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</row>
    <row r="183" ht="15.75" customHeight="1" spans="1:42">
      <c r="A183" s="29"/>
      <c r="B183" s="29"/>
      <c r="C183" s="29"/>
      <c r="D183" s="27"/>
      <c r="E183" s="27"/>
      <c r="F183" s="27" t="str">
        <f ca="1" t="shared" si="0"/>
        <v/>
      </c>
      <c r="G183" s="27" t="str">
        <f t="shared" si="1"/>
        <v/>
      </c>
      <c r="H183" s="27"/>
      <c r="I183" s="27"/>
      <c r="J183" s="27"/>
      <c r="K183" s="27"/>
      <c r="L183" s="32"/>
      <c r="M183" s="27"/>
      <c r="N183" s="27"/>
      <c r="O183" s="27"/>
      <c r="P183" s="27"/>
      <c r="Q183" s="31"/>
      <c r="R183" s="88" t="str">
        <f ca="1" t="shared" si="2"/>
        <v/>
      </c>
      <c r="S183" s="27"/>
      <c r="T183" s="27"/>
      <c r="U183" s="27"/>
      <c r="V183" s="27"/>
      <c r="W183" s="31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</row>
    <row r="184" ht="15.75" customHeight="1" spans="1:42">
      <c r="A184" s="29"/>
      <c r="B184" s="29"/>
      <c r="C184" s="29"/>
      <c r="D184" s="27"/>
      <c r="E184" s="27"/>
      <c r="F184" s="27" t="str">
        <f ca="1" t="shared" si="0"/>
        <v/>
      </c>
      <c r="G184" s="27" t="str">
        <f t="shared" si="1"/>
        <v/>
      </c>
      <c r="H184" s="27"/>
      <c r="I184" s="27"/>
      <c r="J184" s="27"/>
      <c r="K184" s="27"/>
      <c r="L184" s="32"/>
      <c r="M184" s="27"/>
      <c r="N184" s="27"/>
      <c r="O184" s="27"/>
      <c r="P184" s="27"/>
      <c r="Q184" s="31"/>
      <c r="R184" s="88" t="str">
        <f ca="1" t="shared" si="2"/>
        <v/>
      </c>
      <c r="S184" s="27"/>
      <c r="T184" s="27"/>
      <c r="U184" s="27"/>
      <c r="V184" s="27"/>
      <c r="W184" s="31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</row>
    <row r="185" ht="15.75" customHeight="1" spans="1:42">
      <c r="A185" s="29"/>
      <c r="B185" s="29"/>
      <c r="C185" s="29"/>
      <c r="D185" s="27"/>
      <c r="E185" s="27"/>
      <c r="F185" s="27" t="str">
        <f ca="1" t="shared" si="0"/>
        <v/>
      </c>
      <c r="G185" s="27" t="str">
        <f t="shared" si="1"/>
        <v/>
      </c>
      <c r="H185" s="27"/>
      <c r="I185" s="27"/>
      <c r="J185" s="27"/>
      <c r="K185" s="27"/>
      <c r="L185" s="32"/>
      <c r="M185" s="27"/>
      <c r="N185" s="27"/>
      <c r="O185" s="27"/>
      <c r="P185" s="27"/>
      <c r="Q185" s="31"/>
      <c r="R185" s="88" t="str">
        <f ca="1" t="shared" si="2"/>
        <v/>
      </c>
      <c r="S185" s="27"/>
      <c r="T185" s="27"/>
      <c r="U185" s="27"/>
      <c r="V185" s="27"/>
      <c r="W185" s="31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</row>
    <row r="186" ht="15.75" customHeight="1" spans="1:42">
      <c r="A186" s="29"/>
      <c r="B186" s="29"/>
      <c r="C186" s="29"/>
      <c r="D186" s="27"/>
      <c r="E186" s="27"/>
      <c r="F186" s="27" t="str">
        <f ca="1" t="shared" si="0"/>
        <v/>
      </c>
      <c r="G186" s="27" t="str">
        <f t="shared" si="1"/>
        <v/>
      </c>
      <c r="H186" s="27"/>
      <c r="I186" s="27"/>
      <c r="J186" s="27"/>
      <c r="K186" s="27"/>
      <c r="L186" s="32"/>
      <c r="M186" s="27"/>
      <c r="N186" s="27"/>
      <c r="O186" s="27"/>
      <c r="P186" s="27"/>
      <c r="Q186" s="31"/>
      <c r="R186" s="88" t="str">
        <f ca="1" t="shared" si="2"/>
        <v/>
      </c>
      <c r="S186" s="27"/>
      <c r="T186" s="27"/>
      <c r="U186" s="27"/>
      <c r="V186" s="27"/>
      <c r="W186" s="31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</row>
    <row r="187" ht="15.75" customHeight="1" spans="1:42">
      <c r="A187" s="29"/>
      <c r="B187" s="29"/>
      <c r="C187" s="29"/>
      <c r="D187" s="27"/>
      <c r="E187" s="27"/>
      <c r="F187" s="27" t="str">
        <f ca="1" t="shared" si="0"/>
        <v/>
      </c>
      <c r="G187" s="27" t="str">
        <f t="shared" si="1"/>
        <v/>
      </c>
      <c r="H187" s="27"/>
      <c r="I187" s="27"/>
      <c r="J187" s="27"/>
      <c r="K187" s="27"/>
      <c r="L187" s="32"/>
      <c r="M187" s="27"/>
      <c r="N187" s="27"/>
      <c r="O187" s="27"/>
      <c r="P187" s="27"/>
      <c r="Q187" s="31"/>
      <c r="R187" s="88" t="str">
        <f ca="1" t="shared" si="2"/>
        <v/>
      </c>
      <c r="S187" s="27"/>
      <c r="T187" s="27"/>
      <c r="U187" s="27"/>
      <c r="V187" s="27"/>
      <c r="W187" s="31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</row>
    <row r="188" ht="15.75" customHeight="1" spans="1:42">
      <c r="A188" s="29"/>
      <c r="B188" s="29"/>
      <c r="C188" s="29"/>
      <c r="D188" s="27"/>
      <c r="E188" s="27"/>
      <c r="F188" s="27" t="str">
        <f ca="1" t="shared" si="0"/>
        <v/>
      </c>
      <c r="G188" s="27" t="str">
        <f t="shared" si="1"/>
        <v/>
      </c>
      <c r="H188" s="27"/>
      <c r="I188" s="27"/>
      <c r="J188" s="27"/>
      <c r="K188" s="27"/>
      <c r="L188" s="32"/>
      <c r="M188" s="27"/>
      <c r="N188" s="27"/>
      <c r="O188" s="27"/>
      <c r="P188" s="27"/>
      <c r="Q188" s="31"/>
      <c r="R188" s="88" t="str">
        <f ca="1" t="shared" si="2"/>
        <v/>
      </c>
      <c r="S188" s="27"/>
      <c r="T188" s="27"/>
      <c r="U188" s="27"/>
      <c r="V188" s="27"/>
      <c r="W188" s="31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</row>
    <row r="189" ht="15.75" customHeight="1" spans="1:42">
      <c r="A189" s="29"/>
      <c r="B189" s="29"/>
      <c r="C189" s="29"/>
      <c r="D189" s="27"/>
      <c r="E189" s="27"/>
      <c r="F189" s="27" t="str">
        <f ca="1" t="shared" si="0"/>
        <v/>
      </c>
      <c r="G189" s="27" t="str">
        <f t="shared" si="1"/>
        <v/>
      </c>
      <c r="H189" s="27"/>
      <c r="I189" s="27"/>
      <c r="J189" s="27"/>
      <c r="K189" s="27"/>
      <c r="L189" s="32"/>
      <c r="M189" s="27"/>
      <c r="N189" s="27"/>
      <c r="O189" s="27"/>
      <c r="P189" s="27"/>
      <c r="Q189" s="31"/>
      <c r="R189" s="88" t="str">
        <f ca="1" t="shared" si="2"/>
        <v/>
      </c>
      <c r="S189" s="27"/>
      <c r="T189" s="27"/>
      <c r="U189" s="27"/>
      <c r="V189" s="27"/>
      <c r="W189" s="31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</row>
    <row r="190" ht="15.75" customHeight="1" spans="1:42">
      <c r="A190" s="29"/>
      <c r="B190" s="29"/>
      <c r="C190" s="29"/>
      <c r="D190" s="27"/>
      <c r="E190" s="27"/>
      <c r="F190" s="27" t="str">
        <f ca="1" t="shared" si="0"/>
        <v/>
      </c>
      <c r="G190" s="27" t="str">
        <f t="shared" si="1"/>
        <v/>
      </c>
      <c r="H190" s="27"/>
      <c r="I190" s="27"/>
      <c r="J190" s="27"/>
      <c r="K190" s="27"/>
      <c r="L190" s="32"/>
      <c r="M190" s="27"/>
      <c r="N190" s="27"/>
      <c r="O190" s="27"/>
      <c r="P190" s="27"/>
      <c r="Q190" s="31"/>
      <c r="R190" s="88" t="str">
        <f ca="1" t="shared" si="2"/>
        <v/>
      </c>
      <c r="S190" s="27"/>
      <c r="T190" s="27"/>
      <c r="U190" s="27"/>
      <c r="V190" s="27"/>
      <c r="W190" s="31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</row>
    <row r="191" ht="15.75" customHeight="1" spans="1:42">
      <c r="A191" s="29"/>
      <c r="B191" s="29"/>
      <c r="C191" s="29"/>
      <c r="D191" s="27"/>
      <c r="E191" s="27"/>
      <c r="F191" s="27" t="str">
        <f ca="1" t="shared" si="0"/>
        <v/>
      </c>
      <c r="G191" s="27" t="str">
        <f t="shared" si="1"/>
        <v/>
      </c>
      <c r="H191" s="27"/>
      <c r="I191" s="27"/>
      <c r="J191" s="27"/>
      <c r="K191" s="27"/>
      <c r="L191" s="32"/>
      <c r="M191" s="27"/>
      <c r="N191" s="27"/>
      <c r="O191" s="27"/>
      <c r="P191" s="27"/>
      <c r="Q191" s="31"/>
      <c r="R191" s="88" t="str">
        <f ca="1" t="shared" si="2"/>
        <v/>
      </c>
      <c r="S191" s="27"/>
      <c r="T191" s="27"/>
      <c r="U191" s="27"/>
      <c r="V191" s="27"/>
      <c r="W191" s="31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</row>
    <row r="192" ht="15.75" customHeight="1" spans="1:42">
      <c r="A192" s="29"/>
      <c r="B192" s="29"/>
      <c r="C192" s="29"/>
      <c r="D192" s="27"/>
      <c r="E192" s="27"/>
      <c r="F192" s="27" t="str">
        <f ca="1" t="shared" si="0"/>
        <v/>
      </c>
      <c r="G192" s="27" t="str">
        <f t="shared" si="1"/>
        <v/>
      </c>
      <c r="H192" s="27"/>
      <c r="I192" s="27"/>
      <c r="J192" s="27"/>
      <c r="K192" s="27"/>
      <c r="L192" s="32"/>
      <c r="M192" s="27"/>
      <c r="N192" s="27"/>
      <c r="O192" s="27"/>
      <c r="P192" s="27"/>
      <c r="Q192" s="31"/>
      <c r="R192" s="88" t="str">
        <f ca="1" t="shared" si="2"/>
        <v/>
      </c>
      <c r="S192" s="27"/>
      <c r="T192" s="27"/>
      <c r="U192" s="27"/>
      <c r="V192" s="27"/>
      <c r="W192" s="31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</row>
    <row r="193" ht="15.75" customHeight="1" spans="1:42">
      <c r="A193" s="29"/>
      <c r="B193" s="29"/>
      <c r="C193" s="29"/>
      <c r="D193" s="27"/>
      <c r="E193" s="27"/>
      <c r="F193" s="27" t="str">
        <f ca="1" t="shared" si="0"/>
        <v/>
      </c>
      <c r="G193" s="27" t="str">
        <f t="shared" si="1"/>
        <v/>
      </c>
      <c r="H193" s="27"/>
      <c r="I193" s="27"/>
      <c r="J193" s="27"/>
      <c r="K193" s="27"/>
      <c r="L193" s="32"/>
      <c r="M193" s="27"/>
      <c r="N193" s="27"/>
      <c r="O193" s="27"/>
      <c r="P193" s="27"/>
      <c r="Q193" s="31"/>
      <c r="R193" s="88" t="str">
        <f ca="1" t="shared" si="2"/>
        <v/>
      </c>
      <c r="S193" s="27"/>
      <c r="T193" s="27"/>
      <c r="U193" s="27"/>
      <c r="V193" s="27"/>
      <c r="W193" s="31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</row>
    <row r="194" ht="15.75" customHeight="1" spans="1:42">
      <c r="A194" s="29"/>
      <c r="B194" s="29"/>
      <c r="C194" s="29"/>
      <c r="D194" s="27"/>
      <c r="E194" s="27"/>
      <c r="F194" s="27" t="str">
        <f ca="1" t="shared" si="0"/>
        <v/>
      </c>
      <c r="G194" s="27" t="str">
        <f t="shared" si="1"/>
        <v/>
      </c>
      <c r="H194" s="27"/>
      <c r="I194" s="27"/>
      <c r="J194" s="27"/>
      <c r="K194" s="27"/>
      <c r="L194" s="32"/>
      <c r="M194" s="27"/>
      <c r="N194" s="27"/>
      <c r="O194" s="27"/>
      <c r="P194" s="27"/>
      <c r="Q194" s="31"/>
      <c r="R194" s="88" t="str">
        <f ca="1" t="shared" si="2"/>
        <v/>
      </c>
      <c r="S194" s="27"/>
      <c r="T194" s="27"/>
      <c r="U194" s="27"/>
      <c r="V194" s="27"/>
      <c r="W194" s="31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</row>
    <row r="195" ht="15.75" customHeight="1" spans="1:42">
      <c r="A195" s="29"/>
      <c r="B195" s="29"/>
      <c r="C195" s="29"/>
      <c r="D195" s="27"/>
      <c r="E195" s="27"/>
      <c r="F195" s="27" t="str">
        <f ca="1" t="shared" si="0"/>
        <v/>
      </c>
      <c r="G195" s="27" t="str">
        <f t="shared" si="1"/>
        <v/>
      </c>
      <c r="H195" s="27"/>
      <c r="I195" s="27"/>
      <c r="J195" s="27"/>
      <c r="K195" s="27"/>
      <c r="L195" s="32"/>
      <c r="M195" s="27"/>
      <c r="N195" s="27"/>
      <c r="O195" s="27"/>
      <c r="P195" s="27"/>
      <c r="Q195" s="31"/>
      <c r="R195" s="88" t="str">
        <f ca="1" t="shared" si="2"/>
        <v/>
      </c>
      <c r="S195" s="27"/>
      <c r="T195" s="27"/>
      <c r="U195" s="27"/>
      <c r="V195" s="27"/>
      <c r="W195" s="31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</row>
    <row r="196" ht="15.75" customHeight="1" spans="1:42">
      <c r="A196" s="29"/>
      <c r="B196" s="29"/>
      <c r="C196" s="29"/>
      <c r="D196" s="27"/>
      <c r="E196" s="27"/>
      <c r="F196" s="27" t="str">
        <f ca="1" t="shared" si="0"/>
        <v/>
      </c>
      <c r="G196" s="27" t="str">
        <f t="shared" si="1"/>
        <v/>
      </c>
      <c r="H196" s="27"/>
      <c r="I196" s="27"/>
      <c r="J196" s="27"/>
      <c r="K196" s="27"/>
      <c r="L196" s="32"/>
      <c r="M196" s="27"/>
      <c r="N196" s="27"/>
      <c r="O196" s="27"/>
      <c r="P196" s="27"/>
      <c r="Q196" s="31"/>
      <c r="R196" s="88" t="str">
        <f ca="1" t="shared" si="2"/>
        <v/>
      </c>
      <c r="S196" s="27"/>
      <c r="T196" s="27"/>
      <c r="U196" s="27"/>
      <c r="V196" s="27"/>
      <c r="W196" s="31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</row>
    <row r="197" ht="15.75" customHeight="1" spans="1:42">
      <c r="A197" s="29"/>
      <c r="B197" s="29"/>
      <c r="C197" s="29"/>
      <c r="D197" s="27"/>
      <c r="E197" s="27"/>
      <c r="F197" s="27" t="str">
        <f ca="1" t="shared" si="0"/>
        <v/>
      </c>
      <c r="G197" s="27" t="str">
        <f t="shared" si="1"/>
        <v/>
      </c>
      <c r="H197" s="27"/>
      <c r="I197" s="27"/>
      <c r="J197" s="27"/>
      <c r="K197" s="27"/>
      <c r="L197" s="32"/>
      <c r="M197" s="27"/>
      <c r="N197" s="27"/>
      <c r="O197" s="27"/>
      <c r="P197" s="27"/>
      <c r="Q197" s="31"/>
      <c r="R197" s="88" t="str">
        <f ca="1" t="shared" si="2"/>
        <v/>
      </c>
      <c r="S197" s="27"/>
      <c r="T197" s="27"/>
      <c r="U197" s="27"/>
      <c r="V197" s="27"/>
      <c r="W197" s="31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</row>
    <row r="198" ht="15.75" customHeight="1" spans="1:42">
      <c r="A198" s="29"/>
      <c r="B198" s="29"/>
      <c r="C198" s="29"/>
      <c r="D198" s="27"/>
      <c r="E198" s="27"/>
      <c r="F198" s="27" t="str">
        <f ca="1" t="shared" si="0"/>
        <v/>
      </c>
      <c r="G198" s="27" t="str">
        <f t="shared" si="1"/>
        <v/>
      </c>
      <c r="H198" s="27"/>
      <c r="I198" s="27"/>
      <c r="J198" s="27"/>
      <c r="K198" s="27"/>
      <c r="L198" s="32"/>
      <c r="M198" s="27"/>
      <c r="N198" s="27"/>
      <c r="O198" s="27"/>
      <c r="P198" s="27"/>
      <c r="Q198" s="31"/>
      <c r="R198" s="88" t="str">
        <f ca="1" t="shared" si="2"/>
        <v/>
      </c>
      <c r="S198" s="27"/>
      <c r="T198" s="27"/>
      <c r="U198" s="27"/>
      <c r="V198" s="27"/>
      <c r="W198" s="31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</row>
    <row r="199" ht="15.75" customHeight="1" spans="1:42">
      <c r="A199" s="29"/>
      <c r="B199" s="29"/>
      <c r="C199" s="29"/>
      <c r="D199" s="27"/>
      <c r="E199" s="27"/>
      <c r="F199" s="27" t="str">
        <f ca="1" t="shared" si="0"/>
        <v/>
      </c>
      <c r="G199" s="27" t="str">
        <f t="shared" si="1"/>
        <v/>
      </c>
      <c r="H199" s="27"/>
      <c r="I199" s="27"/>
      <c r="J199" s="27"/>
      <c r="K199" s="27"/>
      <c r="L199" s="32"/>
      <c r="M199" s="27"/>
      <c r="N199" s="27"/>
      <c r="O199" s="27"/>
      <c r="P199" s="27"/>
      <c r="Q199" s="31"/>
      <c r="R199" s="88" t="str">
        <f ca="1" t="shared" si="2"/>
        <v/>
      </c>
      <c r="S199" s="27"/>
      <c r="T199" s="27"/>
      <c r="U199" s="27"/>
      <c r="V199" s="27"/>
      <c r="W199" s="31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</row>
    <row r="200" ht="15.75" customHeight="1" spans="1:42">
      <c r="A200" s="29"/>
      <c r="B200" s="29"/>
      <c r="C200" s="29"/>
      <c r="D200" s="27"/>
      <c r="E200" s="27"/>
      <c r="F200" s="27" t="str">
        <f ca="1" t="shared" si="0"/>
        <v/>
      </c>
      <c r="G200" s="27" t="str">
        <f t="shared" si="1"/>
        <v/>
      </c>
      <c r="H200" s="27"/>
      <c r="I200" s="27"/>
      <c r="J200" s="27"/>
      <c r="K200" s="27"/>
      <c r="L200" s="32"/>
      <c r="M200" s="27"/>
      <c r="N200" s="27"/>
      <c r="O200" s="27"/>
      <c r="P200" s="27"/>
      <c r="Q200" s="31"/>
      <c r="R200" s="88" t="str">
        <f ca="1" t="shared" si="2"/>
        <v/>
      </c>
      <c r="S200" s="27"/>
      <c r="T200" s="27"/>
      <c r="U200" s="27"/>
      <c r="V200" s="27"/>
      <c r="W200" s="31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</row>
    <row r="201" ht="15.75" customHeight="1" spans="1:42">
      <c r="A201" s="29"/>
      <c r="B201" s="29"/>
      <c r="C201" s="29"/>
      <c r="D201" s="27"/>
      <c r="E201" s="27"/>
      <c r="F201" s="27" t="str">
        <f ca="1" t="shared" si="0"/>
        <v/>
      </c>
      <c r="G201" s="27" t="str">
        <f t="shared" si="1"/>
        <v/>
      </c>
      <c r="H201" s="27"/>
      <c r="I201" s="27"/>
      <c r="J201" s="27"/>
      <c r="K201" s="27"/>
      <c r="L201" s="32"/>
      <c r="M201" s="27"/>
      <c r="N201" s="27"/>
      <c r="O201" s="27"/>
      <c r="P201" s="27"/>
      <c r="Q201" s="31"/>
      <c r="R201" s="88" t="str">
        <f ca="1" t="shared" si="2"/>
        <v/>
      </c>
      <c r="S201" s="27"/>
      <c r="T201" s="27"/>
      <c r="U201" s="27"/>
      <c r="V201" s="27"/>
      <c r="W201" s="31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CA4C585-C249-4BB0-8EE7-E4361962E073}" filter="1" showAutoFilter="1">
      <autoFilter ref="D4:AP201"/>
    </customSheetView>
  </customSheetViews>
  <conditionalFormatting sqref="D5:D32">
    <cfRule type="containsText" dxfId="40" priority="1" operator="between" text="No">
      <formula>NOT(ISERROR(SEARCH("No",D5)))</formula>
    </cfRule>
  </conditionalFormatting>
  <conditionalFormatting sqref="F2:F201">
    <cfRule type="containsText" dxfId="40" priority="2" operator="between" text="Junior">
      <formula>NOT(ISERROR(SEARCH("Junior",F2)))</formula>
    </cfRule>
  </conditionalFormatting>
  <dataValidations count="4">
    <dataValidation type="list" allowBlank="1" showInputMessage="1" showErrorMessage="1" prompt="Add the new address in sheet data under column City Address" sqref="AN25 M5:M201">
      <formula1>'dropdown list'!$I$3:$I$107</formula1>
    </dataValidation>
    <dataValidation type="list" allowBlank="1" showErrorMessage="1" sqref="D5:D201">
      <formula1>'dropdown list'!$B$3:$B$4</formula1>
    </dataValidation>
    <dataValidation type="list" allowBlank="1" showErrorMessage="1" sqref="K5:K201">
      <formula1>'dropdown list'!$H$3:$H$4</formula1>
    </dataValidation>
    <dataValidation type="list" allowBlank="1" showErrorMessage="1" sqref="V5:V201 X5:X201">
      <formula1>'dropdown list'!$J$3:$J$4</formula1>
    </dataValidation>
  </dataValidations>
  <pageMargins left="0.7" right="0.7" top="0.75" bottom="0.75" header="0" footer="0"/>
  <pageSetup paperSize="1" orientation="portrait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E886"/>
  <sheetViews>
    <sheetView showGridLines="0" workbookViewId="0">
      <pane ySplit="10" topLeftCell="A11" activePane="bottomLeft" state="frozen"/>
      <selection/>
      <selection pane="bottomLeft" activeCell="B12" sqref="B12"/>
    </sheetView>
  </sheetViews>
  <sheetFormatPr defaultColWidth="12.6333333333333" defaultRowHeight="15" customHeight="1"/>
  <cols>
    <col min="1" max="1" width="10.25" hidden="1" customWidth="1"/>
    <col min="2" max="2" width="17.25" customWidth="1"/>
    <col min="3" max="3" width="13.3833333333333" customWidth="1"/>
    <col min="4" max="4" width="31.8833333333333" customWidth="1"/>
    <col min="5" max="7" width="6.88333333333333" hidden="1" customWidth="1"/>
    <col min="8" max="30" width="6.88333333333333" customWidth="1"/>
    <col min="31" max="31" width="8.75" customWidth="1"/>
  </cols>
  <sheetData>
    <row r="1" ht="6.75" customHeight="1" spans="1:31">
      <c r="A1" s="100">
        <v>0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</row>
    <row r="2" ht="25.5" customHeight="1" spans="1:31">
      <c r="A2" s="100">
        <v>0</v>
      </c>
      <c r="B2" s="101"/>
      <c r="C2" s="39" t="s">
        <v>3359</v>
      </c>
      <c r="D2" s="41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</row>
    <row r="3" ht="30.75" customHeight="1" spans="1:31">
      <c r="A3" s="100">
        <v>0</v>
      </c>
      <c r="B3" s="101"/>
      <c r="C3" s="46" t="s">
        <v>3360</v>
      </c>
      <c r="D3" s="41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</row>
    <row r="4" ht="13.8" spans="1:31">
      <c r="A4" s="100">
        <v>0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</row>
    <row r="5" ht="21.75" spans="1:31">
      <c r="A5" s="100">
        <v>0</v>
      </c>
      <c r="B5" s="48" t="s">
        <v>3361</v>
      </c>
      <c r="E5" s="49">
        <v>2026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33"/>
    </row>
    <row r="6" ht="14.55" spans="1:31">
      <c r="A6" s="100">
        <v>0</v>
      </c>
      <c r="E6" s="53" t="s">
        <v>3362</v>
      </c>
      <c r="F6" s="54"/>
      <c r="G6" s="54"/>
      <c r="H6" s="55"/>
      <c r="I6" s="53" t="s">
        <v>3363</v>
      </c>
      <c r="J6" s="54"/>
      <c r="K6" s="54"/>
      <c r="L6" s="55"/>
      <c r="M6" s="53" t="s">
        <v>3364</v>
      </c>
      <c r="N6" s="54"/>
      <c r="O6" s="54"/>
      <c r="P6" s="55"/>
      <c r="Q6" s="53" t="s">
        <v>3365</v>
      </c>
      <c r="R6" s="54"/>
      <c r="S6" s="54"/>
      <c r="T6" s="55"/>
      <c r="U6" s="53" t="s">
        <v>3366</v>
      </c>
      <c r="V6" s="54"/>
      <c r="W6" s="54"/>
      <c r="X6" s="54"/>
      <c r="Y6" s="55"/>
      <c r="Z6" s="53" t="s">
        <v>3367</v>
      </c>
      <c r="AA6" s="54"/>
      <c r="AB6" s="54"/>
      <c r="AC6" s="54"/>
      <c r="AD6" s="55"/>
      <c r="AE6" s="33"/>
    </row>
    <row r="7" ht="14.55" spans="1:31">
      <c r="A7" s="102">
        <v>0</v>
      </c>
      <c r="B7" s="103"/>
      <c r="C7" s="103"/>
      <c r="D7" s="103"/>
      <c r="E7" s="104"/>
      <c r="F7" s="105"/>
      <c r="G7" s="105"/>
      <c r="H7" s="106"/>
      <c r="I7" s="104"/>
      <c r="J7" s="105"/>
      <c r="K7" s="105"/>
      <c r="L7" s="106"/>
      <c r="M7" s="104"/>
      <c r="N7" s="105"/>
      <c r="O7" s="105"/>
      <c r="P7" s="106"/>
      <c r="Q7" s="104"/>
      <c r="R7" s="105"/>
      <c r="S7" s="105"/>
      <c r="T7" s="105"/>
      <c r="U7" s="104"/>
      <c r="V7" s="105"/>
      <c r="W7" s="105"/>
      <c r="X7" s="105"/>
      <c r="Y7" s="106"/>
      <c r="Z7" s="104"/>
      <c r="AA7" s="105"/>
      <c r="AB7" s="105"/>
      <c r="AC7" s="105"/>
      <c r="AD7" s="106"/>
      <c r="AE7" s="107"/>
    </row>
    <row r="8" ht="13.8" spans="1:31">
      <c r="A8" s="102">
        <v>0</v>
      </c>
      <c r="B8" s="103" t="s">
        <v>3368</v>
      </c>
      <c r="C8" s="103" t="s">
        <v>3369</v>
      </c>
      <c r="D8" s="103" t="s">
        <v>3370</v>
      </c>
      <c r="E8" s="108">
        <v>5</v>
      </c>
      <c r="F8" s="107">
        <v>12</v>
      </c>
      <c r="G8" s="107">
        <v>19</v>
      </c>
      <c r="H8" s="109">
        <v>26</v>
      </c>
      <c r="I8" s="108">
        <v>2</v>
      </c>
      <c r="J8" s="107">
        <v>9</v>
      </c>
      <c r="K8" s="107">
        <v>16</v>
      </c>
      <c r="L8" s="109">
        <v>23</v>
      </c>
      <c r="M8" s="108">
        <v>30</v>
      </c>
      <c r="N8" s="107">
        <v>6</v>
      </c>
      <c r="O8" s="107">
        <v>13</v>
      </c>
      <c r="P8" s="109">
        <v>20</v>
      </c>
      <c r="Q8" s="108">
        <v>27</v>
      </c>
      <c r="R8" s="107">
        <v>4</v>
      </c>
      <c r="S8" s="107">
        <v>11</v>
      </c>
      <c r="T8" s="107">
        <v>18</v>
      </c>
      <c r="U8" s="108">
        <v>25</v>
      </c>
      <c r="V8" s="107">
        <v>1</v>
      </c>
      <c r="W8" s="107">
        <v>8</v>
      </c>
      <c r="X8" s="107">
        <v>15</v>
      </c>
      <c r="Y8" s="109">
        <v>22</v>
      </c>
      <c r="Z8" s="108">
        <v>29</v>
      </c>
      <c r="AA8" s="107">
        <v>6</v>
      </c>
      <c r="AB8" s="107">
        <v>13</v>
      </c>
      <c r="AC8" s="107">
        <v>20</v>
      </c>
      <c r="AD8" s="109">
        <v>27</v>
      </c>
      <c r="AE8" s="107" t="s">
        <v>3371</v>
      </c>
    </row>
    <row r="9" ht="13.5" customHeight="1" spans="1:31">
      <c r="A9" s="110">
        <v>0.1</v>
      </c>
      <c r="B9" s="111"/>
      <c r="C9" s="111"/>
      <c r="D9" s="112" t="s">
        <v>3372</v>
      </c>
      <c r="E9" s="113">
        <f t="shared" ref="E9:F9" si="0">COUNTIF(E10:E703,"TRUE")</f>
        <v>360</v>
      </c>
      <c r="F9" s="114">
        <f t="shared" si="0"/>
        <v>311</v>
      </c>
      <c r="G9" s="115">
        <f>COUNTIF(G11:G689,"TRUE")</f>
        <v>400</v>
      </c>
      <c r="H9" s="116">
        <f>COUNTIF(H11:H659,"TRUE")</f>
        <v>321</v>
      </c>
      <c r="I9" s="114"/>
      <c r="J9" s="115"/>
      <c r="K9" s="115"/>
      <c r="L9" s="116"/>
      <c r="M9" s="114"/>
      <c r="N9" s="115"/>
      <c r="O9" s="115"/>
      <c r="P9" s="116"/>
      <c r="Q9" s="114"/>
      <c r="R9" s="115"/>
      <c r="S9" s="115"/>
      <c r="T9" s="116"/>
      <c r="U9" s="114"/>
      <c r="V9" s="115"/>
      <c r="W9" s="117"/>
      <c r="X9" s="115"/>
      <c r="Y9" s="116"/>
      <c r="Z9" s="114"/>
      <c r="AA9" s="115"/>
      <c r="AB9" s="117"/>
      <c r="AC9" s="115"/>
      <c r="AD9" s="116"/>
      <c r="AE9" s="117"/>
    </row>
    <row r="10" ht="13.8" spans="1:31">
      <c r="A10" s="118">
        <v>0.11</v>
      </c>
      <c r="B10" s="119" t="s">
        <v>3373</v>
      </c>
      <c r="C10" s="119" t="s">
        <v>3374</v>
      </c>
      <c r="D10" s="119" t="s">
        <v>3375</v>
      </c>
      <c r="E10" s="120" t="s">
        <v>3376</v>
      </c>
      <c r="F10" s="121" t="s">
        <v>3377</v>
      </c>
      <c r="G10" s="121" t="s">
        <v>3378</v>
      </c>
      <c r="H10" s="122" t="s">
        <v>3379</v>
      </c>
      <c r="I10" s="120" t="s">
        <v>3380</v>
      </c>
      <c r="J10" s="121" t="s">
        <v>3381</v>
      </c>
      <c r="K10" s="121" t="s">
        <v>3382</v>
      </c>
      <c r="L10" s="122" t="s">
        <v>3383</v>
      </c>
      <c r="M10" s="120" t="s">
        <v>3384</v>
      </c>
      <c r="N10" s="121" t="s">
        <v>3385</v>
      </c>
      <c r="O10" s="121" t="s">
        <v>3386</v>
      </c>
      <c r="P10" s="122" t="s">
        <v>3387</v>
      </c>
      <c r="Q10" s="120" t="s">
        <v>3388</v>
      </c>
      <c r="R10" s="121" t="s">
        <v>3389</v>
      </c>
      <c r="S10" s="121" t="s">
        <v>3390</v>
      </c>
      <c r="T10" s="122" t="s">
        <v>3391</v>
      </c>
      <c r="U10" s="120" t="s">
        <v>3392</v>
      </c>
      <c r="V10" s="121" t="s">
        <v>3393</v>
      </c>
      <c r="W10" s="123" t="s">
        <v>3394</v>
      </c>
      <c r="X10" s="121" t="s">
        <v>3395</v>
      </c>
      <c r="Y10" s="122" t="s">
        <v>3396</v>
      </c>
      <c r="Z10" s="120" t="s">
        <v>3397</v>
      </c>
      <c r="AA10" s="121" t="s">
        <v>3398</v>
      </c>
      <c r="AB10" s="123" t="s">
        <v>3399</v>
      </c>
      <c r="AC10" s="121" t="s">
        <v>3400</v>
      </c>
      <c r="AD10" s="122" t="s">
        <v>3401</v>
      </c>
      <c r="AE10" s="124" t="s">
        <v>3402</v>
      </c>
    </row>
    <row r="11" ht="13.8" spans="1:31">
      <c r="A11" s="125">
        <v>1</v>
      </c>
      <c r="B11" s="126"/>
      <c r="C11" s="127" t="s">
        <v>2</v>
      </c>
      <c r="D11" s="127" t="s">
        <v>3403</v>
      </c>
      <c r="E11" s="128" t="b">
        <v>0</v>
      </c>
      <c r="F11" s="129" t="b">
        <v>0</v>
      </c>
      <c r="G11" s="129" t="b">
        <v>1</v>
      </c>
      <c r="H11" s="130" t="b">
        <v>0</v>
      </c>
      <c r="I11" s="128"/>
      <c r="J11" s="129"/>
      <c r="K11" s="129"/>
      <c r="L11" s="130"/>
      <c r="M11" s="128"/>
      <c r="N11" s="129"/>
      <c r="O11" s="129"/>
      <c r="P11" s="130"/>
      <c r="Q11" s="128"/>
      <c r="R11" s="129"/>
      <c r="S11" s="129"/>
      <c r="T11" s="130"/>
      <c r="U11" s="128"/>
      <c r="V11" s="129"/>
      <c r="W11" s="131"/>
      <c r="X11" s="129"/>
      <c r="Y11" s="130"/>
      <c r="Z11" s="128"/>
      <c r="AA11" s="129"/>
      <c r="AB11" s="131"/>
      <c r="AC11" s="129"/>
      <c r="AD11" s="130"/>
      <c r="AE11" s="132">
        <f t="shared" ref="AE11:AE49" si="1">COUNTIF(E11:AD11,"TRUE")</f>
        <v>1</v>
      </c>
    </row>
    <row r="12" ht="13.8" spans="1:31">
      <c r="A12" s="133">
        <v>2</v>
      </c>
      <c r="B12" s="134"/>
      <c r="C12" s="134"/>
      <c r="D12" s="134" t="s">
        <v>3404</v>
      </c>
      <c r="E12" s="135" t="b">
        <v>1</v>
      </c>
      <c r="F12" s="136" t="b">
        <v>1</v>
      </c>
      <c r="G12" s="136" t="b">
        <v>1</v>
      </c>
      <c r="H12" s="137" t="b">
        <v>1</v>
      </c>
      <c r="I12" s="135"/>
      <c r="J12" s="136"/>
      <c r="K12" s="136"/>
      <c r="L12" s="137"/>
      <c r="M12" s="135"/>
      <c r="N12" s="136"/>
      <c r="O12" s="136"/>
      <c r="P12" s="137"/>
      <c r="Q12" s="135"/>
      <c r="R12" s="136"/>
      <c r="S12" s="136"/>
      <c r="T12" s="137"/>
      <c r="U12" s="135"/>
      <c r="V12" s="136"/>
      <c r="W12" s="138"/>
      <c r="X12" s="136"/>
      <c r="Y12" s="137"/>
      <c r="Z12" s="135"/>
      <c r="AA12" s="136"/>
      <c r="AB12" s="138"/>
      <c r="AC12" s="136"/>
      <c r="AD12" s="137"/>
      <c r="AE12" s="139">
        <f t="shared" si="1"/>
        <v>4</v>
      </c>
    </row>
    <row r="13" ht="13.8" spans="1:31">
      <c r="A13" s="125">
        <v>3</v>
      </c>
      <c r="B13" s="126" t="s">
        <v>3405</v>
      </c>
      <c r="C13" s="126" t="s">
        <v>2</v>
      </c>
      <c r="D13" s="126" t="s">
        <v>3406</v>
      </c>
      <c r="E13" s="128" t="b">
        <v>1</v>
      </c>
      <c r="F13" s="129" t="b">
        <v>1</v>
      </c>
      <c r="G13" s="129" t="b">
        <v>1</v>
      </c>
      <c r="H13" s="130" t="b">
        <v>1</v>
      </c>
      <c r="I13" s="128"/>
      <c r="J13" s="129"/>
      <c r="K13" s="129"/>
      <c r="L13" s="130"/>
      <c r="M13" s="128"/>
      <c r="N13" s="129"/>
      <c r="O13" s="129"/>
      <c r="P13" s="130"/>
      <c r="Q13" s="128"/>
      <c r="R13" s="129"/>
      <c r="S13" s="129"/>
      <c r="T13" s="130"/>
      <c r="U13" s="128"/>
      <c r="V13" s="129"/>
      <c r="W13" s="131"/>
      <c r="X13" s="129"/>
      <c r="Y13" s="130"/>
      <c r="Z13" s="128"/>
      <c r="AA13" s="129"/>
      <c r="AB13" s="131"/>
      <c r="AC13" s="129"/>
      <c r="AD13" s="130"/>
      <c r="AE13" s="132">
        <f t="shared" si="1"/>
        <v>4</v>
      </c>
    </row>
    <row r="14" ht="13.8" spans="1:31">
      <c r="A14" s="133">
        <v>4</v>
      </c>
      <c r="B14" s="134" t="s">
        <v>3405</v>
      </c>
      <c r="C14" s="134" t="s">
        <v>3</v>
      </c>
      <c r="D14" s="134" t="s">
        <v>75</v>
      </c>
      <c r="E14" s="135" t="b">
        <v>1</v>
      </c>
      <c r="F14" s="136" t="b">
        <v>1</v>
      </c>
      <c r="G14" s="136" t="b">
        <v>1</v>
      </c>
      <c r="H14" s="137" t="b">
        <v>1</v>
      </c>
      <c r="I14" s="135"/>
      <c r="J14" s="136"/>
      <c r="K14" s="136"/>
      <c r="L14" s="137"/>
      <c r="M14" s="135"/>
      <c r="N14" s="136"/>
      <c r="O14" s="136"/>
      <c r="P14" s="137"/>
      <c r="Q14" s="135"/>
      <c r="R14" s="136"/>
      <c r="S14" s="136"/>
      <c r="T14" s="137"/>
      <c r="U14" s="135"/>
      <c r="V14" s="136"/>
      <c r="W14" s="138"/>
      <c r="X14" s="136"/>
      <c r="Y14" s="137"/>
      <c r="Z14" s="135"/>
      <c r="AA14" s="136"/>
      <c r="AB14" s="138"/>
      <c r="AC14" s="136"/>
      <c r="AD14" s="137"/>
      <c r="AE14" s="139">
        <f t="shared" si="1"/>
        <v>4</v>
      </c>
    </row>
    <row r="15" ht="13.8" spans="1:31">
      <c r="A15" s="125">
        <v>5</v>
      </c>
      <c r="B15" s="126" t="s">
        <v>3407</v>
      </c>
      <c r="C15" s="126" t="s">
        <v>2</v>
      </c>
      <c r="D15" s="126" t="s">
        <v>3408</v>
      </c>
      <c r="E15" s="128" t="b">
        <v>1</v>
      </c>
      <c r="F15" s="129" t="b">
        <v>1</v>
      </c>
      <c r="G15" s="129" t="b">
        <v>1</v>
      </c>
      <c r="H15" s="130" t="b">
        <v>1</v>
      </c>
      <c r="I15" s="128"/>
      <c r="J15" s="129"/>
      <c r="K15" s="129"/>
      <c r="L15" s="130"/>
      <c r="M15" s="128"/>
      <c r="N15" s="129"/>
      <c r="O15" s="129"/>
      <c r="P15" s="130"/>
      <c r="Q15" s="128"/>
      <c r="R15" s="129"/>
      <c r="S15" s="129"/>
      <c r="T15" s="130"/>
      <c r="U15" s="128"/>
      <c r="V15" s="129"/>
      <c r="W15" s="131"/>
      <c r="X15" s="129"/>
      <c r="Y15" s="130"/>
      <c r="Z15" s="128"/>
      <c r="AA15" s="129"/>
      <c r="AB15" s="131"/>
      <c r="AC15" s="129"/>
      <c r="AD15" s="130"/>
      <c r="AE15" s="132">
        <f t="shared" si="1"/>
        <v>4</v>
      </c>
    </row>
    <row r="16" ht="13.8" spans="1:31">
      <c r="A16" s="133">
        <v>6</v>
      </c>
      <c r="B16" s="134" t="s">
        <v>3407</v>
      </c>
      <c r="C16" s="134" t="s">
        <v>3</v>
      </c>
      <c r="D16" s="134" t="s">
        <v>3409</v>
      </c>
      <c r="E16" s="135" t="b">
        <v>1</v>
      </c>
      <c r="F16" s="136" t="b">
        <v>1</v>
      </c>
      <c r="G16" s="136" t="b">
        <v>1</v>
      </c>
      <c r="H16" s="137" t="b">
        <v>1</v>
      </c>
      <c r="I16" s="135"/>
      <c r="J16" s="136"/>
      <c r="K16" s="136"/>
      <c r="L16" s="137"/>
      <c r="M16" s="135"/>
      <c r="N16" s="136"/>
      <c r="O16" s="136"/>
      <c r="P16" s="137"/>
      <c r="Q16" s="135"/>
      <c r="R16" s="136"/>
      <c r="S16" s="136"/>
      <c r="T16" s="137"/>
      <c r="U16" s="135"/>
      <c r="V16" s="136"/>
      <c r="W16" s="138"/>
      <c r="X16" s="136"/>
      <c r="Y16" s="137"/>
      <c r="Z16" s="135"/>
      <c r="AA16" s="136"/>
      <c r="AB16" s="138"/>
      <c r="AC16" s="136"/>
      <c r="AD16" s="137"/>
      <c r="AE16" s="139">
        <f t="shared" si="1"/>
        <v>4</v>
      </c>
    </row>
    <row r="17" ht="13.8" spans="1:31">
      <c r="A17" s="125">
        <v>7</v>
      </c>
      <c r="B17" s="126"/>
      <c r="C17" s="126" t="s">
        <v>2</v>
      </c>
      <c r="D17" s="126" t="s">
        <v>3410</v>
      </c>
      <c r="E17" s="128" t="b">
        <v>1</v>
      </c>
      <c r="F17" s="129" t="b">
        <v>0</v>
      </c>
      <c r="G17" s="129" t="b">
        <v>1</v>
      </c>
      <c r="H17" s="130" t="b">
        <v>1</v>
      </c>
      <c r="I17" s="128"/>
      <c r="J17" s="129"/>
      <c r="K17" s="129"/>
      <c r="L17" s="130"/>
      <c r="M17" s="128"/>
      <c r="N17" s="129"/>
      <c r="O17" s="129"/>
      <c r="P17" s="130"/>
      <c r="Q17" s="128"/>
      <c r="R17" s="129"/>
      <c r="S17" s="129"/>
      <c r="T17" s="130"/>
      <c r="U17" s="128"/>
      <c r="V17" s="129"/>
      <c r="W17" s="131"/>
      <c r="X17" s="129"/>
      <c r="Y17" s="130"/>
      <c r="Z17" s="128"/>
      <c r="AA17" s="129"/>
      <c r="AB17" s="131"/>
      <c r="AC17" s="129"/>
      <c r="AD17" s="130"/>
      <c r="AE17" s="132">
        <f t="shared" si="1"/>
        <v>3</v>
      </c>
    </row>
    <row r="18" ht="13.8" spans="1:31">
      <c r="A18" s="133">
        <v>9</v>
      </c>
      <c r="B18" s="134" t="s">
        <v>2179</v>
      </c>
      <c r="C18" s="134" t="s">
        <v>3411</v>
      </c>
      <c r="D18" s="134" t="s">
        <v>3412</v>
      </c>
      <c r="E18" s="135" t="b">
        <v>0</v>
      </c>
      <c r="F18" s="136" t="b">
        <v>0</v>
      </c>
      <c r="G18" s="136" t="b">
        <v>0</v>
      </c>
      <c r="H18" s="137" t="b">
        <v>0</v>
      </c>
      <c r="I18" s="135"/>
      <c r="J18" s="136"/>
      <c r="K18" s="136"/>
      <c r="L18" s="137"/>
      <c r="M18" s="135"/>
      <c r="N18" s="136"/>
      <c r="O18" s="136"/>
      <c r="P18" s="137"/>
      <c r="Q18" s="135"/>
      <c r="R18" s="136"/>
      <c r="S18" s="136"/>
      <c r="T18" s="137"/>
      <c r="U18" s="135"/>
      <c r="V18" s="136"/>
      <c r="W18" s="138"/>
      <c r="X18" s="136"/>
      <c r="Y18" s="137"/>
      <c r="Z18" s="135"/>
      <c r="AA18" s="136"/>
      <c r="AB18" s="138"/>
      <c r="AC18" s="136"/>
      <c r="AD18" s="137"/>
      <c r="AE18" s="139">
        <f t="shared" si="1"/>
        <v>0</v>
      </c>
    </row>
    <row r="19" ht="13.8" spans="1:31">
      <c r="A19" s="125">
        <v>10</v>
      </c>
      <c r="B19" s="126" t="s">
        <v>3204</v>
      </c>
      <c r="C19" s="126" t="s">
        <v>3413</v>
      </c>
      <c r="D19" s="126" t="s">
        <v>3414</v>
      </c>
      <c r="E19" s="131" t="b">
        <v>0</v>
      </c>
      <c r="F19" s="131" t="b">
        <v>0</v>
      </c>
      <c r="G19" s="131" t="b">
        <v>0</v>
      </c>
      <c r="H19" s="131" t="b">
        <v>0</v>
      </c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2">
        <f t="shared" si="1"/>
        <v>0</v>
      </c>
    </row>
    <row r="20" ht="15.75" customHeight="1" spans="1:31">
      <c r="A20" s="133">
        <v>11</v>
      </c>
      <c r="B20" s="134" t="s">
        <v>3204</v>
      </c>
      <c r="C20" s="134" t="s">
        <v>3413</v>
      </c>
      <c r="D20" s="134" t="s">
        <v>3415</v>
      </c>
      <c r="E20" s="135" t="b">
        <v>0</v>
      </c>
      <c r="F20" s="136" t="b">
        <v>0</v>
      </c>
      <c r="G20" s="136" t="b">
        <v>0</v>
      </c>
      <c r="H20" s="137" t="b">
        <v>0</v>
      </c>
      <c r="I20" s="135"/>
      <c r="J20" s="136"/>
      <c r="K20" s="136"/>
      <c r="L20" s="137"/>
      <c r="M20" s="135"/>
      <c r="N20" s="136"/>
      <c r="O20" s="136"/>
      <c r="P20" s="137"/>
      <c r="Q20" s="135"/>
      <c r="R20" s="136"/>
      <c r="S20" s="136"/>
      <c r="T20" s="137"/>
      <c r="U20" s="135"/>
      <c r="V20" s="136"/>
      <c r="W20" s="138"/>
      <c r="X20" s="136"/>
      <c r="Y20" s="137"/>
      <c r="Z20" s="135"/>
      <c r="AA20" s="136"/>
      <c r="AB20" s="138"/>
      <c r="AC20" s="136"/>
      <c r="AD20" s="137"/>
      <c r="AE20" s="139">
        <f t="shared" si="1"/>
        <v>0</v>
      </c>
    </row>
    <row r="21" ht="15.75" customHeight="1" spans="1:31">
      <c r="A21" s="125">
        <v>12</v>
      </c>
      <c r="B21" s="127" t="s">
        <v>3416</v>
      </c>
      <c r="C21" s="126" t="s">
        <v>2</v>
      </c>
      <c r="D21" s="126" t="s">
        <v>3417</v>
      </c>
      <c r="E21" s="128" t="b">
        <v>1</v>
      </c>
      <c r="F21" s="129" t="b">
        <v>1</v>
      </c>
      <c r="G21" s="129" t="b">
        <v>1</v>
      </c>
      <c r="H21" s="130" t="b">
        <v>0</v>
      </c>
      <c r="I21" s="128"/>
      <c r="J21" s="129"/>
      <c r="K21" s="129"/>
      <c r="L21" s="130"/>
      <c r="M21" s="128"/>
      <c r="N21" s="129"/>
      <c r="O21" s="129"/>
      <c r="P21" s="130"/>
      <c r="Q21" s="128"/>
      <c r="R21" s="129"/>
      <c r="S21" s="129"/>
      <c r="T21" s="130"/>
      <c r="U21" s="128"/>
      <c r="V21" s="129"/>
      <c r="W21" s="131"/>
      <c r="X21" s="129"/>
      <c r="Y21" s="130"/>
      <c r="Z21" s="128"/>
      <c r="AA21" s="129"/>
      <c r="AB21" s="131"/>
      <c r="AC21" s="129"/>
      <c r="AD21" s="130"/>
      <c r="AE21" s="132">
        <f t="shared" si="1"/>
        <v>3</v>
      </c>
    </row>
    <row r="22" ht="15.75" customHeight="1" spans="1:31">
      <c r="A22" s="133">
        <v>13</v>
      </c>
      <c r="B22" s="134"/>
      <c r="C22" s="134" t="s">
        <v>3411</v>
      </c>
      <c r="D22" s="134" t="s">
        <v>3418</v>
      </c>
      <c r="E22" s="135" t="b">
        <v>1</v>
      </c>
      <c r="F22" s="136" t="b">
        <v>0</v>
      </c>
      <c r="G22" s="136" t="b">
        <v>1</v>
      </c>
      <c r="H22" s="137" t="b">
        <v>0</v>
      </c>
      <c r="I22" s="135"/>
      <c r="J22" s="136"/>
      <c r="K22" s="136"/>
      <c r="L22" s="137"/>
      <c r="M22" s="135"/>
      <c r="N22" s="136"/>
      <c r="O22" s="136"/>
      <c r="P22" s="137"/>
      <c r="Q22" s="135"/>
      <c r="R22" s="136"/>
      <c r="S22" s="136"/>
      <c r="T22" s="137"/>
      <c r="U22" s="135"/>
      <c r="V22" s="136"/>
      <c r="W22" s="138"/>
      <c r="X22" s="136"/>
      <c r="Y22" s="137"/>
      <c r="Z22" s="135"/>
      <c r="AA22" s="136"/>
      <c r="AB22" s="138"/>
      <c r="AC22" s="136"/>
      <c r="AD22" s="137"/>
      <c r="AE22" s="139">
        <f t="shared" si="1"/>
        <v>2</v>
      </c>
    </row>
    <row r="23" ht="15.75" customHeight="1" spans="1:31">
      <c r="A23" s="125">
        <v>14</v>
      </c>
      <c r="B23" s="127" t="s">
        <v>3419</v>
      </c>
      <c r="C23" s="126"/>
      <c r="D23" s="126" t="s">
        <v>3420</v>
      </c>
      <c r="E23" s="128" t="b">
        <v>1</v>
      </c>
      <c r="F23" s="129" t="b">
        <v>1</v>
      </c>
      <c r="G23" s="129" t="b">
        <v>1</v>
      </c>
      <c r="H23" s="130" t="b">
        <v>1</v>
      </c>
      <c r="I23" s="128"/>
      <c r="J23" s="129"/>
      <c r="K23" s="129"/>
      <c r="L23" s="130"/>
      <c r="M23" s="128"/>
      <c r="N23" s="129"/>
      <c r="O23" s="129"/>
      <c r="P23" s="130"/>
      <c r="Q23" s="128"/>
      <c r="R23" s="129"/>
      <c r="S23" s="129"/>
      <c r="T23" s="130"/>
      <c r="U23" s="128"/>
      <c r="V23" s="129"/>
      <c r="W23" s="131"/>
      <c r="X23" s="129"/>
      <c r="Y23" s="130"/>
      <c r="Z23" s="128"/>
      <c r="AA23" s="129"/>
      <c r="AB23" s="131"/>
      <c r="AC23" s="129"/>
      <c r="AD23" s="130"/>
      <c r="AE23" s="132">
        <f t="shared" si="1"/>
        <v>4</v>
      </c>
    </row>
    <row r="24" ht="15.75" customHeight="1" spans="1:31">
      <c r="A24" s="133">
        <v>16</v>
      </c>
      <c r="B24" s="140" t="s">
        <v>3421</v>
      </c>
      <c r="C24" s="134" t="s">
        <v>2</v>
      </c>
      <c r="D24" s="134" t="s">
        <v>1657</v>
      </c>
      <c r="E24" s="135" t="b">
        <v>1</v>
      </c>
      <c r="F24" s="136" t="b">
        <v>1</v>
      </c>
      <c r="G24" s="136" t="b">
        <v>1</v>
      </c>
      <c r="H24" s="137" t="b">
        <v>1</v>
      </c>
      <c r="I24" s="135"/>
      <c r="J24" s="136"/>
      <c r="K24" s="136"/>
      <c r="L24" s="137"/>
      <c r="M24" s="135"/>
      <c r="N24" s="136"/>
      <c r="O24" s="136"/>
      <c r="P24" s="137"/>
      <c r="Q24" s="135"/>
      <c r="R24" s="136"/>
      <c r="S24" s="136"/>
      <c r="T24" s="137"/>
      <c r="U24" s="135"/>
      <c r="V24" s="136"/>
      <c r="W24" s="138"/>
      <c r="X24" s="136"/>
      <c r="Y24" s="137"/>
      <c r="Z24" s="135"/>
      <c r="AA24" s="136"/>
      <c r="AB24" s="138"/>
      <c r="AC24" s="136"/>
      <c r="AD24" s="137"/>
      <c r="AE24" s="139">
        <f t="shared" si="1"/>
        <v>4</v>
      </c>
    </row>
    <row r="25" ht="15.75" customHeight="1" spans="1:31">
      <c r="A25" s="125">
        <v>17</v>
      </c>
      <c r="B25" s="127" t="s">
        <v>3419</v>
      </c>
      <c r="C25" s="126" t="s">
        <v>2</v>
      </c>
      <c r="D25" s="126" t="s">
        <v>3422</v>
      </c>
      <c r="E25" s="128" t="b">
        <v>1</v>
      </c>
      <c r="F25" s="129" t="b">
        <v>1</v>
      </c>
      <c r="G25" s="129" t="b">
        <v>1</v>
      </c>
      <c r="H25" s="130" t="b">
        <v>1</v>
      </c>
      <c r="I25" s="128"/>
      <c r="J25" s="129"/>
      <c r="K25" s="129"/>
      <c r="L25" s="130"/>
      <c r="M25" s="128"/>
      <c r="N25" s="129"/>
      <c r="O25" s="129"/>
      <c r="P25" s="130"/>
      <c r="Q25" s="128"/>
      <c r="R25" s="129"/>
      <c r="S25" s="129"/>
      <c r="T25" s="130"/>
      <c r="U25" s="128"/>
      <c r="V25" s="129"/>
      <c r="W25" s="131"/>
      <c r="X25" s="129"/>
      <c r="Y25" s="130"/>
      <c r="Z25" s="128"/>
      <c r="AA25" s="129"/>
      <c r="AB25" s="131"/>
      <c r="AC25" s="129"/>
      <c r="AD25" s="130"/>
      <c r="AE25" s="132">
        <f t="shared" si="1"/>
        <v>4</v>
      </c>
    </row>
    <row r="26" ht="15.75" customHeight="1" spans="1:31">
      <c r="A26" s="133">
        <v>18</v>
      </c>
      <c r="B26" s="140" t="s">
        <v>3421</v>
      </c>
      <c r="C26" s="134" t="s">
        <v>3</v>
      </c>
      <c r="D26" s="134" t="s">
        <v>108</v>
      </c>
      <c r="E26" s="138" t="b">
        <v>1</v>
      </c>
      <c r="F26" s="138" t="b">
        <v>1</v>
      </c>
      <c r="G26" s="138" t="b">
        <v>1</v>
      </c>
      <c r="H26" s="138" t="b">
        <v>1</v>
      </c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9">
        <f t="shared" si="1"/>
        <v>4</v>
      </c>
    </row>
    <row r="27" ht="15.75" customHeight="1" spans="1:31">
      <c r="A27" s="125">
        <v>19</v>
      </c>
      <c r="B27" s="127" t="s">
        <v>3423</v>
      </c>
      <c r="C27" s="126" t="s">
        <v>3411</v>
      </c>
      <c r="D27" s="126" t="s">
        <v>3424</v>
      </c>
      <c r="E27" s="128" t="b">
        <v>1</v>
      </c>
      <c r="F27" s="129" t="b">
        <v>1</v>
      </c>
      <c r="G27" s="129" t="b">
        <v>1</v>
      </c>
      <c r="H27" s="130" t="b">
        <v>1</v>
      </c>
      <c r="I27" s="128"/>
      <c r="J27" s="129"/>
      <c r="K27" s="129"/>
      <c r="L27" s="130"/>
      <c r="M27" s="128"/>
      <c r="N27" s="129"/>
      <c r="O27" s="129"/>
      <c r="P27" s="130"/>
      <c r="Q27" s="128"/>
      <c r="R27" s="129"/>
      <c r="S27" s="129"/>
      <c r="T27" s="130"/>
      <c r="U27" s="128"/>
      <c r="V27" s="129"/>
      <c r="W27" s="131"/>
      <c r="X27" s="129"/>
      <c r="Y27" s="130"/>
      <c r="Z27" s="128"/>
      <c r="AA27" s="129"/>
      <c r="AB27" s="131"/>
      <c r="AC27" s="129"/>
      <c r="AD27" s="130"/>
      <c r="AE27" s="132">
        <f t="shared" si="1"/>
        <v>4</v>
      </c>
    </row>
    <row r="28" ht="15.75" customHeight="1" spans="1:31">
      <c r="A28" s="133">
        <v>20</v>
      </c>
      <c r="B28" s="140" t="s">
        <v>3423</v>
      </c>
      <c r="C28" s="134" t="s">
        <v>3411</v>
      </c>
      <c r="D28" s="134" t="s">
        <v>3425</v>
      </c>
      <c r="E28" s="135" t="b">
        <v>1</v>
      </c>
      <c r="F28" s="136" t="b">
        <v>1</v>
      </c>
      <c r="G28" s="136" t="b">
        <v>1</v>
      </c>
      <c r="H28" s="137" t="b">
        <v>1</v>
      </c>
      <c r="I28" s="135"/>
      <c r="J28" s="136"/>
      <c r="K28" s="136"/>
      <c r="L28" s="137"/>
      <c r="M28" s="135"/>
      <c r="N28" s="136"/>
      <c r="O28" s="136"/>
      <c r="P28" s="137"/>
      <c r="Q28" s="135"/>
      <c r="R28" s="136"/>
      <c r="S28" s="136"/>
      <c r="T28" s="137"/>
      <c r="U28" s="135"/>
      <c r="V28" s="136"/>
      <c r="W28" s="138"/>
      <c r="X28" s="136"/>
      <c r="Y28" s="137"/>
      <c r="Z28" s="135"/>
      <c r="AA28" s="136"/>
      <c r="AB28" s="138"/>
      <c r="AC28" s="136"/>
      <c r="AD28" s="137"/>
      <c r="AE28" s="139">
        <f t="shared" si="1"/>
        <v>4</v>
      </c>
    </row>
    <row r="29" ht="15.75" customHeight="1" spans="1:31">
      <c r="A29" s="125">
        <v>21</v>
      </c>
      <c r="B29" s="127" t="s">
        <v>3423</v>
      </c>
      <c r="C29" s="126" t="s">
        <v>3411</v>
      </c>
      <c r="D29" s="126" t="s">
        <v>2197</v>
      </c>
      <c r="E29" s="128" t="b">
        <v>0</v>
      </c>
      <c r="F29" s="129" t="b">
        <v>0</v>
      </c>
      <c r="G29" s="129" t="b">
        <v>1</v>
      </c>
      <c r="H29" s="130" t="b">
        <v>0</v>
      </c>
      <c r="I29" s="128"/>
      <c r="J29" s="129"/>
      <c r="K29" s="129"/>
      <c r="L29" s="130"/>
      <c r="M29" s="128"/>
      <c r="N29" s="129"/>
      <c r="O29" s="129"/>
      <c r="P29" s="130"/>
      <c r="Q29" s="128"/>
      <c r="R29" s="129"/>
      <c r="S29" s="129"/>
      <c r="T29" s="130"/>
      <c r="U29" s="128"/>
      <c r="V29" s="129"/>
      <c r="W29" s="131"/>
      <c r="X29" s="129"/>
      <c r="Y29" s="130"/>
      <c r="Z29" s="128"/>
      <c r="AA29" s="129"/>
      <c r="AB29" s="131"/>
      <c r="AC29" s="129"/>
      <c r="AD29" s="130"/>
      <c r="AE29" s="132">
        <f t="shared" si="1"/>
        <v>1</v>
      </c>
    </row>
    <row r="30" ht="15.75" customHeight="1" spans="1:31">
      <c r="A30" s="133">
        <v>22</v>
      </c>
      <c r="B30" s="134"/>
      <c r="C30" s="134" t="s">
        <v>3411</v>
      </c>
      <c r="D30" s="134" t="s">
        <v>3426</v>
      </c>
      <c r="E30" s="135" t="b">
        <v>0</v>
      </c>
      <c r="F30" s="136" t="b">
        <v>0</v>
      </c>
      <c r="G30" s="136" t="b">
        <v>0</v>
      </c>
      <c r="H30" s="137" t="b">
        <v>0</v>
      </c>
      <c r="I30" s="135"/>
      <c r="J30" s="136"/>
      <c r="K30" s="136"/>
      <c r="L30" s="137"/>
      <c r="M30" s="135"/>
      <c r="N30" s="136"/>
      <c r="O30" s="136"/>
      <c r="P30" s="137"/>
      <c r="Q30" s="135"/>
      <c r="R30" s="136"/>
      <c r="S30" s="136"/>
      <c r="T30" s="137"/>
      <c r="U30" s="135"/>
      <c r="V30" s="136"/>
      <c r="W30" s="138"/>
      <c r="X30" s="136"/>
      <c r="Y30" s="137"/>
      <c r="Z30" s="135"/>
      <c r="AA30" s="136"/>
      <c r="AB30" s="138"/>
      <c r="AC30" s="136"/>
      <c r="AD30" s="137"/>
      <c r="AE30" s="139">
        <f t="shared" si="1"/>
        <v>0</v>
      </c>
    </row>
    <row r="31" ht="15.75" customHeight="1" spans="1:31">
      <c r="A31" s="125">
        <v>23</v>
      </c>
      <c r="C31" s="127" t="s">
        <v>3411</v>
      </c>
      <c r="D31" s="127" t="s">
        <v>3427</v>
      </c>
      <c r="E31" s="128" t="b">
        <v>0</v>
      </c>
      <c r="F31" s="129" t="b">
        <v>0</v>
      </c>
      <c r="G31" s="129" t="b">
        <v>0</v>
      </c>
      <c r="H31" s="130" t="b">
        <v>0</v>
      </c>
      <c r="I31" s="128"/>
      <c r="J31" s="129"/>
      <c r="K31" s="129"/>
      <c r="L31" s="130"/>
      <c r="M31" s="128"/>
      <c r="N31" s="129"/>
      <c r="O31" s="129"/>
      <c r="P31" s="130"/>
      <c r="Q31" s="128"/>
      <c r="R31" s="129"/>
      <c r="S31" s="129"/>
      <c r="T31" s="130"/>
      <c r="U31" s="128"/>
      <c r="V31" s="129"/>
      <c r="W31" s="131"/>
      <c r="X31" s="129"/>
      <c r="Y31" s="130"/>
      <c r="Z31" s="128"/>
      <c r="AA31" s="129"/>
      <c r="AB31" s="131"/>
      <c r="AC31" s="129"/>
      <c r="AD31" s="130"/>
      <c r="AE31" s="132">
        <f t="shared" si="1"/>
        <v>0</v>
      </c>
    </row>
    <row r="32" ht="15.75" customHeight="1" spans="1:31">
      <c r="A32" s="133">
        <v>626</v>
      </c>
      <c r="B32" s="140" t="s">
        <v>3428</v>
      </c>
      <c r="C32" s="134" t="s">
        <v>2</v>
      </c>
      <c r="D32" s="134" t="s">
        <v>3429</v>
      </c>
      <c r="E32" s="135" t="b">
        <v>1</v>
      </c>
      <c r="F32" s="136" t="b">
        <v>1</v>
      </c>
      <c r="G32" s="136" t="b">
        <v>1</v>
      </c>
      <c r="H32" s="137" t="b">
        <v>0</v>
      </c>
      <c r="I32" s="135"/>
      <c r="J32" s="136"/>
      <c r="K32" s="136"/>
      <c r="L32" s="137"/>
      <c r="M32" s="135"/>
      <c r="N32" s="136"/>
      <c r="O32" s="136"/>
      <c r="P32" s="137"/>
      <c r="Q32" s="135"/>
      <c r="R32" s="136"/>
      <c r="S32" s="136"/>
      <c r="T32" s="137"/>
      <c r="U32" s="135"/>
      <c r="V32" s="136"/>
      <c r="W32" s="138"/>
      <c r="X32" s="136"/>
      <c r="Y32" s="137"/>
      <c r="Z32" s="135"/>
      <c r="AA32" s="136"/>
      <c r="AB32" s="138"/>
      <c r="AC32" s="136"/>
      <c r="AD32" s="137"/>
      <c r="AE32" s="139">
        <f t="shared" si="1"/>
        <v>3</v>
      </c>
    </row>
    <row r="33" ht="15.75" customHeight="1" spans="1:31">
      <c r="A33" s="125">
        <v>24</v>
      </c>
      <c r="B33" s="127" t="s">
        <v>3430</v>
      </c>
      <c r="C33" s="126" t="s">
        <v>3411</v>
      </c>
      <c r="D33" s="126" t="s">
        <v>3431</v>
      </c>
      <c r="E33" s="128" t="b">
        <v>0</v>
      </c>
      <c r="F33" s="129" t="b">
        <v>0</v>
      </c>
      <c r="G33" s="129" t="b">
        <v>0</v>
      </c>
      <c r="H33" s="130" t="b">
        <v>1</v>
      </c>
      <c r="I33" s="128"/>
      <c r="J33" s="129"/>
      <c r="K33" s="129"/>
      <c r="L33" s="130"/>
      <c r="M33" s="128"/>
      <c r="N33" s="129"/>
      <c r="O33" s="129"/>
      <c r="P33" s="130"/>
      <c r="Q33" s="128"/>
      <c r="R33" s="129"/>
      <c r="S33" s="129"/>
      <c r="T33" s="130"/>
      <c r="U33" s="128"/>
      <c r="V33" s="129"/>
      <c r="W33" s="131"/>
      <c r="X33" s="129"/>
      <c r="Y33" s="130"/>
      <c r="Z33" s="128"/>
      <c r="AA33" s="129"/>
      <c r="AB33" s="131"/>
      <c r="AC33" s="129"/>
      <c r="AD33" s="130"/>
      <c r="AE33" s="132">
        <f t="shared" si="1"/>
        <v>1</v>
      </c>
    </row>
    <row r="34" ht="15.75" customHeight="1" spans="1:31">
      <c r="A34" s="133">
        <v>25</v>
      </c>
      <c r="B34" s="140" t="s">
        <v>3428</v>
      </c>
      <c r="C34" s="134" t="s">
        <v>3</v>
      </c>
      <c r="D34" s="134" t="s">
        <v>135</v>
      </c>
      <c r="E34" s="135" t="b">
        <v>1</v>
      </c>
      <c r="F34" s="136" t="b">
        <v>1</v>
      </c>
      <c r="G34" s="136" t="b">
        <v>1</v>
      </c>
      <c r="H34" s="137" t="b">
        <v>1</v>
      </c>
      <c r="I34" s="135"/>
      <c r="J34" s="136"/>
      <c r="K34" s="136"/>
      <c r="L34" s="137"/>
      <c r="M34" s="135"/>
      <c r="N34" s="136"/>
      <c r="O34" s="136"/>
      <c r="P34" s="137"/>
      <c r="Q34" s="135"/>
      <c r="R34" s="136"/>
      <c r="S34" s="136"/>
      <c r="T34" s="137"/>
      <c r="U34" s="135"/>
      <c r="V34" s="136"/>
      <c r="W34" s="138"/>
      <c r="X34" s="136"/>
      <c r="Y34" s="137"/>
      <c r="Z34" s="135"/>
      <c r="AA34" s="136"/>
      <c r="AB34" s="138"/>
      <c r="AC34" s="136"/>
      <c r="AD34" s="137"/>
      <c r="AE34" s="139">
        <f t="shared" si="1"/>
        <v>4</v>
      </c>
    </row>
    <row r="35" ht="15.75" customHeight="1" spans="1:31">
      <c r="A35" s="125">
        <v>26</v>
      </c>
      <c r="B35" s="127" t="s">
        <v>3432</v>
      </c>
      <c r="C35" s="126" t="s">
        <v>2</v>
      </c>
      <c r="D35" s="126" t="s">
        <v>3433</v>
      </c>
      <c r="E35" s="128" t="b">
        <v>0</v>
      </c>
      <c r="F35" s="129" t="b">
        <v>1</v>
      </c>
      <c r="G35" s="129" t="b">
        <v>1</v>
      </c>
      <c r="H35" s="130" t="b">
        <v>1</v>
      </c>
      <c r="I35" s="128"/>
      <c r="J35" s="129"/>
      <c r="K35" s="129"/>
      <c r="L35" s="130"/>
      <c r="M35" s="128"/>
      <c r="N35" s="129"/>
      <c r="O35" s="129"/>
      <c r="P35" s="130"/>
      <c r="Q35" s="128"/>
      <c r="R35" s="129"/>
      <c r="S35" s="129"/>
      <c r="T35" s="130"/>
      <c r="U35" s="128"/>
      <c r="V35" s="129"/>
      <c r="W35" s="131"/>
      <c r="X35" s="129"/>
      <c r="Y35" s="130"/>
      <c r="Z35" s="128"/>
      <c r="AA35" s="129"/>
      <c r="AB35" s="131"/>
      <c r="AC35" s="129"/>
      <c r="AD35" s="130"/>
      <c r="AE35" s="132">
        <f t="shared" si="1"/>
        <v>3</v>
      </c>
    </row>
    <row r="36" ht="15.75" customHeight="1" spans="1:31">
      <c r="A36" s="133">
        <v>27</v>
      </c>
      <c r="B36" s="140" t="s">
        <v>3434</v>
      </c>
      <c r="C36" s="134"/>
      <c r="D36" s="140" t="s">
        <v>3435</v>
      </c>
      <c r="E36" s="135" t="b">
        <v>0</v>
      </c>
      <c r="F36" s="136" t="b">
        <v>0</v>
      </c>
      <c r="G36" s="136" t="b">
        <v>1</v>
      </c>
      <c r="H36" s="137" t="b">
        <v>0</v>
      </c>
      <c r="I36" s="135"/>
      <c r="J36" s="136"/>
      <c r="K36" s="136"/>
      <c r="L36" s="137"/>
      <c r="M36" s="135"/>
      <c r="N36" s="136"/>
      <c r="O36" s="136"/>
      <c r="P36" s="137"/>
      <c r="Q36" s="135"/>
      <c r="R36" s="136"/>
      <c r="S36" s="136"/>
      <c r="T36" s="137"/>
      <c r="U36" s="135"/>
      <c r="V36" s="136"/>
      <c r="W36" s="138"/>
      <c r="X36" s="136"/>
      <c r="Y36" s="137"/>
      <c r="Z36" s="135"/>
      <c r="AA36" s="136"/>
      <c r="AB36" s="138"/>
      <c r="AC36" s="136"/>
      <c r="AD36" s="137"/>
      <c r="AE36" s="139">
        <f t="shared" si="1"/>
        <v>1</v>
      </c>
    </row>
    <row r="37" ht="15.75" customHeight="1" spans="1:31">
      <c r="A37" s="125">
        <v>28</v>
      </c>
      <c r="C37" s="126" t="s">
        <v>3</v>
      </c>
      <c r="D37" s="126" t="s">
        <v>3436</v>
      </c>
      <c r="E37" s="128" t="b">
        <v>0</v>
      </c>
      <c r="F37" s="129" t="b">
        <v>0</v>
      </c>
      <c r="G37" s="129" t="b">
        <v>0</v>
      </c>
      <c r="H37" s="130" t="b">
        <v>1</v>
      </c>
      <c r="I37" s="128"/>
      <c r="J37" s="129"/>
      <c r="K37" s="129"/>
      <c r="L37" s="130"/>
      <c r="M37" s="128"/>
      <c r="N37" s="129"/>
      <c r="O37" s="129"/>
      <c r="P37" s="130"/>
      <c r="Q37" s="128"/>
      <c r="R37" s="129"/>
      <c r="S37" s="129"/>
      <c r="T37" s="130"/>
      <c r="U37" s="128"/>
      <c r="V37" s="129"/>
      <c r="W37" s="131"/>
      <c r="X37" s="129"/>
      <c r="Y37" s="130"/>
      <c r="Z37" s="128"/>
      <c r="AA37" s="129"/>
      <c r="AB37" s="131"/>
      <c r="AC37" s="129"/>
      <c r="AD37" s="130"/>
      <c r="AE37" s="132">
        <f t="shared" si="1"/>
        <v>1</v>
      </c>
    </row>
    <row r="38" ht="15.75" customHeight="1" spans="1:31">
      <c r="A38" s="133">
        <v>29</v>
      </c>
      <c r="B38" s="134" t="s">
        <v>2206</v>
      </c>
      <c r="C38" s="134" t="s">
        <v>3411</v>
      </c>
      <c r="D38" s="134" t="s">
        <v>3437</v>
      </c>
      <c r="E38" s="135" t="b">
        <v>0</v>
      </c>
      <c r="F38" s="136" t="b">
        <v>0</v>
      </c>
      <c r="G38" s="136" t="b">
        <v>0</v>
      </c>
      <c r="H38" s="137" t="b">
        <v>0</v>
      </c>
      <c r="I38" s="135"/>
      <c r="J38" s="136"/>
      <c r="K38" s="136"/>
      <c r="L38" s="137"/>
      <c r="M38" s="135"/>
      <c r="N38" s="136"/>
      <c r="O38" s="136"/>
      <c r="P38" s="137"/>
      <c r="Q38" s="135"/>
      <c r="R38" s="136"/>
      <c r="S38" s="136"/>
      <c r="T38" s="137"/>
      <c r="U38" s="135"/>
      <c r="V38" s="136"/>
      <c r="W38" s="138"/>
      <c r="X38" s="136"/>
      <c r="Y38" s="137"/>
      <c r="Z38" s="135"/>
      <c r="AA38" s="136"/>
      <c r="AB38" s="138"/>
      <c r="AC38" s="136"/>
      <c r="AD38" s="137"/>
      <c r="AE38" s="139">
        <f t="shared" si="1"/>
        <v>0</v>
      </c>
    </row>
    <row r="39" ht="15.75" customHeight="1" spans="1:31">
      <c r="A39" s="125">
        <v>31</v>
      </c>
      <c r="B39" s="127" t="s">
        <v>3438</v>
      </c>
      <c r="C39" s="126" t="s">
        <v>3413</v>
      </c>
      <c r="D39" s="126" t="s">
        <v>3439</v>
      </c>
      <c r="E39" s="128" t="b">
        <v>1</v>
      </c>
      <c r="F39" s="129" t="b">
        <v>1</v>
      </c>
      <c r="G39" s="129" t="b">
        <v>1</v>
      </c>
      <c r="H39" s="130" t="b">
        <v>1</v>
      </c>
      <c r="I39" s="128"/>
      <c r="J39" s="129"/>
      <c r="K39" s="129"/>
      <c r="L39" s="130"/>
      <c r="M39" s="128"/>
      <c r="N39" s="129"/>
      <c r="O39" s="129"/>
      <c r="P39" s="130"/>
      <c r="Q39" s="128"/>
      <c r="R39" s="129"/>
      <c r="S39" s="129"/>
      <c r="T39" s="130"/>
      <c r="U39" s="128"/>
      <c r="V39" s="129"/>
      <c r="W39" s="131"/>
      <c r="X39" s="129"/>
      <c r="Y39" s="130"/>
      <c r="Z39" s="128"/>
      <c r="AA39" s="129"/>
      <c r="AB39" s="131"/>
      <c r="AC39" s="129"/>
      <c r="AD39" s="130"/>
      <c r="AE39" s="132">
        <f t="shared" si="1"/>
        <v>4</v>
      </c>
    </row>
    <row r="40" ht="15.75" customHeight="1" spans="1:31">
      <c r="A40" s="133">
        <v>32</v>
      </c>
      <c r="B40" s="140" t="s">
        <v>3440</v>
      </c>
      <c r="C40" s="134" t="s">
        <v>2</v>
      </c>
      <c r="D40" s="134" t="s">
        <v>3441</v>
      </c>
      <c r="E40" s="135" t="b">
        <v>0</v>
      </c>
      <c r="F40" s="136" t="b">
        <v>0</v>
      </c>
      <c r="G40" s="136" t="b">
        <v>0</v>
      </c>
      <c r="H40" s="137" t="b">
        <v>0</v>
      </c>
      <c r="I40" s="135"/>
      <c r="J40" s="136"/>
      <c r="K40" s="136"/>
      <c r="L40" s="137"/>
      <c r="M40" s="135"/>
      <c r="N40" s="136"/>
      <c r="O40" s="136"/>
      <c r="P40" s="137"/>
      <c r="Q40" s="135"/>
      <c r="R40" s="136"/>
      <c r="S40" s="136"/>
      <c r="T40" s="137"/>
      <c r="U40" s="135"/>
      <c r="V40" s="136"/>
      <c r="W40" s="138"/>
      <c r="X40" s="136"/>
      <c r="Y40" s="137"/>
      <c r="Z40" s="135"/>
      <c r="AA40" s="136"/>
      <c r="AB40" s="138"/>
      <c r="AC40" s="136"/>
      <c r="AD40" s="137"/>
      <c r="AE40" s="139">
        <f t="shared" si="1"/>
        <v>0</v>
      </c>
    </row>
    <row r="41" ht="15.75" customHeight="1" spans="1:31">
      <c r="A41" s="125">
        <v>33</v>
      </c>
      <c r="B41" s="127" t="s">
        <v>3440</v>
      </c>
      <c r="C41" s="126" t="s">
        <v>3</v>
      </c>
      <c r="D41" s="126" t="s">
        <v>174</v>
      </c>
      <c r="E41" s="128" t="b">
        <v>1</v>
      </c>
      <c r="F41" s="129" t="b">
        <v>1</v>
      </c>
      <c r="G41" s="129" t="b">
        <v>1</v>
      </c>
      <c r="H41" s="130" t="b">
        <v>1</v>
      </c>
      <c r="I41" s="128"/>
      <c r="J41" s="129"/>
      <c r="K41" s="129"/>
      <c r="L41" s="130"/>
      <c r="M41" s="128"/>
      <c r="N41" s="129"/>
      <c r="O41" s="129"/>
      <c r="P41" s="130"/>
      <c r="Q41" s="128"/>
      <c r="R41" s="129"/>
      <c r="S41" s="129"/>
      <c r="T41" s="130"/>
      <c r="U41" s="128"/>
      <c r="V41" s="129"/>
      <c r="W41" s="131"/>
      <c r="X41" s="129"/>
      <c r="Y41" s="130"/>
      <c r="Z41" s="128"/>
      <c r="AA41" s="129"/>
      <c r="AB41" s="131"/>
      <c r="AC41" s="129"/>
      <c r="AD41" s="130"/>
      <c r="AE41" s="132">
        <f t="shared" si="1"/>
        <v>4</v>
      </c>
    </row>
    <row r="42" ht="15.75" customHeight="1" spans="1:31">
      <c r="A42" s="133">
        <v>34</v>
      </c>
      <c r="B42" s="140" t="s">
        <v>3438</v>
      </c>
      <c r="C42" s="134" t="s">
        <v>3413</v>
      </c>
      <c r="D42" s="134" t="s">
        <v>3442</v>
      </c>
      <c r="E42" s="135" t="b">
        <v>0</v>
      </c>
      <c r="F42" s="136" t="b">
        <v>0</v>
      </c>
      <c r="G42" s="136" t="b">
        <v>0</v>
      </c>
      <c r="H42" s="137" t="b">
        <v>0</v>
      </c>
      <c r="I42" s="135"/>
      <c r="J42" s="136"/>
      <c r="K42" s="136"/>
      <c r="L42" s="137"/>
      <c r="M42" s="135"/>
      <c r="N42" s="136"/>
      <c r="O42" s="136"/>
      <c r="P42" s="137"/>
      <c r="Q42" s="135"/>
      <c r="R42" s="136"/>
      <c r="S42" s="136"/>
      <c r="T42" s="137"/>
      <c r="U42" s="135"/>
      <c r="V42" s="136"/>
      <c r="W42" s="138"/>
      <c r="X42" s="136"/>
      <c r="Y42" s="137"/>
      <c r="Z42" s="135"/>
      <c r="AA42" s="136"/>
      <c r="AB42" s="138"/>
      <c r="AC42" s="136"/>
      <c r="AD42" s="137"/>
      <c r="AE42" s="139">
        <f t="shared" si="1"/>
        <v>0</v>
      </c>
    </row>
    <row r="43" ht="15.75" customHeight="1" spans="1:31">
      <c r="A43" s="125">
        <v>38</v>
      </c>
      <c r="B43" s="127" t="s">
        <v>3438</v>
      </c>
      <c r="C43" s="126" t="s">
        <v>3413</v>
      </c>
      <c r="D43" s="126" t="s">
        <v>3443</v>
      </c>
      <c r="E43" s="128" t="b">
        <v>1</v>
      </c>
      <c r="F43" s="129" t="b">
        <v>1</v>
      </c>
      <c r="G43" s="129" t="b">
        <v>1</v>
      </c>
      <c r="H43" s="130" t="b">
        <v>1</v>
      </c>
      <c r="I43" s="128"/>
      <c r="J43" s="129"/>
      <c r="K43" s="129"/>
      <c r="L43" s="130"/>
      <c r="M43" s="128"/>
      <c r="N43" s="129"/>
      <c r="O43" s="129"/>
      <c r="P43" s="130"/>
      <c r="Q43" s="128"/>
      <c r="R43" s="129"/>
      <c r="S43" s="129"/>
      <c r="T43" s="130"/>
      <c r="U43" s="128"/>
      <c r="V43" s="129"/>
      <c r="W43" s="131"/>
      <c r="X43" s="129"/>
      <c r="Y43" s="130"/>
      <c r="Z43" s="128"/>
      <c r="AA43" s="129"/>
      <c r="AB43" s="131"/>
      <c r="AC43" s="129"/>
      <c r="AD43" s="130"/>
      <c r="AE43" s="132">
        <f t="shared" si="1"/>
        <v>4</v>
      </c>
    </row>
    <row r="44" ht="15.75" customHeight="1" spans="1:31">
      <c r="A44" s="133">
        <v>39</v>
      </c>
      <c r="B44" s="140" t="s">
        <v>3444</v>
      </c>
      <c r="C44" s="134" t="s">
        <v>3</v>
      </c>
      <c r="D44" s="140" t="s">
        <v>191</v>
      </c>
      <c r="E44" s="135" t="b">
        <v>1</v>
      </c>
      <c r="F44" s="136" t="b">
        <v>0</v>
      </c>
      <c r="G44" s="136" t="b">
        <v>0</v>
      </c>
      <c r="H44" s="137" t="b">
        <v>0</v>
      </c>
      <c r="I44" s="135"/>
      <c r="J44" s="136"/>
      <c r="K44" s="136"/>
      <c r="L44" s="137"/>
      <c r="M44" s="135"/>
      <c r="N44" s="136"/>
      <c r="O44" s="136"/>
      <c r="P44" s="137"/>
      <c r="Q44" s="135"/>
      <c r="R44" s="136"/>
      <c r="S44" s="136"/>
      <c r="T44" s="137"/>
      <c r="U44" s="135"/>
      <c r="V44" s="136"/>
      <c r="W44" s="138"/>
      <c r="X44" s="136"/>
      <c r="Y44" s="137"/>
      <c r="Z44" s="135"/>
      <c r="AA44" s="136"/>
      <c r="AB44" s="138"/>
      <c r="AC44" s="136"/>
      <c r="AD44" s="137"/>
      <c r="AE44" s="139">
        <f t="shared" si="1"/>
        <v>1</v>
      </c>
    </row>
    <row r="45" ht="15.75" customHeight="1" spans="1:31">
      <c r="A45" s="125">
        <v>40</v>
      </c>
      <c r="B45" s="127" t="s">
        <v>3444</v>
      </c>
      <c r="C45" s="126" t="s">
        <v>2</v>
      </c>
      <c r="D45" s="126" t="s">
        <v>3445</v>
      </c>
      <c r="E45" s="128" t="b">
        <v>1</v>
      </c>
      <c r="F45" s="129" t="b">
        <v>1</v>
      </c>
      <c r="G45" s="129" t="b">
        <v>1</v>
      </c>
      <c r="H45" s="130" t="b">
        <v>1</v>
      </c>
      <c r="I45" s="128"/>
      <c r="J45" s="129"/>
      <c r="K45" s="129"/>
      <c r="L45" s="130"/>
      <c r="M45" s="128"/>
      <c r="N45" s="129"/>
      <c r="O45" s="129"/>
      <c r="P45" s="130"/>
      <c r="Q45" s="128"/>
      <c r="R45" s="129"/>
      <c r="S45" s="129"/>
      <c r="T45" s="130"/>
      <c r="U45" s="128"/>
      <c r="V45" s="129"/>
      <c r="W45" s="131"/>
      <c r="X45" s="129"/>
      <c r="Y45" s="130"/>
      <c r="Z45" s="128"/>
      <c r="AA45" s="129"/>
      <c r="AB45" s="131"/>
      <c r="AC45" s="129"/>
      <c r="AD45" s="130"/>
      <c r="AE45" s="132">
        <f t="shared" si="1"/>
        <v>4</v>
      </c>
    </row>
    <row r="46" ht="15.75" customHeight="1" spans="1:31">
      <c r="A46" s="133">
        <v>41</v>
      </c>
      <c r="B46" s="140" t="s">
        <v>3446</v>
      </c>
      <c r="C46" s="134" t="s">
        <v>3411</v>
      </c>
      <c r="D46" s="134" t="s">
        <v>3447</v>
      </c>
      <c r="E46" s="135" t="b">
        <v>1</v>
      </c>
      <c r="F46" s="136" t="b">
        <v>1</v>
      </c>
      <c r="G46" s="136" t="b">
        <v>1</v>
      </c>
      <c r="H46" s="137" t="b">
        <v>0</v>
      </c>
      <c r="I46" s="135"/>
      <c r="J46" s="136"/>
      <c r="K46" s="136"/>
      <c r="L46" s="137"/>
      <c r="M46" s="135"/>
      <c r="N46" s="136"/>
      <c r="O46" s="136"/>
      <c r="P46" s="137"/>
      <c r="Q46" s="135"/>
      <c r="R46" s="136"/>
      <c r="S46" s="136"/>
      <c r="T46" s="137"/>
      <c r="U46" s="135"/>
      <c r="V46" s="136"/>
      <c r="W46" s="138"/>
      <c r="X46" s="136"/>
      <c r="Y46" s="137"/>
      <c r="Z46" s="135"/>
      <c r="AA46" s="136"/>
      <c r="AB46" s="138"/>
      <c r="AC46" s="136"/>
      <c r="AD46" s="137"/>
      <c r="AE46" s="139">
        <f t="shared" si="1"/>
        <v>3</v>
      </c>
    </row>
    <row r="47" ht="15.75" customHeight="1" spans="1:31">
      <c r="A47" s="125">
        <v>42</v>
      </c>
      <c r="B47" s="127" t="s">
        <v>3446</v>
      </c>
      <c r="C47" s="126" t="s">
        <v>3411</v>
      </c>
      <c r="D47" s="126" t="s">
        <v>3448</v>
      </c>
      <c r="E47" s="131" t="b">
        <v>1</v>
      </c>
      <c r="F47" s="131" t="b">
        <v>0</v>
      </c>
      <c r="G47" s="131" t="b">
        <v>1</v>
      </c>
      <c r="H47" s="131" t="b">
        <v>0</v>
      </c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  <c r="AC47" s="131"/>
      <c r="AD47" s="131"/>
      <c r="AE47" s="132">
        <f t="shared" si="1"/>
        <v>2</v>
      </c>
    </row>
    <row r="48" ht="15.75" customHeight="1" spans="1:31">
      <c r="A48" s="133">
        <v>43</v>
      </c>
      <c r="B48" s="134" t="s">
        <v>202</v>
      </c>
      <c r="C48" s="134" t="s">
        <v>2</v>
      </c>
      <c r="D48" s="134" t="s">
        <v>3449</v>
      </c>
      <c r="E48" s="138" t="b">
        <v>0</v>
      </c>
      <c r="F48" s="138" t="b">
        <v>0</v>
      </c>
      <c r="G48" s="138" t="b">
        <v>0</v>
      </c>
      <c r="H48" s="138" t="b">
        <v>0</v>
      </c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9">
        <f t="shared" si="1"/>
        <v>0</v>
      </c>
    </row>
    <row r="49" ht="15.75" customHeight="1" spans="1:31">
      <c r="A49" s="125">
        <v>44</v>
      </c>
      <c r="B49" s="127" t="s">
        <v>3450</v>
      </c>
      <c r="C49" s="126" t="s">
        <v>2</v>
      </c>
      <c r="D49" s="126" t="s">
        <v>3451</v>
      </c>
      <c r="E49" s="128" t="b">
        <v>1</v>
      </c>
      <c r="F49" s="129" t="b">
        <v>1</v>
      </c>
      <c r="G49" s="129" t="b">
        <v>1</v>
      </c>
      <c r="H49" s="130" t="b">
        <v>1</v>
      </c>
      <c r="I49" s="128"/>
      <c r="J49" s="129"/>
      <c r="K49" s="129"/>
      <c r="L49" s="130"/>
      <c r="M49" s="128"/>
      <c r="N49" s="129"/>
      <c r="O49" s="129"/>
      <c r="P49" s="130"/>
      <c r="Q49" s="128"/>
      <c r="R49" s="129"/>
      <c r="S49" s="129"/>
      <c r="T49" s="130"/>
      <c r="U49" s="128"/>
      <c r="V49" s="129"/>
      <c r="W49" s="131"/>
      <c r="X49" s="129"/>
      <c r="Y49" s="130"/>
      <c r="Z49" s="128"/>
      <c r="AA49" s="129"/>
      <c r="AB49" s="131"/>
      <c r="AC49" s="129"/>
      <c r="AD49" s="130"/>
      <c r="AE49" s="132">
        <f t="shared" si="1"/>
        <v>4</v>
      </c>
    </row>
    <row r="50" ht="15.75" customHeight="1" spans="1:31">
      <c r="A50" s="133">
        <v>45</v>
      </c>
      <c r="D50" s="140" t="s">
        <v>3452</v>
      </c>
      <c r="E50" s="141" t="b">
        <v>1</v>
      </c>
      <c r="F50" s="142" t="b">
        <v>0</v>
      </c>
      <c r="G50" s="142" t="b">
        <v>0</v>
      </c>
      <c r="H50" s="143" t="b">
        <v>0</v>
      </c>
      <c r="I50" s="144"/>
      <c r="J50" s="142"/>
      <c r="K50" s="142"/>
      <c r="L50" s="143"/>
      <c r="M50" s="144"/>
      <c r="N50" s="142"/>
      <c r="O50" s="142"/>
      <c r="P50" s="143"/>
      <c r="Q50" s="144"/>
      <c r="R50" s="142"/>
      <c r="S50" s="142"/>
      <c r="T50" s="143"/>
      <c r="U50" s="144"/>
      <c r="V50" s="142"/>
      <c r="X50" s="142"/>
      <c r="Y50" s="143"/>
      <c r="Z50" s="144"/>
      <c r="AA50" s="142"/>
      <c r="AC50" s="142"/>
      <c r="AD50" s="143"/>
    </row>
    <row r="51" ht="15.75" customHeight="1" spans="1:31">
      <c r="A51" s="125">
        <v>46</v>
      </c>
      <c r="C51" s="127" t="s">
        <v>3411</v>
      </c>
      <c r="D51" s="127" t="s">
        <v>3453</v>
      </c>
      <c r="E51" s="145" t="b">
        <v>0</v>
      </c>
      <c r="F51" s="146" t="b">
        <v>0</v>
      </c>
      <c r="G51" s="147" t="b">
        <v>1</v>
      </c>
      <c r="H51" s="148" t="b">
        <v>0</v>
      </c>
      <c r="I51" s="145"/>
      <c r="J51" s="146"/>
      <c r="K51" s="146"/>
      <c r="L51" s="148"/>
      <c r="M51" s="145"/>
      <c r="N51" s="146"/>
      <c r="O51" s="146"/>
      <c r="P51" s="148"/>
      <c r="Q51" s="145"/>
      <c r="R51" s="146"/>
      <c r="S51" s="146"/>
      <c r="T51" s="148"/>
      <c r="U51" s="145"/>
      <c r="V51" s="146"/>
      <c r="X51" s="146"/>
      <c r="Y51" s="148"/>
      <c r="Z51" s="145"/>
      <c r="AA51" s="146"/>
      <c r="AC51" s="146"/>
      <c r="AD51" s="148"/>
    </row>
    <row r="52" ht="15.75" customHeight="1" spans="1:31">
      <c r="A52" s="133">
        <v>48</v>
      </c>
      <c r="B52" s="140" t="s">
        <v>3454</v>
      </c>
      <c r="C52" s="134" t="s">
        <v>3411</v>
      </c>
      <c r="D52" s="134" t="s">
        <v>3455</v>
      </c>
      <c r="E52" s="135" t="b">
        <v>0</v>
      </c>
      <c r="F52" s="136" t="b">
        <v>0</v>
      </c>
      <c r="G52" s="136" t="b">
        <v>0</v>
      </c>
      <c r="H52" s="137" t="b">
        <v>0</v>
      </c>
      <c r="I52" s="135"/>
      <c r="J52" s="136"/>
      <c r="K52" s="136"/>
      <c r="L52" s="137"/>
      <c r="M52" s="135"/>
      <c r="N52" s="136"/>
      <c r="O52" s="136"/>
      <c r="P52" s="137"/>
      <c r="Q52" s="135"/>
      <c r="R52" s="136"/>
      <c r="S52" s="136"/>
      <c r="T52" s="137"/>
      <c r="U52" s="135"/>
      <c r="V52" s="136"/>
      <c r="W52" s="138"/>
      <c r="X52" s="136"/>
      <c r="Y52" s="137"/>
      <c r="Z52" s="135"/>
      <c r="AA52" s="136"/>
      <c r="AB52" s="138"/>
      <c r="AC52" s="136"/>
      <c r="AD52" s="137"/>
      <c r="AE52" s="139">
        <f>COUNTIF(E52:AD52,"TRUE")</f>
        <v>0</v>
      </c>
    </row>
    <row r="53" ht="15.75" customHeight="1" spans="1:31">
      <c r="A53" s="125">
        <v>49</v>
      </c>
      <c r="C53" s="127" t="s">
        <v>3413</v>
      </c>
      <c r="D53" s="127" t="s">
        <v>3456</v>
      </c>
      <c r="E53" s="145" t="b">
        <v>0</v>
      </c>
      <c r="F53" s="147" t="b">
        <v>1</v>
      </c>
      <c r="G53" s="146" t="b">
        <v>0</v>
      </c>
      <c r="H53" s="148" t="b">
        <v>0</v>
      </c>
      <c r="I53" s="145"/>
      <c r="J53" s="146"/>
      <c r="K53" s="146"/>
      <c r="L53" s="148"/>
      <c r="M53" s="145"/>
      <c r="N53" s="146"/>
      <c r="O53" s="146"/>
      <c r="P53" s="148"/>
      <c r="Q53" s="145"/>
      <c r="R53" s="146"/>
      <c r="S53" s="146"/>
      <c r="T53" s="148"/>
      <c r="U53" s="145"/>
      <c r="V53" s="146"/>
      <c r="X53" s="146"/>
      <c r="Y53" s="148"/>
      <c r="Z53" s="145"/>
      <c r="AA53" s="146"/>
      <c r="AC53" s="146"/>
      <c r="AD53" s="148"/>
    </row>
    <row r="54" ht="15.75" customHeight="1" spans="1:31">
      <c r="A54" s="133">
        <v>50</v>
      </c>
      <c r="B54" s="134"/>
      <c r="C54" s="134" t="s">
        <v>2</v>
      </c>
      <c r="D54" s="134" t="s">
        <v>3457</v>
      </c>
      <c r="E54" s="135" t="b">
        <v>0</v>
      </c>
      <c r="F54" s="136" t="b">
        <v>0</v>
      </c>
      <c r="G54" s="136" t="b">
        <v>0</v>
      </c>
      <c r="H54" s="137" t="b">
        <v>0</v>
      </c>
      <c r="I54" s="135"/>
      <c r="J54" s="136"/>
      <c r="K54" s="136"/>
      <c r="L54" s="137"/>
      <c r="M54" s="135"/>
      <c r="N54" s="136"/>
      <c r="O54" s="136"/>
      <c r="P54" s="137"/>
      <c r="Q54" s="135"/>
      <c r="R54" s="136"/>
      <c r="S54" s="136"/>
      <c r="T54" s="137"/>
      <c r="U54" s="135"/>
      <c r="V54" s="136"/>
      <c r="W54" s="138"/>
      <c r="X54" s="136"/>
      <c r="Y54" s="137"/>
      <c r="Z54" s="135"/>
      <c r="AA54" s="136"/>
      <c r="AB54" s="138"/>
      <c r="AC54" s="136"/>
      <c r="AD54" s="137"/>
      <c r="AE54" s="139">
        <f t="shared" ref="AE54:AE66" si="2">COUNTIF(E54:AD54,"TRUE")</f>
        <v>0</v>
      </c>
    </row>
    <row r="55" ht="15.75" customHeight="1" spans="1:31">
      <c r="A55" s="125">
        <v>51</v>
      </c>
      <c r="B55" s="127" t="s">
        <v>3458</v>
      </c>
      <c r="C55" s="126" t="s">
        <v>3411</v>
      </c>
      <c r="D55" s="126" t="s">
        <v>3459</v>
      </c>
      <c r="E55" s="128" t="b">
        <v>0</v>
      </c>
      <c r="F55" s="129" t="b">
        <v>0</v>
      </c>
      <c r="G55" s="129" t="b">
        <v>0</v>
      </c>
      <c r="H55" s="130" t="b">
        <v>1</v>
      </c>
      <c r="I55" s="128"/>
      <c r="J55" s="129"/>
      <c r="K55" s="129"/>
      <c r="L55" s="130"/>
      <c r="M55" s="128"/>
      <c r="N55" s="129"/>
      <c r="O55" s="129"/>
      <c r="P55" s="130"/>
      <c r="Q55" s="128"/>
      <c r="R55" s="129"/>
      <c r="S55" s="129"/>
      <c r="T55" s="130"/>
      <c r="U55" s="128"/>
      <c r="V55" s="129"/>
      <c r="W55" s="131"/>
      <c r="X55" s="129"/>
      <c r="Y55" s="130"/>
      <c r="Z55" s="128"/>
      <c r="AA55" s="129"/>
      <c r="AB55" s="131"/>
      <c r="AC55" s="129"/>
      <c r="AD55" s="130"/>
      <c r="AE55" s="132">
        <f t="shared" si="2"/>
        <v>1</v>
      </c>
    </row>
    <row r="56" ht="15.75" customHeight="1" spans="1:31">
      <c r="A56" s="133">
        <v>52</v>
      </c>
      <c r="B56" s="140" t="s">
        <v>3458</v>
      </c>
      <c r="C56" s="134" t="s">
        <v>3411</v>
      </c>
      <c r="D56" s="134" t="s">
        <v>3460</v>
      </c>
      <c r="E56" s="135" t="b">
        <v>0</v>
      </c>
      <c r="F56" s="136" t="b">
        <v>1</v>
      </c>
      <c r="G56" s="136" t="b">
        <v>1</v>
      </c>
      <c r="H56" s="137" t="b">
        <v>1</v>
      </c>
      <c r="I56" s="135"/>
      <c r="J56" s="136"/>
      <c r="K56" s="136"/>
      <c r="L56" s="137"/>
      <c r="M56" s="135"/>
      <c r="N56" s="136"/>
      <c r="O56" s="136"/>
      <c r="P56" s="137"/>
      <c r="Q56" s="135"/>
      <c r="R56" s="136"/>
      <c r="S56" s="136"/>
      <c r="T56" s="137"/>
      <c r="U56" s="135"/>
      <c r="V56" s="136"/>
      <c r="W56" s="138"/>
      <c r="X56" s="136"/>
      <c r="Y56" s="137"/>
      <c r="Z56" s="135"/>
      <c r="AA56" s="136"/>
      <c r="AB56" s="138"/>
      <c r="AC56" s="136"/>
      <c r="AD56" s="137"/>
      <c r="AE56" s="139">
        <f t="shared" si="2"/>
        <v>3</v>
      </c>
    </row>
    <row r="57" ht="15.75" customHeight="1" spans="1:31">
      <c r="A57" s="125">
        <v>53</v>
      </c>
      <c r="B57" s="127" t="s">
        <v>3461</v>
      </c>
      <c r="C57" s="126" t="s">
        <v>3</v>
      </c>
      <c r="D57" s="126" t="s">
        <v>1367</v>
      </c>
      <c r="E57" s="128" t="b">
        <v>0</v>
      </c>
      <c r="F57" s="129" t="b">
        <v>1</v>
      </c>
      <c r="G57" s="129" t="b">
        <v>1</v>
      </c>
      <c r="H57" s="130" t="b">
        <v>1</v>
      </c>
      <c r="I57" s="128"/>
      <c r="J57" s="129"/>
      <c r="K57" s="129"/>
      <c r="L57" s="130"/>
      <c r="M57" s="128"/>
      <c r="N57" s="129"/>
      <c r="O57" s="129"/>
      <c r="P57" s="130"/>
      <c r="Q57" s="128"/>
      <c r="R57" s="129"/>
      <c r="S57" s="129"/>
      <c r="T57" s="130"/>
      <c r="U57" s="128"/>
      <c r="V57" s="129"/>
      <c r="W57" s="131"/>
      <c r="X57" s="129"/>
      <c r="Y57" s="130"/>
      <c r="Z57" s="128"/>
      <c r="AA57" s="129"/>
      <c r="AB57" s="131"/>
      <c r="AC57" s="129"/>
      <c r="AD57" s="130"/>
      <c r="AE57" s="132">
        <f t="shared" si="2"/>
        <v>3</v>
      </c>
    </row>
    <row r="58" ht="15.75" customHeight="1" spans="1:31">
      <c r="A58" s="133">
        <v>54</v>
      </c>
      <c r="B58" s="140" t="s">
        <v>3462</v>
      </c>
      <c r="C58" s="134" t="s">
        <v>3411</v>
      </c>
      <c r="D58" s="134" t="s">
        <v>3463</v>
      </c>
      <c r="E58" s="135" t="b">
        <v>0</v>
      </c>
      <c r="F58" s="136" t="b">
        <v>0</v>
      </c>
      <c r="G58" s="136" t="b">
        <v>1</v>
      </c>
      <c r="H58" s="137" t="b">
        <v>1</v>
      </c>
      <c r="I58" s="135"/>
      <c r="J58" s="136"/>
      <c r="K58" s="136"/>
      <c r="L58" s="137"/>
      <c r="M58" s="135"/>
      <c r="N58" s="136"/>
      <c r="O58" s="136"/>
      <c r="P58" s="137"/>
      <c r="Q58" s="135"/>
      <c r="R58" s="136"/>
      <c r="S58" s="136"/>
      <c r="T58" s="137"/>
      <c r="U58" s="135"/>
      <c r="V58" s="136"/>
      <c r="W58" s="138"/>
      <c r="X58" s="136"/>
      <c r="Y58" s="137"/>
      <c r="Z58" s="135"/>
      <c r="AA58" s="136"/>
      <c r="AB58" s="138"/>
      <c r="AC58" s="136"/>
      <c r="AD58" s="137"/>
      <c r="AE58" s="139">
        <f t="shared" si="2"/>
        <v>2</v>
      </c>
    </row>
    <row r="59" ht="15.75" customHeight="1" spans="1:31">
      <c r="A59" s="125">
        <v>55</v>
      </c>
      <c r="B59" s="127" t="s">
        <v>3461</v>
      </c>
      <c r="C59" s="126" t="s">
        <v>2</v>
      </c>
      <c r="D59" s="126" t="s">
        <v>1368</v>
      </c>
      <c r="E59" s="128" t="b">
        <v>0</v>
      </c>
      <c r="F59" s="129" t="b">
        <v>0</v>
      </c>
      <c r="G59" s="129" t="b">
        <v>1</v>
      </c>
      <c r="H59" s="130" t="b">
        <v>1</v>
      </c>
      <c r="I59" s="128"/>
      <c r="J59" s="129"/>
      <c r="K59" s="129"/>
      <c r="L59" s="130"/>
      <c r="M59" s="128"/>
      <c r="N59" s="129"/>
      <c r="O59" s="129"/>
      <c r="P59" s="130"/>
      <c r="Q59" s="128"/>
      <c r="R59" s="129"/>
      <c r="S59" s="129"/>
      <c r="T59" s="130"/>
      <c r="U59" s="128"/>
      <c r="V59" s="129"/>
      <c r="W59" s="131"/>
      <c r="X59" s="129"/>
      <c r="Y59" s="130"/>
      <c r="Z59" s="128"/>
      <c r="AA59" s="129"/>
      <c r="AB59" s="131"/>
      <c r="AC59" s="129"/>
      <c r="AD59" s="130"/>
      <c r="AE59" s="132">
        <f t="shared" si="2"/>
        <v>2</v>
      </c>
    </row>
    <row r="60" ht="15.75" customHeight="1" spans="1:31">
      <c r="A60" s="133">
        <v>56</v>
      </c>
      <c r="B60" s="134" t="s">
        <v>2232</v>
      </c>
      <c r="C60" s="134" t="s">
        <v>3411</v>
      </c>
      <c r="D60" s="134" t="s">
        <v>3464</v>
      </c>
      <c r="E60" s="135" t="b">
        <v>0</v>
      </c>
      <c r="F60" s="136" t="b">
        <v>0</v>
      </c>
      <c r="G60" s="136" t="b">
        <v>0</v>
      </c>
      <c r="H60" s="137" t="b">
        <v>0</v>
      </c>
      <c r="I60" s="135"/>
      <c r="J60" s="136"/>
      <c r="K60" s="136"/>
      <c r="L60" s="137"/>
      <c r="M60" s="135"/>
      <c r="N60" s="136"/>
      <c r="O60" s="136"/>
      <c r="P60" s="137"/>
      <c r="Q60" s="135"/>
      <c r="R60" s="136"/>
      <c r="S60" s="136"/>
      <c r="T60" s="137"/>
      <c r="U60" s="135"/>
      <c r="V60" s="136"/>
      <c r="W60" s="138"/>
      <c r="X60" s="136"/>
      <c r="Y60" s="137"/>
      <c r="Z60" s="135"/>
      <c r="AA60" s="136"/>
      <c r="AB60" s="138"/>
      <c r="AC60" s="136"/>
      <c r="AD60" s="137"/>
      <c r="AE60" s="139">
        <f t="shared" si="2"/>
        <v>0</v>
      </c>
    </row>
    <row r="61" ht="15.75" customHeight="1" spans="1:31">
      <c r="A61" s="125">
        <v>57</v>
      </c>
      <c r="B61" s="126"/>
      <c r="C61" s="126"/>
      <c r="D61" s="126" t="s">
        <v>3465</v>
      </c>
      <c r="E61" s="128" t="b">
        <v>0</v>
      </c>
      <c r="F61" s="129" t="b">
        <v>1</v>
      </c>
      <c r="G61" s="129" t="b">
        <v>0</v>
      </c>
      <c r="H61" s="130" t="b">
        <v>0</v>
      </c>
      <c r="I61" s="128"/>
      <c r="J61" s="129"/>
      <c r="K61" s="129"/>
      <c r="L61" s="130"/>
      <c r="M61" s="128"/>
      <c r="N61" s="129"/>
      <c r="O61" s="129"/>
      <c r="P61" s="130"/>
      <c r="Q61" s="128"/>
      <c r="R61" s="129"/>
      <c r="S61" s="129"/>
      <c r="T61" s="130"/>
      <c r="U61" s="128"/>
      <c r="V61" s="129"/>
      <c r="W61" s="131"/>
      <c r="X61" s="129"/>
      <c r="Y61" s="130"/>
      <c r="Z61" s="128"/>
      <c r="AA61" s="129"/>
      <c r="AB61" s="131"/>
      <c r="AC61" s="129"/>
      <c r="AD61" s="130"/>
      <c r="AE61" s="132">
        <f t="shared" si="2"/>
        <v>1</v>
      </c>
    </row>
    <row r="62" ht="15.75" customHeight="1" spans="1:31">
      <c r="A62" s="133">
        <v>58</v>
      </c>
      <c r="B62" s="140" t="s">
        <v>3466</v>
      </c>
      <c r="C62" s="134" t="s">
        <v>2</v>
      </c>
      <c r="D62" s="134" t="s">
        <v>1707</v>
      </c>
      <c r="E62" s="135" t="b">
        <v>1</v>
      </c>
      <c r="F62" s="136" t="b">
        <v>1</v>
      </c>
      <c r="G62" s="136" t="b">
        <v>1</v>
      </c>
      <c r="H62" s="137" t="b">
        <v>0</v>
      </c>
      <c r="I62" s="135"/>
      <c r="J62" s="136"/>
      <c r="K62" s="136"/>
      <c r="L62" s="137"/>
      <c r="M62" s="135"/>
      <c r="N62" s="136"/>
      <c r="O62" s="136"/>
      <c r="P62" s="137"/>
      <c r="Q62" s="135"/>
      <c r="R62" s="136"/>
      <c r="S62" s="136"/>
      <c r="T62" s="137"/>
      <c r="U62" s="135"/>
      <c r="V62" s="136"/>
      <c r="W62" s="138"/>
      <c r="X62" s="136"/>
      <c r="Y62" s="137"/>
      <c r="Z62" s="135"/>
      <c r="AA62" s="136"/>
      <c r="AB62" s="138"/>
      <c r="AC62" s="136"/>
      <c r="AD62" s="137"/>
      <c r="AE62" s="139">
        <f t="shared" si="2"/>
        <v>3</v>
      </c>
    </row>
    <row r="63" ht="15.75" customHeight="1" spans="1:31">
      <c r="A63" s="125">
        <v>59</v>
      </c>
      <c r="B63" s="127" t="s">
        <v>3466</v>
      </c>
      <c r="C63" s="126" t="s">
        <v>3</v>
      </c>
      <c r="D63" s="126" t="s">
        <v>3467</v>
      </c>
      <c r="E63" s="128" t="b">
        <v>1</v>
      </c>
      <c r="F63" s="129" t="b">
        <v>1</v>
      </c>
      <c r="G63" s="129" t="b">
        <v>1</v>
      </c>
      <c r="H63" s="130" t="b">
        <v>1</v>
      </c>
      <c r="I63" s="128"/>
      <c r="J63" s="129"/>
      <c r="K63" s="129"/>
      <c r="L63" s="130"/>
      <c r="M63" s="128"/>
      <c r="N63" s="129"/>
      <c r="O63" s="129"/>
      <c r="P63" s="130"/>
      <c r="Q63" s="128"/>
      <c r="R63" s="129"/>
      <c r="S63" s="129"/>
      <c r="T63" s="130"/>
      <c r="U63" s="128"/>
      <c r="V63" s="129"/>
      <c r="W63" s="131"/>
      <c r="X63" s="129"/>
      <c r="Y63" s="130"/>
      <c r="Z63" s="128"/>
      <c r="AA63" s="129"/>
      <c r="AB63" s="131"/>
      <c r="AC63" s="129"/>
      <c r="AD63" s="130"/>
      <c r="AE63" s="132">
        <f t="shared" si="2"/>
        <v>4</v>
      </c>
    </row>
    <row r="64" ht="15.75" customHeight="1" spans="1:31">
      <c r="A64" s="133">
        <v>60</v>
      </c>
      <c r="B64" s="140" t="s">
        <v>3468</v>
      </c>
      <c r="C64" s="134" t="s">
        <v>3413</v>
      </c>
      <c r="D64" s="134" t="s">
        <v>3469</v>
      </c>
      <c r="E64" s="135" t="b">
        <v>1</v>
      </c>
      <c r="F64" s="136" t="b">
        <v>1</v>
      </c>
      <c r="G64" s="136" t="b">
        <v>1</v>
      </c>
      <c r="H64" s="137" t="b">
        <v>0</v>
      </c>
      <c r="I64" s="135"/>
      <c r="J64" s="136"/>
      <c r="K64" s="136"/>
      <c r="L64" s="137"/>
      <c r="M64" s="135"/>
      <c r="N64" s="136"/>
      <c r="O64" s="136"/>
      <c r="P64" s="137"/>
      <c r="Q64" s="135"/>
      <c r="R64" s="136"/>
      <c r="S64" s="136"/>
      <c r="T64" s="137"/>
      <c r="U64" s="135"/>
      <c r="V64" s="136"/>
      <c r="W64" s="138"/>
      <c r="X64" s="136"/>
      <c r="Y64" s="137"/>
      <c r="Z64" s="135"/>
      <c r="AA64" s="136"/>
      <c r="AB64" s="138"/>
      <c r="AC64" s="136"/>
      <c r="AD64" s="137"/>
      <c r="AE64" s="139">
        <f t="shared" si="2"/>
        <v>3</v>
      </c>
    </row>
    <row r="65" ht="15.75" customHeight="1" spans="1:31">
      <c r="A65" s="125">
        <v>61</v>
      </c>
      <c r="B65" s="126" t="s">
        <v>254</v>
      </c>
      <c r="C65" s="126" t="s">
        <v>2</v>
      </c>
      <c r="D65" s="126" t="s">
        <v>3470</v>
      </c>
      <c r="E65" s="128" t="b">
        <v>1</v>
      </c>
      <c r="F65" s="129" t="b">
        <v>0</v>
      </c>
      <c r="G65" s="129" t="b">
        <v>0</v>
      </c>
      <c r="H65" s="130" t="b">
        <v>0</v>
      </c>
      <c r="I65" s="128"/>
      <c r="J65" s="129"/>
      <c r="K65" s="129"/>
      <c r="L65" s="130"/>
      <c r="M65" s="128"/>
      <c r="N65" s="129"/>
      <c r="O65" s="129"/>
      <c r="P65" s="130"/>
      <c r="Q65" s="128"/>
      <c r="R65" s="129"/>
      <c r="S65" s="129"/>
      <c r="T65" s="130"/>
      <c r="U65" s="128"/>
      <c r="V65" s="129"/>
      <c r="W65" s="131"/>
      <c r="X65" s="129"/>
      <c r="Y65" s="130"/>
      <c r="Z65" s="128"/>
      <c r="AA65" s="129"/>
      <c r="AB65" s="131"/>
      <c r="AC65" s="129"/>
      <c r="AD65" s="130"/>
      <c r="AE65" s="132">
        <f t="shared" si="2"/>
        <v>1</v>
      </c>
    </row>
    <row r="66" ht="15.75" customHeight="1" spans="1:31">
      <c r="A66" s="133">
        <v>63</v>
      </c>
      <c r="B66" s="140" t="s">
        <v>3471</v>
      </c>
      <c r="C66" s="134" t="s">
        <v>3</v>
      </c>
      <c r="D66" s="134" t="s">
        <v>3472</v>
      </c>
      <c r="E66" s="135" t="b">
        <v>0</v>
      </c>
      <c r="F66" s="136" t="b">
        <v>0</v>
      </c>
      <c r="G66" s="136" t="b">
        <v>1</v>
      </c>
      <c r="H66" s="137" t="b">
        <v>1</v>
      </c>
      <c r="I66" s="135"/>
      <c r="J66" s="136"/>
      <c r="K66" s="136"/>
      <c r="L66" s="137"/>
      <c r="M66" s="135"/>
      <c r="N66" s="136"/>
      <c r="O66" s="136"/>
      <c r="P66" s="137"/>
      <c r="Q66" s="135"/>
      <c r="R66" s="136"/>
      <c r="S66" s="136"/>
      <c r="T66" s="137"/>
      <c r="U66" s="135"/>
      <c r="V66" s="136"/>
      <c r="W66" s="138"/>
      <c r="X66" s="136"/>
      <c r="Y66" s="137"/>
      <c r="Z66" s="135"/>
      <c r="AA66" s="136"/>
      <c r="AB66" s="138"/>
      <c r="AC66" s="136"/>
      <c r="AD66" s="137"/>
      <c r="AE66" s="139">
        <f t="shared" si="2"/>
        <v>2</v>
      </c>
    </row>
    <row r="67" ht="15.75" customHeight="1" spans="1:31">
      <c r="A67" s="125">
        <v>64</v>
      </c>
      <c r="C67" s="127" t="s">
        <v>2</v>
      </c>
      <c r="D67" s="127" t="s">
        <v>3473</v>
      </c>
      <c r="E67" s="126" t="b">
        <v>0</v>
      </c>
      <c r="F67" s="126" t="b">
        <v>0</v>
      </c>
      <c r="G67" s="126" t="b">
        <v>0</v>
      </c>
      <c r="H67" s="127" t="b">
        <v>1</v>
      </c>
    </row>
    <row r="68" ht="15.75" customHeight="1" spans="1:31">
      <c r="A68" s="133">
        <v>66</v>
      </c>
      <c r="D68" s="140" t="s">
        <v>3474</v>
      </c>
      <c r="E68" s="144" t="b">
        <v>0</v>
      </c>
      <c r="F68" s="142" t="b">
        <v>0</v>
      </c>
      <c r="G68" s="149" t="b">
        <v>1</v>
      </c>
      <c r="H68" s="143" t="b">
        <v>0</v>
      </c>
      <c r="I68" s="144"/>
      <c r="J68" s="142"/>
      <c r="K68" s="142"/>
      <c r="L68" s="143"/>
      <c r="M68" s="144"/>
      <c r="N68" s="142"/>
      <c r="O68" s="142"/>
      <c r="P68" s="143"/>
      <c r="Q68" s="144"/>
      <c r="R68" s="142"/>
      <c r="S68" s="142"/>
      <c r="T68" s="143"/>
      <c r="U68" s="144"/>
      <c r="V68" s="142"/>
      <c r="X68" s="142"/>
      <c r="Y68" s="143"/>
      <c r="Z68" s="144"/>
      <c r="AA68" s="142"/>
      <c r="AC68" s="142"/>
      <c r="AD68" s="143"/>
    </row>
    <row r="69" ht="15.75" customHeight="1" spans="1:31">
      <c r="A69" s="125">
        <v>67</v>
      </c>
      <c r="B69" s="126"/>
      <c r="C69" s="126" t="s">
        <v>3411</v>
      </c>
      <c r="D69" s="126" t="s">
        <v>3475</v>
      </c>
      <c r="E69" s="128" t="b">
        <v>1</v>
      </c>
      <c r="F69" s="129" t="b">
        <v>1</v>
      </c>
      <c r="G69" s="129" t="b">
        <v>0</v>
      </c>
      <c r="H69" s="130" t="b">
        <v>1</v>
      </c>
      <c r="I69" s="128"/>
      <c r="J69" s="129"/>
      <c r="K69" s="129"/>
      <c r="L69" s="130"/>
      <c r="M69" s="128"/>
      <c r="N69" s="129"/>
      <c r="O69" s="129"/>
      <c r="P69" s="130"/>
      <c r="Q69" s="128"/>
      <c r="R69" s="129"/>
      <c r="S69" s="129"/>
      <c r="T69" s="130"/>
      <c r="U69" s="128"/>
      <c r="V69" s="129"/>
      <c r="W69" s="131"/>
      <c r="X69" s="129"/>
      <c r="Y69" s="130"/>
      <c r="Z69" s="128"/>
      <c r="AA69" s="129"/>
      <c r="AB69" s="131"/>
      <c r="AC69" s="129"/>
      <c r="AD69" s="130"/>
      <c r="AE69" s="132">
        <f t="shared" ref="AE69:AE77" si="3">COUNTIF(E69:AD69,"TRUE")</f>
        <v>3</v>
      </c>
    </row>
    <row r="70" ht="15.75" customHeight="1" spans="1:31">
      <c r="A70" s="133">
        <v>68</v>
      </c>
      <c r="C70" s="134" t="s">
        <v>2</v>
      </c>
      <c r="D70" s="134" t="s">
        <v>3476</v>
      </c>
      <c r="E70" s="135" t="b">
        <v>0</v>
      </c>
      <c r="F70" s="136" t="b">
        <v>0</v>
      </c>
      <c r="G70" s="136" t="b">
        <v>0</v>
      </c>
      <c r="H70" s="137" t="b">
        <v>0</v>
      </c>
      <c r="I70" s="135"/>
      <c r="J70" s="136"/>
      <c r="K70" s="136"/>
      <c r="L70" s="137"/>
      <c r="M70" s="135"/>
      <c r="N70" s="136"/>
      <c r="O70" s="136"/>
      <c r="P70" s="137"/>
      <c r="Q70" s="135"/>
      <c r="R70" s="136"/>
      <c r="S70" s="136"/>
      <c r="T70" s="137"/>
      <c r="U70" s="135"/>
      <c r="V70" s="136"/>
      <c r="W70" s="138"/>
      <c r="X70" s="136"/>
      <c r="Y70" s="137"/>
      <c r="Z70" s="135"/>
      <c r="AA70" s="136"/>
      <c r="AB70" s="138"/>
      <c r="AC70" s="136"/>
      <c r="AD70" s="137"/>
      <c r="AE70" s="139">
        <f t="shared" si="3"/>
        <v>0</v>
      </c>
    </row>
    <row r="71" ht="15.75" customHeight="1" spans="1:31">
      <c r="A71" s="125">
        <v>69</v>
      </c>
      <c r="B71" s="127" t="s">
        <v>3477</v>
      </c>
      <c r="C71" s="126" t="s">
        <v>2</v>
      </c>
      <c r="D71" s="126" t="s">
        <v>3478</v>
      </c>
      <c r="E71" s="128" t="b">
        <v>1</v>
      </c>
      <c r="F71" s="129" t="b">
        <v>0</v>
      </c>
      <c r="G71" s="129" t="b">
        <v>1</v>
      </c>
      <c r="H71" s="130" t="b">
        <v>1</v>
      </c>
      <c r="I71" s="128"/>
      <c r="J71" s="129"/>
      <c r="K71" s="129"/>
      <c r="L71" s="130"/>
      <c r="M71" s="128"/>
      <c r="N71" s="129"/>
      <c r="O71" s="129"/>
      <c r="P71" s="130"/>
      <c r="Q71" s="128"/>
      <c r="R71" s="129"/>
      <c r="S71" s="129"/>
      <c r="T71" s="130"/>
      <c r="U71" s="128"/>
      <c r="V71" s="129"/>
      <c r="W71" s="131"/>
      <c r="X71" s="129"/>
      <c r="Y71" s="130"/>
      <c r="Z71" s="128"/>
      <c r="AA71" s="129"/>
      <c r="AB71" s="131"/>
      <c r="AC71" s="129"/>
      <c r="AD71" s="130"/>
      <c r="AE71" s="132">
        <f t="shared" si="3"/>
        <v>3</v>
      </c>
    </row>
    <row r="72" ht="15.75" customHeight="1" spans="1:31">
      <c r="A72" s="133">
        <v>70</v>
      </c>
      <c r="B72" s="140" t="s">
        <v>3479</v>
      </c>
      <c r="C72" s="134" t="s">
        <v>3411</v>
      </c>
      <c r="D72" s="140" t="s">
        <v>3480</v>
      </c>
      <c r="E72" s="135" t="b">
        <v>0</v>
      </c>
      <c r="F72" s="136" t="b">
        <v>0</v>
      </c>
      <c r="G72" s="136" t="b">
        <v>0</v>
      </c>
      <c r="H72" s="137" t="b">
        <v>1</v>
      </c>
      <c r="I72" s="135"/>
      <c r="J72" s="136"/>
      <c r="K72" s="136"/>
      <c r="L72" s="137"/>
      <c r="M72" s="135"/>
      <c r="N72" s="136"/>
      <c r="O72" s="136"/>
      <c r="P72" s="137"/>
      <c r="Q72" s="135"/>
      <c r="R72" s="136"/>
      <c r="S72" s="136"/>
      <c r="T72" s="137"/>
      <c r="U72" s="135"/>
      <c r="V72" s="136"/>
      <c r="W72" s="138"/>
      <c r="X72" s="136"/>
      <c r="Y72" s="137"/>
      <c r="Z72" s="135"/>
      <c r="AA72" s="136"/>
      <c r="AB72" s="138"/>
      <c r="AC72" s="136"/>
      <c r="AD72" s="137"/>
      <c r="AE72" s="139">
        <f t="shared" si="3"/>
        <v>1</v>
      </c>
    </row>
    <row r="73" ht="15.75" customHeight="1" spans="1:31">
      <c r="A73" s="125">
        <v>72</v>
      </c>
      <c r="B73" s="127" t="s">
        <v>3477</v>
      </c>
      <c r="C73" s="126" t="s">
        <v>3</v>
      </c>
      <c r="D73" s="126" t="s">
        <v>3481</v>
      </c>
      <c r="E73" s="128" t="b">
        <v>1</v>
      </c>
      <c r="F73" s="129" t="b">
        <v>0</v>
      </c>
      <c r="G73" s="129" t="b">
        <v>1</v>
      </c>
      <c r="H73" s="130" t="b">
        <v>0</v>
      </c>
      <c r="I73" s="128"/>
      <c r="J73" s="129"/>
      <c r="K73" s="129"/>
      <c r="L73" s="130"/>
      <c r="M73" s="128"/>
      <c r="N73" s="129"/>
      <c r="O73" s="129"/>
      <c r="P73" s="130"/>
      <c r="Q73" s="128"/>
      <c r="R73" s="129"/>
      <c r="S73" s="129"/>
      <c r="T73" s="130"/>
      <c r="U73" s="128"/>
      <c r="V73" s="129"/>
      <c r="W73" s="131"/>
      <c r="X73" s="129"/>
      <c r="Y73" s="130"/>
      <c r="Z73" s="128"/>
      <c r="AA73" s="129"/>
      <c r="AB73" s="131"/>
      <c r="AC73" s="129"/>
      <c r="AD73" s="130"/>
      <c r="AE73" s="132">
        <f t="shared" si="3"/>
        <v>2</v>
      </c>
    </row>
    <row r="74" ht="15.75" customHeight="1" spans="1:31">
      <c r="A74" s="133">
        <v>73</v>
      </c>
      <c r="B74" s="140" t="s">
        <v>3482</v>
      </c>
      <c r="C74" s="134" t="s">
        <v>3</v>
      </c>
      <c r="D74" s="134" t="s">
        <v>3483</v>
      </c>
      <c r="E74" s="135" t="b">
        <v>1</v>
      </c>
      <c r="F74" s="136" t="b">
        <v>1</v>
      </c>
      <c r="G74" s="136" t="b">
        <v>1</v>
      </c>
      <c r="H74" s="137" t="b">
        <v>0</v>
      </c>
      <c r="I74" s="135"/>
      <c r="J74" s="136"/>
      <c r="K74" s="136"/>
      <c r="L74" s="137"/>
      <c r="M74" s="135"/>
      <c r="N74" s="136"/>
      <c r="O74" s="136"/>
      <c r="P74" s="137"/>
      <c r="Q74" s="135"/>
      <c r="R74" s="136"/>
      <c r="S74" s="136"/>
      <c r="T74" s="137"/>
      <c r="U74" s="135"/>
      <c r="V74" s="136"/>
      <c r="W74" s="138"/>
      <c r="X74" s="136"/>
      <c r="Y74" s="137"/>
      <c r="Z74" s="135"/>
      <c r="AA74" s="136"/>
      <c r="AB74" s="138"/>
      <c r="AC74" s="136"/>
      <c r="AD74" s="137"/>
      <c r="AE74" s="139">
        <f t="shared" si="3"/>
        <v>3</v>
      </c>
    </row>
    <row r="75" ht="15.75" customHeight="1" spans="1:31">
      <c r="A75" s="125">
        <v>74</v>
      </c>
      <c r="B75" s="126"/>
      <c r="C75" s="126"/>
      <c r="D75" s="126" t="s">
        <v>3484</v>
      </c>
      <c r="E75" s="128" t="b">
        <v>0</v>
      </c>
      <c r="F75" s="129" t="b">
        <v>1</v>
      </c>
      <c r="G75" s="129" t="b">
        <v>0</v>
      </c>
      <c r="H75" s="130" t="b">
        <v>0</v>
      </c>
      <c r="I75" s="128"/>
      <c r="J75" s="129"/>
      <c r="K75" s="129"/>
      <c r="L75" s="130"/>
      <c r="M75" s="128"/>
      <c r="N75" s="129"/>
      <c r="O75" s="129"/>
      <c r="P75" s="130"/>
      <c r="Q75" s="128"/>
      <c r="R75" s="129"/>
      <c r="S75" s="129"/>
      <c r="T75" s="130"/>
      <c r="U75" s="128"/>
      <c r="V75" s="129"/>
      <c r="W75" s="131"/>
      <c r="X75" s="129"/>
      <c r="Y75" s="130"/>
      <c r="Z75" s="128"/>
      <c r="AA75" s="129"/>
      <c r="AB75" s="131"/>
      <c r="AC75" s="129"/>
      <c r="AD75" s="130"/>
      <c r="AE75" s="132">
        <f t="shared" si="3"/>
        <v>1</v>
      </c>
    </row>
    <row r="76" ht="15.75" customHeight="1" spans="1:31">
      <c r="A76" s="133">
        <v>77</v>
      </c>
      <c r="B76" s="140" t="s">
        <v>3485</v>
      </c>
      <c r="C76" s="134" t="s">
        <v>2</v>
      </c>
      <c r="D76" s="134" t="s">
        <v>1740</v>
      </c>
      <c r="E76" s="135" t="b">
        <v>0</v>
      </c>
      <c r="F76" s="136" t="b">
        <v>0</v>
      </c>
      <c r="G76" s="136" t="b">
        <v>1</v>
      </c>
      <c r="H76" s="137" t="b">
        <v>0</v>
      </c>
      <c r="I76" s="135"/>
      <c r="J76" s="136"/>
      <c r="K76" s="136"/>
      <c r="L76" s="137"/>
      <c r="M76" s="135"/>
      <c r="N76" s="136"/>
      <c r="O76" s="136"/>
      <c r="P76" s="137"/>
      <c r="Q76" s="135"/>
      <c r="R76" s="136"/>
      <c r="S76" s="136"/>
      <c r="T76" s="137"/>
      <c r="U76" s="135"/>
      <c r="V76" s="136"/>
      <c r="W76" s="138"/>
      <c r="X76" s="136"/>
      <c r="Y76" s="137"/>
      <c r="Z76" s="135"/>
      <c r="AA76" s="136"/>
      <c r="AB76" s="138"/>
      <c r="AC76" s="136"/>
      <c r="AD76" s="137"/>
      <c r="AE76" s="139">
        <f t="shared" si="3"/>
        <v>1</v>
      </c>
    </row>
    <row r="77" ht="15.75" customHeight="1" spans="1:31">
      <c r="A77" s="125">
        <v>81</v>
      </c>
      <c r="B77" s="127" t="s">
        <v>3485</v>
      </c>
      <c r="C77" s="126" t="s">
        <v>3</v>
      </c>
      <c r="D77" s="126" t="s">
        <v>307</v>
      </c>
      <c r="E77" s="128" t="b">
        <v>0</v>
      </c>
      <c r="F77" s="129" t="b">
        <v>1</v>
      </c>
      <c r="G77" s="129" t="b">
        <v>1</v>
      </c>
      <c r="H77" s="130" t="b">
        <v>0</v>
      </c>
      <c r="I77" s="128"/>
      <c r="J77" s="129"/>
      <c r="K77" s="129"/>
      <c r="L77" s="130"/>
      <c r="M77" s="128"/>
      <c r="N77" s="129"/>
      <c r="O77" s="129"/>
      <c r="P77" s="130"/>
      <c r="Q77" s="128"/>
      <c r="R77" s="129"/>
      <c r="S77" s="129"/>
      <c r="T77" s="130"/>
      <c r="U77" s="128"/>
      <c r="V77" s="129"/>
      <c r="W77" s="131"/>
      <c r="X77" s="129"/>
      <c r="Y77" s="130"/>
      <c r="Z77" s="128"/>
      <c r="AA77" s="129"/>
      <c r="AB77" s="131"/>
      <c r="AC77" s="129"/>
      <c r="AD77" s="130"/>
      <c r="AE77" s="132">
        <f t="shared" si="3"/>
        <v>2</v>
      </c>
    </row>
    <row r="78" ht="15.75" customHeight="1" spans="1:31">
      <c r="A78" s="133">
        <v>82</v>
      </c>
      <c r="C78" s="140" t="s">
        <v>3413</v>
      </c>
      <c r="D78" s="140" t="s">
        <v>3486</v>
      </c>
      <c r="E78" s="144" t="b">
        <v>0</v>
      </c>
      <c r="F78" s="142" t="b">
        <v>0</v>
      </c>
      <c r="G78" s="142" t="b">
        <v>0</v>
      </c>
      <c r="H78" s="150" t="b">
        <v>1</v>
      </c>
      <c r="I78" s="144"/>
      <c r="J78" s="142"/>
      <c r="K78" s="142"/>
      <c r="L78" s="143"/>
      <c r="M78" s="144"/>
      <c r="N78" s="142"/>
      <c r="O78" s="142"/>
      <c r="P78" s="143"/>
      <c r="Q78" s="144"/>
      <c r="R78" s="142"/>
      <c r="S78" s="142"/>
      <c r="T78" s="143"/>
      <c r="U78" s="144"/>
      <c r="V78" s="142"/>
      <c r="X78" s="142"/>
      <c r="Y78" s="143"/>
      <c r="Z78" s="144"/>
      <c r="AA78" s="142"/>
      <c r="AC78" s="142"/>
      <c r="AD78" s="143"/>
    </row>
    <row r="79" ht="15.75" customHeight="1" spans="1:31">
      <c r="A79" s="125">
        <v>83</v>
      </c>
      <c r="B79" s="126" t="s">
        <v>295</v>
      </c>
      <c r="C79" s="126" t="s">
        <v>3413</v>
      </c>
      <c r="D79" s="126" t="s">
        <v>3487</v>
      </c>
      <c r="E79" s="128" t="b">
        <v>1</v>
      </c>
      <c r="F79" s="129" t="b">
        <v>0</v>
      </c>
      <c r="G79" s="129" t="b">
        <v>1</v>
      </c>
      <c r="H79" s="130" t="b">
        <v>0</v>
      </c>
      <c r="I79" s="128"/>
      <c r="J79" s="129"/>
      <c r="K79" s="129"/>
      <c r="L79" s="130"/>
      <c r="M79" s="128"/>
      <c r="N79" s="129"/>
      <c r="O79" s="129"/>
      <c r="P79" s="130"/>
      <c r="Q79" s="128"/>
      <c r="R79" s="129"/>
      <c r="S79" s="129"/>
      <c r="T79" s="130"/>
      <c r="U79" s="128"/>
      <c r="V79" s="129"/>
      <c r="W79" s="131"/>
      <c r="X79" s="129"/>
      <c r="Y79" s="130"/>
      <c r="Z79" s="128"/>
      <c r="AA79" s="129"/>
      <c r="AB79" s="131"/>
      <c r="AC79" s="129"/>
      <c r="AD79" s="130"/>
      <c r="AE79" s="132">
        <f t="shared" ref="AE79:AE101" si="4">COUNTIF(E79:AD79,"TRUE")</f>
        <v>2</v>
      </c>
    </row>
    <row r="80" ht="15.75" customHeight="1" spans="1:31">
      <c r="A80" s="133">
        <v>84</v>
      </c>
      <c r="B80" s="134" t="s">
        <v>325</v>
      </c>
      <c r="C80" s="134" t="s">
        <v>2</v>
      </c>
      <c r="D80" s="134" t="s">
        <v>3488</v>
      </c>
      <c r="E80" s="135" t="b">
        <v>0</v>
      </c>
      <c r="F80" s="136" t="b">
        <v>0</v>
      </c>
      <c r="G80" s="136" t="b">
        <v>0</v>
      </c>
      <c r="H80" s="137" t="b">
        <v>1</v>
      </c>
      <c r="I80" s="135"/>
      <c r="J80" s="136"/>
      <c r="K80" s="136"/>
      <c r="L80" s="137"/>
      <c r="M80" s="135"/>
      <c r="N80" s="136"/>
      <c r="O80" s="136"/>
      <c r="P80" s="137"/>
      <c r="Q80" s="135"/>
      <c r="R80" s="136"/>
      <c r="S80" s="136"/>
      <c r="T80" s="137"/>
      <c r="U80" s="135"/>
      <c r="V80" s="136"/>
      <c r="W80" s="138"/>
      <c r="X80" s="136"/>
      <c r="Y80" s="137"/>
      <c r="Z80" s="135"/>
      <c r="AA80" s="136"/>
      <c r="AB80" s="138"/>
      <c r="AC80" s="136"/>
      <c r="AD80" s="137"/>
      <c r="AE80" s="139">
        <f t="shared" si="4"/>
        <v>1</v>
      </c>
    </row>
    <row r="81" ht="15.75" customHeight="1" spans="1:31">
      <c r="A81" s="125">
        <v>85</v>
      </c>
      <c r="B81" s="126" t="s">
        <v>2273</v>
      </c>
      <c r="C81" s="126" t="s">
        <v>3411</v>
      </c>
      <c r="D81" s="126" t="s">
        <v>3489</v>
      </c>
      <c r="E81" s="128" t="b">
        <v>0</v>
      </c>
      <c r="F81" s="129" t="b">
        <v>0</v>
      </c>
      <c r="G81" s="129" t="b">
        <v>0</v>
      </c>
      <c r="H81" s="130" t="b">
        <v>0</v>
      </c>
      <c r="I81" s="128"/>
      <c r="J81" s="129"/>
      <c r="K81" s="129"/>
      <c r="L81" s="130"/>
      <c r="M81" s="128"/>
      <c r="N81" s="129"/>
      <c r="O81" s="129"/>
      <c r="P81" s="130"/>
      <c r="Q81" s="128"/>
      <c r="R81" s="129"/>
      <c r="S81" s="129"/>
      <c r="T81" s="130"/>
      <c r="U81" s="128"/>
      <c r="V81" s="129"/>
      <c r="W81" s="131"/>
      <c r="X81" s="129"/>
      <c r="Y81" s="130"/>
      <c r="Z81" s="128"/>
      <c r="AA81" s="129"/>
      <c r="AB81" s="131"/>
      <c r="AC81" s="129"/>
      <c r="AD81" s="130"/>
      <c r="AE81" s="132">
        <f t="shared" si="4"/>
        <v>0</v>
      </c>
    </row>
    <row r="82" ht="15.75" customHeight="1" spans="1:31">
      <c r="A82" s="133">
        <v>86</v>
      </c>
      <c r="B82" s="134" t="s">
        <v>3490</v>
      </c>
      <c r="C82" s="134" t="s">
        <v>2</v>
      </c>
      <c r="D82" s="134" t="s">
        <v>3491</v>
      </c>
      <c r="E82" s="135" t="b">
        <v>0</v>
      </c>
      <c r="F82" s="136" t="b">
        <v>1</v>
      </c>
      <c r="G82" s="136" t="b">
        <v>0</v>
      </c>
      <c r="H82" s="137" t="b">
        <v>1</v>
      </c>
      <c r="I82" s="135"/>
      <c r="J82" s="136"/>
      <c r="K82" s="136"/>
      <c r="L82" s="137"/>
      <c r="M82" s="135"/>
      <c r="N82" s="136"/>
      <c r="O82" s="136"/>
      <c r="P82" s="137"/>
      <c r="Q82" s="135"/>
      <c r="R82" s="136"/>
      <c r="S82" s="136"/>
      <c r="T82" s="137"/>
      <c r="U82" s="135"/>
      <c r="V82" s="136"/>
      <c r="W82" s="138"/>
      <c r="X82" s="136"/>
      <c r="Y82" s="137"/>
      <c r="Z82" s="135"/>
      <c r="AA82" s="136"/>
      <c r="AB82" s="138"/>
      <c r="AC82" s="136"/>
      <c r="AD82" s="137"/>
      <c r="AE82" s="139">
        <f t="shared" si="4"/>
        <v>2</v>
      </c>
    </row>
    <row r="83" ht="15.75" customHeight="1" spans="1:31">
      <c r="A83" s="125">
        <v>87</v>
      </c>
      <c r="B83" s="126" t="s">
        <v>3492</v>
      </c>
      <c r="C83" s="126" t="s">
        <v>3411</v>
      </c>
      <c r="D83" s="126" t="s">
        <v>3493</v>
      </c>
      <c r="E83" s="128" t="b">
        <v>0</v>
      </c>
      <c r="F83" s="129" t="b">
        <v>0</v>
      </c>
      <c r="G83" s="129" t="b">
        <v>0</v>
      </c>
      <c r="H83" s="130" t="b">
        <v>0</v>
      </c>
      <c r="I83" s="128"/>
      <c r="J83" s="129"/>
      <c r="K83" s="129"/>
      <c r="L83" s="130"/>
      <c r="M83" s="128"/>
      <c r="N83" s="129"/>
      <c r="O83" s="129"/>
      <c r="P83" s="130"/>
      <c r="Q83" s="128"/>
      <c r="R83" s="129"/>
      <c r="S83" s="129"/>
      <c r="T83" s="130"/>
      <c r="U83" s="128"/>
      <c r="V83" s="129"/>
      <c r="W83" s="131"/>
      <c r="X83" s="129"/>
      <c r="Y83" s="130"/>
      <c r="Z83" s="128"/>
      <c r="AA83" s="129"/>
      <c r="AB83" s="131"/>
      <c r="AC83" s="129"/>
      <c r="AD83" s="130"/>
      <c r="AE83" s="132">
        <f t="shared" si="4"/>
        <v>0</v>
      </c>
    </row>
    <row r="84" ht="15.75" customHeight="1" spans="1:31">
      <c r="A84" s="133">
        <v>88</v>
      </c>
      <c r="B84" s="134" t="s">
        <v>3492</v>
      </c>
      <c r="C84" s="134" t="s">
        <v>2</v>
      </c>
      <c r="D84" s="134" t="s">
        <v>2290</v>
      </c>
      <c r="E84" s="135" t="b">
        <v>1</v>
      </c>
      <c r="F84" s="136" t="b">
        <v>1</v>
      </c>
      <c r="G84" s="136" t="b">
        <v>0</v>
      </c>
      <c r="H84" s="137" t="b">
        <v>1</v>
      </c>
      <c r="I84" s="135"/>
      <c r="J84" s="136"/>
      <c r="K84" s="136"/>
      <c r="L84" s="137"/>
      <c r="M84" s="135"/>
      <c r="N84" s="136"/>
      <c r="O84" s="136"/>
      <c r="P84" s="137"/>
      <c r="Q84" s="135"/>
      <c r="R84" s="136"/>
      <c r="S84" s="136"/>
      <c r="T84" s="137"/>
      <c r="U84" s="135"/>
      <c r="V84" s="136"/>
      <c r="W84" s="138"/>
      <c r="X84" s="136"/>
      <c r="Y84" s="137"/>
      <c r="Z84" s="135"/>
      <c r="AA84" s="136"/>
      <c r="AB84" s="138"/>
      <c r="AC84" s="136"/>
      <c r="AD84" s="137"/>
      <c r="AE84" s="139">
        <f t="shared" si="4"/>
        <v>3</v>
      </c>
    </row>
    <row r="85" ht="15.75" customHeight="1" spans="1:31">
      <c r="A85" s="125">
        <v>89</v>
      </c>
      <c r="B85" s="126" t="s">
        <v>3492</v>
      </c>
      <c r="C85" s="126" t="s">
        <v>3411</v>
      </c>
      <c r="D85" s="126" t="s">
        <v>3494</v>
      </c>
      <c r="E85" s="128" t="b">
        <v>1</v>
      </c>
      <c r="F85" s="129" t="b">
        <v>1</v>
      </c>
      <c r="G85" s="129" t="b">
        <v>1</v>
      </c>
      <c r="H85" s="130" t="b">
        <v>1</v>
      </c>
      <c r="I85" s="128"/>
      <c r="J85" s="129"/>
      <c r="K85" s="129"/>
      <c r="L85" s="130"/>
      <c r="M85" s="128"/>
      <c r="N85" s="129"/>
      <c r="O85" s="129"/>
      <c r="P85" s="130"/>
      <c r="Q85" s="128"/>
      <c r="R85" s="129"/>
      <c r="S85" s="129"/>
      <c r="T85" s="130"/>
      <c r="U85" s="128"/>
      <c r="V85" s="129"/>
      <c r="W85" s="131"/>
      <c r="X85" s="129"/>
      <c r="Y85" s="130"/>
      <c r="Z85" s="128"/>
      <c r="AA85" s="129"/>
      <c r="AB85" s="131"/>
      <c r="AC85" s="129"/>
      <c r="AD85" s="130"/>
      <c r="AE85" s="132">
        <f t="shared" si="4"/>
        <v>4</v>
      </c>
    </row>
    <row r="86" ht="15.75" customHeight="1" spans="1:31">
      <c r="A86" s="133">
        <v>90</v>
      </c>
      <c r="B86" s="134" t="s">
        <v>3495</v>
      </c>
      <c r="C86" s="134" t="s">
        <v>2</v>
      </c>
      <c r="D86" s="134" t="s">
        <v>3496</v>
      </c>
      <c r="E86" s="135" t="b">
        <v>1</v>
      </c>
      <c r="F86" s="136" t="b">
        <v>1</v>
      </c>
      <c r="G86" s="136" t="b">
        <v>1</v>
      </c>
      <c r="H86" s="137" t="b">
        <v>1</v>
      </c>
      <c r="I86" s="135"/>
      <c r="J86" s="136"/>
      <c r="K86" s="136"/>
      <c r="L86" s="137"/>
      <c r="M86" s="135"/>
      <c r="N86" s="136"/>
      <c r="O86" s="136"/>
      <c r="P86" s="137"/>
      <c r="Q86" s="135"/>
      <c r="R86" s="136"/>
      <c r="S86" s="136"/>
      <c r="T86" s="137"/>
      <c r="U86" s="135"/>
      <c r="V86" s="136"/>
      <c r="W86" s="138"/>
      <c r="X86" s="136"/>
      <c r="Y86" s="137"/>
      <c r="Z86" s="135"/>
      <c r="AA86" s="136"/>
      <c r="AB86" s="138"/>
      <c r="AC86" s="136"/>
      <c r="AD86" s="137"/>
      <c r="AE86" s="139">
        <f t="shared" si="4"/>
        <v>4</v>
      </c>
    </row>
    <row r="87" ht="15.75" customHeight="1" spans="1:31">
      <c r="A87" s="125">
        <v>91</v>
      </c>
      <c r="B87" s="126" t="s">
        <v>3495</v>
      </c>
      <c r="C87" s="126" t="s">
        <v>3</v>
      </c>
      <c r="D87" s="126" t="s">
        <v>1749</v>
      </c>
      <c r="E87" s="128" t="b">
        <v>1</v>
      </c>
      <c r="F87" s="129" t="b">
        <v>1</v>
      </c>
      <c r="G87" s="129" t="b">
        <v>1</v>
      </c>
      <c r="H87" s="130" t="b">
        <v>1</v>
      </c>
      <c r="I87" s="128"/>
      <c r="J87" s="129"/>
      <c r="K87" s="129"/>
      <c r="L87" s="130"/>
      <c r="M87" s="128"/>
      <c r="N87" s="129"/>
      <c r="O87" s="129"/>
      <c r="P87" s="130"/>
      <c r="Q87" s="128"/>
      <c r="R87" s="129"/>
      <c r="S87" s="129"/>
      <c r="T87" s="130"/>
      <c r="U87" s="128"/>
      <c r="V87" s="129"/>
      <c r="W87" s="131"/>
      <c r="X87" s="129"/>
      <c r="Y87" s="130"/>
      <c r="Z87" s="128"/>
      <c r="AA87" s="129"/>
      <c r="AB87" s="131"/>
      <c r="AC87" s="129"/>
      <c r="AD87" s="130"/>
      <c r="AE87" s="132">
        <f t="shared" si="4"/>
        <v>4</v>
      </c>
    </row>
    <row r="88" ht="15.75" customHeight="1" spans="1:31">
      <c r="A88" s="133">
        <v>92</v>
      </c>
      <c r="B88" s="134" t="s">
        <v>3497</v>
      </c>
      <c r="C88" s="134" t="s">
        <v>2</v>
      </c>
      <c r="D88" s="134" t="s">
        <v>1748</v>
      </c>
      <c r="E88" s="135" t="b">
        <v>1</v>
      </c>
      <c r="F88" s="136" t="b">
        <v>1</v>
      </c>
      <c r="G88" s="136" t="b">
        <v>1</v>
      </c>
      <c r="H88" s="137" t="b">
        <v>1</v>
      </c>
      <c r="I88" s="135"/>
      <c r="J88" s="136"/>
      <c r="K88" s="136"/>
      <c r="L88" s="137"/>
      <c r="M88" s="135"/>
      <c r="N88" s="136"/>
      <c r="O88" s="136"/>
      <c r="P88" s="137"/>
      <c r="Q88" s="135"/>
      <c r="R88" s="136"/>
      <c r="S88" s="136"/>
      <c r="T88" s="137"/>
      <c r="U88" s="135"/>
      <c r="V88" s="136"/>
      <c r="W88" s="138"/>
      <c r="X88" s="136"/>
      <c r="Y88" s="137"/>
      <c r="Z88" s="135"/>
      <c r="AA88" s="136"/>
      <c r="AB88" s="138"/>
      <c r="AC88" s="136"/>
      <c r="AD88" s="137"/>
      <c r="AE88" s="139">
        <f t="shared" si="4"/>
        <v>4</v>
      </c>
    </row>
    <row r="89" ht="15.75" customHeight="1" spans="1:31">
      <c r="A89" s="125">
        <v>93</v>
      </c>
      <c r="B89" s="126" t="s">
        <v>3497</v>
      </c>
      <c r="C89" s="126" t="s">
        <v>3</v>
      </c>
      <c r="D89" s="126" t="s">
        <v>362</v>
      </c>
      <c r="E89" s="128" t="b">
        <v>1</v>
      </c>
      <c r="F89" s="129" t="b">
        <v>1</v>
      </c>
      <c r="G89" s="129" t="b">
        <v>1</v>
      </c>
      <c r="H89" s="130" t="b">
        <v>1</v>
      </c>
      <c r="I89" s="128"/>
      <c r="J89" s="129"/>
      <c r="K89" s="129"/>
      <c r="L89" s="130"/>
      <c r="M89" s="128"/>
      <c r="N89" s="129"/>
      <c r="O89" s="129"/>
      <c r="P89" s="130"/>
      <c r="Q89" s="128"/>
      <c r="R89" s="129"/>
      <c r="S89" s="129"/>
      <c r="T89" s="130"/>
      <c r="U89" s="128"/>
      <c r="V89" s="129"/>
      <c r="W89" s="131"/>
      <c r="X89" s="129"/>
      <c r="Y89" s="130"/>
      <c r="Z89" s="128"/>
      <c r="AA89" s="129"/>
      <c r="AB89" s="131"/>
      <c r="AC89" s="129"/>
      <c r="AD89" s="130"/>
      <c r="AE89" s="132">
        <f t="shared" si="4"/>
        <v>4</v>
      </c>
    </row>
    <row r="90" ht="15.75" customHeight="1" spans="1:31">
      <c r="A90" s="133">
        <v>94</v>
      </c>
      <c r="B90" s="134" t="s">
        <v>3495</v>
      </c>
      <c r="C90" s="134" t="s">
        <v>3413</v>
      </c>
      <c r="D90" s="134" t="s">
        <v>3498</v>
      </c>
      <c r="E90" s="135" t="b">
        <v>1</v>
      </c>
      <c r="F90" s="136" t="b">
        <v>1</v>
      </c>
      <c r="G90" s="136" t="b">
        <v>1</v>
      </c>
      <c r="H90" s="137" t="b">
        <v>1</v>
      </c>
      <c r="I90" s="135"/>
      <c r="J90" s="136"/>
      <c r="K90" s="136"/>
      <c r="L90" s="137"/>
      <c r="M90" s="135"/>
      <c r="N90" s="136"/>
      <c r="O90" s="136"/>
      <c r="P90" s="137"/>
      <c r="Q90" s="135"/>
      <c r="R90" s="136"/>
      <c r="S90" s="136"/>
      <c r="T90" s="137"/>
      <c r="U90" s="135"/>
      <c r="V90" s="136"/>
      <c r="W90" s="138"/>
      <c r="X90" s="136"/>
      <c r="Y90" s="137"/>
      <c r="Z90" s="135"/>
      <c r="AA90" s="136"/>
      <c r="AB90" s="138"/>
      <c r="AC90" s="136"/>
      <c r="AD90" s="137"/>
      <c r="AE90" s="139">
        <f t="shared" si="4"/>
        <v>4</v>
      </c>
    </row>
    <row r="91" ht="15.75" customHeight="1" spans="1:31">
      <c r="A91" s="125">
        <v>95</v>
      </c>
      <c r="B91" s="126" t="s">
        <v>364</v>
      </c>
      <c r="C91" s="126" t="s">
        <v>3411</v>
      </c>
      <c r="D91" s="126" t="s">
        <v>3499</v>
      </c>
      <c r="E91" s="128" t="b">
        <v>1</v>
      </c>
      <c r="F91" s="129" t="b">
        <v>0</v>
      </c>
      <c r="G91" s="129" t="b">
        <v>1</v>
      </c>
      <c r="H91" s="130" t="b">
        <v>1</v>
      </c>
      <c r="I91" s="128"/>
      <c r="J91" s="129"/>
      <c r="K91" s="129"/>
      <c r="L91" s="130"/>
      <c r="M91" s="128"/>
      <c r="N91" s="129"/>
      <c r="O91" s="129"/>
      <c r="P91" s="130"/>
      <c r="Q91" s="128"/>
      <c r="R91" s="129"/>
      <c r="S91" s="129"/>
      <c r="T91" s="130"/>
      <c r="U91" s="128"/>
      <c r="V91" s="129"/>
      <c r="W91" s="131"/>
      <c r="X91" s="129"/>
      <c r="Y91" s="130"/>
      <c r="Z91" s="128"/>
      <c r="AA91" s="129"/>
      <c r="AB91" s="131"/>
      <c r="AC91" s="129"/>
      <c r="AD91" s="130"/>
      <c r="AE91" s="132">
        <f t="shared" si="4"/>
        <v>3</v>
      </c>
    </row>
    <row r="92" ht="15.75" customHeight="1" spans="1:31">
      <c r="A92" s="133">
        <v>96</v>
      </c>
      <c r="B92" s="134" t="s">
        <v>364</v>
      </c>
      <c r="C92" s="134" t="s">
        <v>2</v>
      </c>
      <c r="D92" s="134" t="s">
        <v>2301</v>
      </c>
      <c r="E92" s="135" t="b">
        <v>0</v>
      </c>
      <c r="F92" s="136" t="b">
        <v>0</v>
      </c>
      <c r="G92" s="136" t="b">
        <v>0</v>
      </c>
      <c r="H92" s="137" t="b">
        <v>0</v>
      </c>
      <c r="I92" s="135"/>
      <c r="J92" s="136"/>
      <c r="K92" s="136"/>
      <c r="L92" s="137"/>
      <c r="M92" s="135"/>
      <c r="N92" s="136"/>
      <c r="O92" s="136"/>
      <c r="P92" s="137"/>
      <c r="Q92" s="135"/>
      <c r="R92" s="136"/>
      <c r="S92" s="136"/>
      <c r="T92" s="137"/>
      <c r="U92" s="135"/>
      <c r="V92" s="136"/>
      <c r="W92" s="138"/>
      <c r="X92" s="136"/>
      <c r="Y92" s="137"/>
      <c r="Z92" s="135"/>
      <c r="AA92" s="136"/>
      <c r="AB92" s="138"/>
      <c r="AC92" s="136"/>
      <c r="AD92" s="137"/>
      <c r="AE92" s="139">
        <f t="shared" si="4"/>
        <v>0</v>
      </c>
    </row>
    <row r="93" ht="15.75" customHeight="1" spans="1:31">
      <c r="A93" s="125">
        <v>98</v>
      </c>
      <c r="B93" s="126" t="s">
        <v>381</v>
      </c>
      <c r="C93" s="126" t="s">
        <v>3</v>
      </c>
      <c r="D93" s="126" t="s">
        <v>3500</v>
      </c>
      <c r="E93" s="128" t="b">
        <v>1</v>
      </c>
      <c r="F93" s="129" t="b">
        <v>1</v>
      </c>
      <c r="G93" s="129" t="b">
        <v>1</v>
      </c>
      <c r="H93" s="130" t="b">
        <v>1</v>
      </c>
      <c r="I93" s="128"/>
      <c r="J93" s="129"/>
      <c r="K93" s="129"/>
      <c r="L93" s="130"/>
      <c r="M93" s="128"/>
      <c r="N93" s="129"/>
      <c r="O93" s="129"/>
      <c r="P93" s="130"/>
      <c r="Q93" s="128"/>
      <c r="R93" s="129"/>
      <c r="S93" s="129"/>
      <c r="T93" s="130"/>
      <c r="U93" s="128"/>
      <c r="V93" s="129"/>
      <c r="W93" s="131"/>
      <c r="X93" s="129"/>
      <c r="Y93" s="130"/>
      <c r="Z93" s="128"/>
      <c r="AA93" s="129"/>
      <c r="AB93" s="131"/>
      <c r="AC93" s="129"/>
      <c r="AD93" s="130"/>
      <c r="AE93" s="132">
        <f t="shared" si="4"/>
        <v>4</v>
      </c>
    </row>
    <row r="94" ht="15.75" customHeight="1" spans="1:31">
      <c r="A94" s="133">
        <v>99</v>
      </c>
      <c r="B94" s="134" t="s">
        <v>381</v>
      </c>
      <c r="C94" s="134" t="s">
        <v>2</v>
      </c>
      <c r="D94" s="134" t="s">
        <v>2306</v>
      </c>
      <c r="E94" s="135" t="b">
        <v>1</v>
      </c>
      <c r="F94" s="136" t="b">
        <v>0</v>
      </c>
      <c r="G94" s="136" t="b">
        <v>1</v>
      </c>
      <c r="H94" s="137" t="b">
        <v>1</v>
      </c>
      <c r="I94" s="135"/>
      <c r="J94" s="136"/>
      <c r="K94" s="136"/>
      <c r="L94" s="137"/>
      <c r="M94" s="135"/>
      <c r="N94" s="136"/>
      <c r="O94" s="136"/>
      <c r="P94" s="137"/>
      <c r="Q94" s="135"/>
      <c r="R94" s="136"/>
      <c r="S94" s="136"/>
      <c r="T94" s="137"/>
      <c r="U94" s="135"/>
      <c r="V94" s="136"/>
      <c r="W94" s="138"/>
      <c r="X94" s="136"/>
      <c r="Y94" s="137"/>
      <c r="Z94" s="135"/>
      <c r="AA94" s="136"/>
      <c r="AB94" s="138"/>
      <c r="AC94" s="136"/>
      <c r="AD94" s="137"/>
      <c r="AE94" s="139">
        <f t="shared" si="4"/>
        <v>3</v>
      </c>
    </row>
    <row r="95" ht="15.75" customHeight="1" spans="1:31">
      <c r="A95" s="125">
        <v>100</v>
      </c>
      <c r="B95" s="126" t="s">
        <v>381</v>
      </c>
      <c r="C95" s="126" t="s">
        <v>3413</v>
      </c>
      <c r="D95" s="126" t="s">
        <v>3501</v>
      </c>
      <c r="E95" s="128" t="b">
        <v>1</v>
      </c>
      <c r="F95" s="129" t="b">
        <v>0</v>
      </c>
      <c r="G95" s="129" t="b">
        <v>1</v>
      </c>
      <c r="H95" s="130" t="b">
        <v>1</v>
      </c>
      <c r="I95" s="128"/>
      <c r="J95" s="129"/>
      <c r="K95" s="129"/>
      <c r="L95" s="130"/>
      <c r="M95" s="128"/>
      <c r="N95" s="129"/>
      <c r="O95" s="129"/>
      <c r="P95" s="130"/>
      <c r="Q95" s="128"/>
      <c r="R95" s="129"/>
      <c r="S95" s="129"/>
      <c r="T95" s="130"/>
      <c r="U95" s="128"/>
      <c r="V95" s="129"/>
      <c r="W95" s="131"/>
      <c r="X95" s="129"/>
      <c r="Y95" s="130"/>
      <c r="Z95" s="128"/>
      <c r="AA95" s="129"/>
      <c r="AB95" s="131"/>
      <c r="AC95" s="129"/>
      <c r="AD95" s="130"/>
      <c r="AE95" s="132">
        <f t="shared" si="4"/>
        <v>3</v>
      </c>
    </row>
    <row r="96" ht="15.75" customHeight="1" spans="1:31">
      <c r="A96" s="133">
        <v>101</v>
      </c>
      <c r="B96" s="134" t="s">
        <v>381</v>
      </c>
      <c r="C96" s="134" t="s">
        <v>3411</v>
      </c>
      <c r="D96" s="134" t="s">
        <v>3502</v>
      </c>
      <c r="E96" s="135" t="b">
        <v>1</v>
      </c>
      <c r="F96" s="136" t="b">
        <v>1</v>
      </c>
      <c r="G96" s="136" t="b">
        <v>1</v>
      </c>
      <c r="H96" s="137" t="b">
        <v>1</v>
      </c>
      <c r="I96" s="135"/>
      <c r="J96" s="136"/>
      <c r="K96" s="136"/>
      <c r="L96" s="137"/>
      <c r="M96" s="135"/>
      <c r="N96" s="136"/>
      <c r="O96" s="136"/>
      <c r="P96" s="137"/>
      <c r="Q96" s="135"/>
      <c r="R96" s="136"/>
      <c r="S96" s="136"/>
      <c r="T96" s="137"/>
      <c r="U96" s="135"/>
      <c r="V96" s="136"/>
      <c r="W96" s="138"/>
      <c r="X96" s="136"/>
      <c r="Y96" s="137"/>
      <c r="Z96" s="135"/>
      <c r="AA96" s="136"/>
      <c r="AB96" s="138"/>
      <c r="AC96" s="136"/>
      <c r="AD96" s="137"/>
      <c r="AE96" s="139">
        <f t="shared" si="4"/>
        <v>4</v>
      </c>
    </row>
    <row r="97" ht="15.75" customHeight="1" spans="1:31">
      <c r="A97" s="125">
        <v>102</v>
      </c>
      <c r="B97" s="126" t="s">
        <v>397</v>
      </c>
      <c r="C97" s="126" t="s">
        <v>3411</v>
      </c>
      <c r="D97" s="126" t="s">
        <v>3503</v>
      </c>
      <c r="E97" s="128" t="b">
        <v>1</v>
      </c>
      <c r="F97" s="129" t="b">
        <v>1</v>
      </c>
      <c r="G97" s="129" t="b">
        <v>1</v>
      </c>
      <c r="H97" s="130" t="b">
        <v>1</v>
      </c>
      <c r="I97" s="128"/>
      <c r="J97" s="129"/>
      <c r="K97" s="129"/>
      <c r="L97" s="130"/>
      <c r="M97" s="128"/>
      <c r="N97" s="129"/>
      <c r="O97" s="129"/>
      <c r="P97" s="130"/>
      <c r="Q97" s="128"/>
      <c r="R97" s="129"/>
      <c r="S97" s="129"/>
      <c r="T97" s="130"/>
      <c r="U97" s="128"/>
      <c r="V97" s="129"/>
      <c r="W97" s="131"/>
      <c r="X97" s="129"/>
      <c r="Y97" s="130"/>
      <c r="Z97" s="128"/>
      <c r="AA97" s="129"/>
      <c r="AB97" s="131"/>
      <c r="AC97" s="129"/>
      <c r="AD97" s="130"/>
      <c r="AE97" s="132">
        <f t="shared" si="4"/>
        <v>4</v>
      </c>
    </row>
    <row r="98" ht="15.75" customHeight="1" spans="1:31">
      <c r="A98" s="133">
        <v>103</v>
      </c>
      <c r="B98" s="140" t="s">
        <v>3434</v>
      </c>
      <c r="C98" s="134"/>
      <c r="D98" s="140" t="s">
        <v>3504</v>
      </c>
      <c r="E98" s="135" t="b">
        <v>0</v>
      </c>
      <c r="F98" s="136" t="b">
        <v>0</v>
      </c>
      <c r="G98" s="136" t="b">
        <v>1</v>
      </c>
      <c r="H98" s="137" t="b">
        <v>0</v>
      </c>
      <c r="I98" s="135"/>
      <c r="J98" s="136"/>
      <c r="K98" s="136"/>
      <c r="L98" s="137"/>
      <c r="M98" s="135"/>
      <c r="N98" s="136"/>
      <c r="O98" s="136"/>
      <c r="P98" s="137"/>
      <c r="Q98" s="135"/>
      <c r="R98" s="136"/>
      <c r="S98" s="136"/>
      <c r="T98" s="137"/>
      <c r="U98" s="135"/>
      <c r="V98" s="136"/>
      <c r="W98" s="138"/>
      <c r="X98" s="136"/>
      <c r="Y98" s="137"/>
      <c r="Z98" s="135"/>
      <c r="AA98" s="136"/>
      <c r="AB98" s="138"/>
      <c r="AC98" s="136"/>
      <c r="AD98" s="137"/>
      <c r="AE98" s="139">
        <f t="shared" si="4"/>
        <v>1</v>
      </c>
    </row>
    <row r="99" ht="15.75" customHeight="1" spans="1:31">
      <c r="A99" s="125">
        <v>104</v>
      </c>
      <c r="B99" s="126" t="s">
        <v>397</v>
      </c>
      <c r="C99" s="126" t="s">
        <v>3</v>
      </c>
      <c r="D99" s="126" t="s">
        <v>2322</v>
      </c>
      <c r="E99" s="128" t="b">
        <v>1</v>
      </c>
      <c r="F99" s="129" t="b">
        <v>1</v>
      </c>
      <c r="G99" s="129" t="b">
        <v>1</v>
      </c>
      <c r="H99" s="130" t="b">
        <v>0</v>
      </c>
      <c r="I99" s="128"/>
      <c r="J99" s="129"/>
      <c r="K99" s="129"/>
      <c r="L99" s="130"/>
      <c r="M99" s="128"/>
      <c r="N99" s="129"/>
      <c r="O99" s="129"/>
      <c r="P99" s="130"/>
      <c r="Q99" s="128"/>
      <c r="R99" s="129"/>
      <c r="S99" s="129"/>
      <c r="T99" s="130"/>
      <c r="U99" s="128"/>
      <c r="V99" s="129"/>
      <c r="W99" s="131"/>
      <c r="X99" s="129"/>
      <c r="Y99" s="130"/>
      <c r="Z99" s="128"/>
      <c r="AA99" s="129"/>
      <c r="AB99" s="131"/>
      <c r="AC99" s="129"/>
      <c r="AD99" s="130"/>
      <c r="AE99" s="132">
        <f t="shared" si="4"/>
        <v>3</v>
      </c>
    </row>
    <row r="100" ht="15.75" customHeight="1" spans="1:31">
      <c r="A100" s="133">
        <v>105</v>
      </c>
      <c r="B100" s="134" t="s">
        <v>397</v>
      </c>
      <c r="C100" s="134" t="s">
        <v>3411</v>
      </c>
      <c r="D100" s="134" t="s">
        <v>3505</v>
      </c>
      <c r="E100" s="135" t="b">
        <v>0</v>
      </c>
      <c r="F100" s="136" t="b">
        <v>1</v>
      </c>
      <c r="G100" s="136" t="b">
        <v>1</v>
      </c>
      <c r="H100" s="137" t="b">
        <v>1</v>
      </c>
      <c r="I100" s="135"/>
      <c r="J100" s="136"/>
      <c r="K100" s="136"/>
      <c r="L100" s="137"/>
      <c r="M100" s="135"/>
      <c r="N100" s="136"/>
      <c r="O100" s="136"/>
      <c r="P100" s="137"/>
      <c r="Q100" s="135"/>
      <c r="R100" s="136"/>
      <c r="S100" s="136"/>
      <c r="T100" s="137"/>
      <c r="U100" s="135"/>
      <c r="V100" s="136"/>
      <c r="W100" s="138"/>
      <c r="X100" s="136"/>
      <c r="Y100" s="137"/>
      <c r="Z100" s="135"/>
      <c r="AA100" s="136"/>
      <c r="AB100" s="138"/>
      <c r="AC100" s="136"/>
      <c r="AD100" s="137"/>
      <c r="AE100" s="139">
        <f t="shared" si="4"/>
        <v>3</v>
      </c>
    </row>
    <row r="101" ht="15.75" customHeight="1" spans="1:31">
      <c r="A101" s="125">
        <v>106</v>
      </c>
      <c r="B101" s="126" t="s">
        <v>397</v>
      </c>
      <c r="C101" s="126" t="s">
        <v>2</v>
      </c>
      <c r="D101" s="126" t="s">
        <v>2329</v>
      </c>
      <c r="E101" s="131" t="b">
        <v>1</v>
      </c>
      <c r="F101" s="131" t="b">
        <v>1</v>
      </c>
      <c r="G101" s="131" t="b">
        <v>1</v>
      </c>
      <c r="H101" s="131" t="b">
        <v>1</v>
      </c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  <c r="AC101" s="131"/>
      <c r="AD101" s="131"/>
      <c r="AE101" s="132">
        <f t="shared" si="4"/>
        <v>4</v>
      </c>
    </row>
    <row r="102" ht="15.75" customHeight="1" spans="1:31">
      <c r="A102" s="133">
        <v>108</v>
      </c>
      <c r="C102" s="140" t="s">
        <v>3413</v>
      </c>
      <c r="D102" s="140" t="s">
        <v>3506</v>
      </c>
      <c r="E102" s="141" t="b">
        <v>1</v>
      </c>
      <c r="F102" s="142" t="b">
        <v>0</v>
      </c>
      <c r="G102" s="142" t="b">
        <v>0</v>
      </c>
      <c r="H102" s="150" t="b">
        <v>0</v>
      </c>
      <c r="I102" s="144"/>
      <c r="J102" s="142"/>
      <c r="K102" s="142"/>
      <c r="L102" s="143"/>
      <c r="M102" s="144"/>
      <c r="N102" s="142"/>
      <c r="O102" s="142"/>
      <c r="P102" s="143"/>
      <c r="Q102" s="144"/>
      <c r="R102" s="142"/>
      <c r="S102" s="142"/>
      <c r="T102" s="143"/>
      <c r="U102" s="144"/>
      <c r="V102" s="142"/>
      <c r="X102" s="142"/>
      <c r="Y102" s="143"/>
      <c r="Z102" s="144"/>
      <c r="AA102" s="142"/>
      <c r="AC102" s="142"/>
      <c r="AD102" s="143"/>
    </row>
    <row r="103" ht="15.75" customHeight="1" spans="1:31">
      <c r="A103" s="125">
        <v>624</v>
      </c>
      <c r="B103" s="126"/>
      <c r="C103" s="126" t="s">
        <v>2</v>
      </c>
      <c r="D103" s="126" t="s">
        <v>3507</v>
      </c>
      <c r="E103" s="128" t="b">
        <v>1</v>
      </c>
      <c r="F103" s="129" t="b">
        <v>0</v>
      </c>
      <c r="G103" s="129" t="b">
        <v>0</v>
      </c>
      <c r="H103" s="130" t="b">
        <v>0</v>
      </c>
      <c r="I103" s="128"/>
      <c r="J103" s="129"/>
      <c r="K103" s="129"/>
      <c r="L103" s="130"/>
      <c r="M103" s="128"/>
      <c r="N103" s="129"/>
      <c r="O103" s="129"/>
      <c r="P103" s="130"/>
      <c r="Q103" s="128"/>
      <c r="R103" s="129"/>
      <c r="S103" s="129"/>
      <c r="T103" s="130"/>
      <c r="U103" s="128"/>
      <c r="V103" s="129"/>
      <c r="W103" s="131"/>
      <c r="X103" s="129"/>
      <c r="Y103" s="130"/>
      <c r="Z103" s="128"/>
      <c r="AA103" s="129"/>
      <c r="AB103" s="131"/>
      <c r="AC103" s="129"/>
      <c r="AD103" s="130"/>
      <c r="AE103" s="132">
        <f t="shared" ref="AE103:AE117" si="5">COUNTIF(E103:AD103,"TRUE")</f>
        <v>1</v>
      </c>
    </row>
    <row r="104" ht="15.75" customHeight="1" spans="1:31">
      <c r="A104" s="133">
        <v>109</v>
      </c>
      <c r="B104" s="134"/>
      <c r="C104" s="134" t="s">
        <v>3</v>
      </c>
      <c r="D104" s="134" t="s">
        <v>3508</v>
      </c>
      <c r="E104" s="135" t="b">
        <v>1</v>
      </c>
      <c r="F104" s="136" t="b">
        <v>1</v>
      </c>
      <c r="G104" s="136" t="b">
        <v>0</v>
      </c>
      <c r="H104" s="137" t="b">
        <v>1</v>
      </c>
      <c r="I104" s="135"/>
      <c r="J104" s="136"/>
      <c r="K104" s="136"/>
      <c r="L104" s="137"/>
      <c r="M104" s="135"/>
      <c r="N104" s="136"/>
      <c r="O104" s="136"/>
      <c r="P104" s="137"/>
      <c r="Q104" s="135"/>
      <c r="R104" s="136"/>
      <c r="S104" s="136"/>
      <c r="T104" s="137"/>
      <c r="U104" s="135"/>
      <c r="V104" s="136"/>
      <c r="W104" s="138"/>
      <c r="X104" s="136"/>
      <c r="Y104" s="137"/>
      <c r="Z104" s="135"/>
      <c r="AA104" s="136"/>
      <c r="AB104" s="138"/>
      <c r="AC104" s="136"/>
      <c r="AD104" s="137"/>
      <c r="AE104" s="139">
        <f t="shared" si="5"/>
        <v>3</v>
      </c>
    </row>
    <row r="105" ht="15.75" customHeight="1" spans="1:31">
      <c r="A105" s="125">
        <v>111</v>
      </c>
      <c r="B105" s="126"/>
      <c r="C105" s="126" t="s">
        <v>3411</v>
      </c>
      <c r="D105" s="126" t="s">
        <v>3509</v>
      </c>
      <c r="E105" s="128" t="b">
        <v>1</v>
      </c>
      <c r="F105" s="129" t="b">
        <v>1</v>
      </c>
      <c r="G105" s="129" t="b">
        <v>1</v>
      </c>
      <c r="H105" s="130" t="b">
        <v>1</v>
      </c>
      <c r="I105" s="128"/>
      <c r="J105" s="129"/>
      <c r="K105" s="129"/>
      <c r="L105" s="130"/>
      <c r="M105" s="128"/>
      <c r="N105" s="129"/>
      <c r="O105" s="129"/>
      <c r="P105" s="130"/>
      <c r="Q105" s="128"/>
      <c r="R105" s="129"/>
      <c r="S105" s="129"/>
      <c r="T105" s="130"/>
      <c r="U105" s="128"/>
      <c r="V105" s="129"/>
      <c r="W105" s="131"/>
      <c r="X105" s="129"/>
      <c r="Y105" s="130"/>
      <c r="Z105" s="128"/>
      <c r="AA105" s="129"/>
      <c r="AB105" s="131"/>
      <c r="AC105" s="129"/>
      <c r="AD105" s="130"/>
      <c r="AE105" s="132">
        <f t="shared" si="5"/>
        <v>4</v>
      </c>
    </row>
    <row r="106" ht="15.75" customHeight="1" spans="1:31">
      <c r="A106" s="133">
        <v>112</v>
      </c>
      <c r="B106" s="134"/>
      <c r="C106" s="134" t="s">
        <v>2</v>
      </c>
      <c r="D106" s="134" t="s">
        <v>3510</v>
      </c>
      <c r="E106" s="135" t="b">
        <v>1</v>
      </c>
      <c r="F106" s="136" t="b">
        <v>1</v>
      </c>
      <c r="G106" s="136" t="b">
        <v>1</v>
      </c>
      <c r="H106" s="137" t="b">
        <v>1</v>
      </c>
      <c r="I106" s="135"/>
      <c r="J106" s="136"/>
      <c r="K106" s="136"/>
      <c r="L106" s="137"/>
      <c r="M106" s="135"/>
      <c r="N106" s="136"/>
      <c r="O106" s="136"/>
      <c r="P106" s="137"/>
      <c r="Q106" s="135"/>
      <c r="R106" s="136"/>
      <c r="S106" s="136"/>
      <c r="T106" s="137"/>
      <c r="U106" s="135"/>
      <c r="V106" s="136"/>
      <c r="W106" s="138"/>
      <c r="X106" s="136"/>
      <c r="Y106" s="137"/>
      <c r="Z106" s="135"/>
      <c r="AA106" s="136"/>
      <c r="AB106" s="138"/>
      <c r="AC106" s="136"/>
      <c r="AD106" s="137"/>
      <c r="AE106" s="139">
        <f t="shared" si="5"/>
        <v>4</v>
      </c>
    </row>
    <row r="107" ht="15.75" customHeight="1" spans="1:31">
      <c r="A107" s="125">
        <v>113</v>
      </c>
      <c r="B107" s="126"/>
      <c r="C107" s="126" t="s">
        <v>2</v>
      </c>
      <c r="D107" s="126" t="s">
        <v>3511</v>
      </c>
      <c r="E107" s="128" t="b">
        <v>0</v>
      </c>
      <c r="F107" s="129" t="b">
        <v>0</v>
      </c>
      <c r="G107" s="129" t="b">
        <v>0</v>
      </c>
      <c r="H107" s="130" t="b">
        <v>0</v>
      </c>
      <c r="I107" s="128"/>
      <c r="J107" s="129"/>
      <c r="K107" s="129"/>
      <c r="L107" s="130"/>
      <c r="M107" s="128"/>
      <c r="N107" s="129"/>
      <c r="O107" s="129"/>
      <c r="P107" s="130"/>
      <c r="Q107" s="128"/>
      <c r="R107" s="129"/>
      <c r="S107" s="129"/>
      <c r="T107" s="130"/>
      <c r="U107" s="128"/>
      <c r="V107" s="129"/>
      <c r="W107" s="131"/>
      <c r="X107" s="129"/>
      <c r="Y107" s="130"/>
      <c r="Z107" s="128"/>
      <c r="AA107" s="129"/>
      <c r="AB107" s="131"/>
      <c r="AC107" s="129"/>
      <c r="AD107" s="130"/>
      <c r="AE107" s="132">
        <f t="shared" si="5"/>
        <v>0</v>
      </c>
    </row>
    <row r="108" ht="15.75" customHeight="1" spans="1:31">
      <c r="A108" s="133">
        <v>114</v>
      </c>
      <c r="B108" s="134"/>
      <c r="C108" s="134" t="s">
        <v>2</v>
      </c>
      <c r="D108" s="134" t="s">
        <v>3512</v>
      </c>
      <c r="E108" s="135" t="b">
        <v>1</v>
      </c>
      <c r="F108" s="136" t="b">
        <v>0</v>
      </c>
      <c r="G108" s="136" t="b">
        <v>1</v>
      </c>
      <c r="H108" s="137" t="b">
        <v>0</v>
      </c>
      <c r="I108" s="135"/>
      <c r="J108" s="136"/>
      <c r="K108" s="136"/>
      <c r="L108" s="137"/>
      <c r="M108" s="135"/>
      <c r="N108" s="136"/>
      <c r="O108" s="136"/>
      <c r="P108" s="137"/>
      <c r="Q108" s="135"/>
      <c r="R108" s="136"/>
      <c r="S108" s="136"/>
      <c r="T108" s="137"/>
      <c r="U108" s="135"/>
      <c r="V108" s="136"/>
      <c r="W108" s="138"/>
      <c r="X108" s="136"/>
      <c r="Y108" s="137"/>
      <c r="Z108" s="135"/>
      <c r="AA108" s="136"/>
      <c r="AB108" s="138"/>
      <c r="AC108" s="136"/>
      <c r="AD108" s="137"/>
      <c r="AE108" s="139">
        <f t="shared" si="5"/>
        <v>2</v>
      </c>
    </row>
    <row r="109" ht="15.75" customHeight="1" spans="1:31">
      <c r="A109" s="125">
        <v>115</v>
      </c>
      <c r="B109" s="126"/>
      <c r="C109" s="126" t="s">
        <v>3411</v>
      </c>
      <c r="D109" s="126" t="s">
        <v>3513</v>
      </c>
      <c r="E109" s="128" t="b">
        <v>1</v>
      </c>
      <c r="F109" s="129" t="b">
        <v>1</v>
      </c>
      <c r="G109" s="129" t="b">
        <v>1</v>
      </c>
      <c r="H109" s="130" t="b">
        <v>1</v>
      </c>
      <c r="I109" s="128"/>
      <c r="J109" s="129"/>
      <c r="K109" s="129"/>
      <c r="L109" s="130"/>
      <c r="M109" s="128"/>
      <c r="N109" s="129"/>
      <c r="O109" s="129"/>
      <c r="P109" s="130"/>
      <c r="Q109" s="128"/>
      <c r="R109" s="129"/>
      <c r="S109" s="129"/>
      <c r="T109" s="130"/>
      <c r="U109" s="128"/>
      <c r="V109" s="129"/>
      <c r="W109" s="131"/>
      <c r="X109" s="129"/>
      <c r="Y109" s="130"/>
      <c r="Z109" s="128"/>
      <c r="AA109" s="129"/>
      <c r="AB109" s="131"/>
      <c r="AC109" s="129"/>
      <c r="AD109" s="130"/>
      <c r="AE109" s="132">
        <f t="shared" si="5"/>
        <v>4</v>
      </c>
    </row>
    <row r="110" ht="15.75" customHeight="1" spans="1:31">
      <c r="A110" s="133">
        <v>116</v>
      </c>
      <c r="B110" s="134"/>
      <c r="C110" s="134" t="s">
        <v>3411</v>
      </c>
      <c r="D110" s="134" t="s">
        <v>3514</v>
      </c>
      <c r="E110" s="135" t="b">
        <v>1</v>
      </c>
      <c r="F110" s="136" t="b">
        <v>1</v>
      </c>
      <c r="G110" s="136" t="b">
        <v>1</v>
      </c>
      <c r="H110" s="137" t="b">
        <v>1</v>
      </c>
      <c r="I110" s="135"/>
      <c r="J110" s="136"/>
      <c r="K110" s="136"/>
      <c r="L110" s="137"/>
      <c r="M110" s="135"/>
      <c r="N110" s="136"/>
      <c r="O110" s="136"/>
      <c r="P110" s="137"/>
      <c r="Q110" s="135"/>
      <c r="R110" s="136"/>
      <c r="S110" s="136"/>
      <c r="T110" s="137"/>
      <c r="U110" s="135"/>
      <c r="V110" s="136"/>
      <c r="W110" s="138"/>
      <c r="X110" s="136"/>
      <c r="Y110" s="137"/>
      <c r="Z110" s="135"/>
      <c r="AA110" s="136"/>
      <c r="AB110" s="138"/>
      <c r="AC110" s="136"/>
      <c r="AD110" s="137"/>
      <c r="AE110" s="139">
        <f t="shared" si="5"/>
        <v>4</v>
      </c>
    </row>
    <row r="111" ht="15.75" customHeight="1" spans="1:31">
      <c r="A111" s="125">
        <v>117</v>
      </c>
      <c r="C111" s="126" t="s">
        <v>2</v>
      </c>
      <c r="D111" s="126" t="s">
        <v>3515</v>
      </c>
      <c r="E111" s="128" t="b">
        <v>0</v>
      </c>
      <c r="F111" s="129" t="b">
        <v>0</v>
      </c>
      <c r="G111" s="129" t="b">
        <v>0</v>
      </c>
      <c r="H111" s="130" t="b">
        <v>0</v>
      </c>
      <c r="I111" s="128"/>
      <c r="J111" s="129"/>
      <c r="K111" s="129"/>
      <c r="L111" s="130"/>
      <c r="M111" s="128"/>
      <c r="N111" s="129"/>
      <c r="O111" s="129"/>
      <c r="P111" s="130"/>
      <c r="Q111" s="128"/>
      <c r="R111" s="129"/>
      <c r="S111" s="129"/>
      <c r="T111" s="130"/>
      <c r="U111" s="128"/>
      <c r="V111" s="129"/>
      <c r="W111" s="131"/>
      <c r="X111" s="129"/>
      <c r="Y111" s="130"/>
      <c r="Z111" s="128"/>
      <c r="AA111" s="129"/>
      <c r="AB111" s="131"/>
      <c r="AC111" s="129"/>
      <c r="AD111" s="130"/>
      <c r="AE111" s="132">
        <f t="shared" si="5"/>
        <v>0</v>
      </c>
    </row>
    <row r="112" ht="15.75" customHeight="1" spans="1:31">
      <c r="A112" s="133">
        <v>118</v>
      </c>
      <c r="C112" s="134" t="s">
        <v>3411</v>
      </c>
      <c r="D112" s="134" t="s">
        <v>3516</v>
      </c>
      <c r="E112" s="135" t="b">
        <v>0</v>
      </c>
      <c r="F112" s="136" t="b">
        <v>0</v>
      </c>
      <c r="G112" s="136" t="b">
        <v>0</v>
      </c>
      <c r="H112" s="137" t="b">
        <v>0</v>
      </c>
      <c r="I112" s="135"/>
      <c r="J112" s="136"/>
      <c r="K112" s="136"/>
      <c r="L112" s="137"/>
      <c r="M112" s="135"/>
      <c r="N112" s="136"/>
      <c r="O112" s="136"/>
      <c r="P112" s="137"/>
      <c r="Q112" s="135"/>
      <c r="R112" s="136"/>
      <c r="S112" s="136"/>
      <c r="T112" s="137"/>
      <c r="U112" s="135"/>
      <c r="V112" s="136"/>
      <c r="W112" s="138"/>
      <c r="X112" s="136"/>
      <c r="Y112" s="137"/>
      <c r="Z112" s="135"/>
      <c r="AA112" s="136"/>
      <c r="AB112" s="138"/>
      <c r="AC112" s="136"/>
      <c r="AD112" s="137"/>
      <c r="AE112" s="139">
        <f t="shared" si="5"/>
        <v>0</v>
      </c>
    </row>
    <row r="113" ht="15.75" customHeight="1" spans="1:31">
      <c r="A113" s="125">
        <v>119</v>
      </c>
      <c r="B113" s="126"/>
      <c r="C113" s="126" t="s">
        <v>3411</v>
      </c>
      <c r="D113" s="126" t="s">
        <v>3517</v>
      </c>
      <c r="E113" s="128" t="b">
        <v>0</v>
      </c>
      <c r="F113" s="129" t="b">
        <v>0</v>
      </c>
      <c r="G113" s="129" t="b">
        <v>0</v>
      </c>
      <c r="H113" s="130" t="b">
        <v>0</v>
      </c>
      <c r="I113" s="128"/>
      <c r="J113" s="129"/>
      <c r="K113" s="129"/>
      <c r="L113" s="130"/>
      <c r="M113" s="128"/>
      <c r="N113" s="129"/>
      <c r="O113" s="129"/>
      <c r="P113" s="130"/>
      <c r="Q113" s="128"/>
      <c r="R113" s="129"/>
      <c r="S113" s="129"/>
      <c r="T113" s="130"/>
      <c r="U113" s="128"/>
      <c r="V113" s="129"/>
      <c r="W113" s="131"/>
      <c r="X113" s="129"/>
      <c r="Y113" s="130"/>
      <c r="Z113" s="128"/>
      <c r="AA113" s="129"/>
      <c r="AB113" s="131"/>
      <c r="AC113" s="129"/>
      <c r="AD113" s="130"/>
      <c r="AE113" s="132">
        <f t="shared" si="5"/>
        <v>0</v>
      </c>
    </row>
    <row r="114" ht="15.75" customHeight="1" spans="1:31">
      <c r="A114" s="133">
        <v>120</v>
      </c>
      <c r="C114" s="134"/>
      <c r="D114" s="134" t="s">
        <v>3518</v>
      </c>
      <c r="E114" s="135" t="b">
        <v>0</v>
      </c>
      <c r="F114" s="136" t="b">
        <v>1</v>
      </c>
      <c r="G114" s="136" t="b">
        <v>0</v>
      </c>
      <c r="H114" s="137" t="b">
        <v>0</v>
      </c>
      <c r="I114" s="135"/>
      <c r="J114" s="136"/>
      <c r="K114" s="136"/>
      <c r="L114" s="137"/>
      <c r="M114" s="135"/>
      <c r="N114" s="136"/>
      <c r="O114" s="136"/>
      <c r="P114" s="137"/>
      <c r="Q114" s="135"/>
      <c r="R114" s="136"/>
      <c r="S114" s="136"/>
      <c r="T114" s="137"/>
      <c r="U114" s="135"/>
      <c r="V114" s="136"/>
      <c r="W114" s="138"/>
      <c r="X114" s="136"/>
      <c r="Y114" s="137"/>
      <c r="Z114" s="135"/>
      <c r="AA114" s="136"/>
      <c r="AB114" s="138"/>
      <c r="AC114" s="136"/>
      <c r="AD114" s="137"/>
      <c r="AE114" s="139">
        <f t="shared" si="5"/>
        <v>1</v>
      </c>
    </row>
    <row r="115" ht="15.75" customHeight="1" spans="1:31">
      <c r="A115" s="125">
        <v>121</v>
      </c>
      <c r="B115" s="126"/>
      <c r="C115" s="126"/>
      <c r="D115" s="126" t="s">
        <v>3519</v>
      </c>
      <c r="E115" s="128" t="b">
        <v>1</v>
      </c>
      <c r="F115" s="129" t="b">
        <v>1</v>
      </c>
      <c r="G115" s="129" t="b">
        <v>1</v>
      </c>
      <c r="H115" s="130" t="b">
        <v>1</v>
      </c>
      <c r="I115" s="128"/>
      <c r="J115" s="129"/>
      <c r="K115" s="129"/>
      <c r="L115" s="130"/>
      <c r="M115" s="128"/>
      <c r="N115" s="129"/>
      <c r="O115" s="129"/>
      <c r="P115" s="130"/>
      <c r="Q115" s="128"/>
      <c r="R115" s="129"/>
      <c r="S115" s="129"/>
      <c r="T115" s="130"/>
      <c r="U115" s="128"/>
      <c r="V115" s="129"/>
      <c r="W115" s="131"/>
      <c r="X115" s="129"/>
      <c r="Y115" s="130"/>
      <c r="Z115" s="128"/>
      <c r="AA115" s="129"/>
      <c r="AB115" s="131"/>
      <c r="AC115" s="129"/>
      <c r="AD115" s="130"/>
      <c r="AE115" s="132">
        <f t="shared" si="5"/>
        <v>4</v>
      </c>
    </row>
    <row r="116" ht="15.75" customHeight="1" spans="1:31">
      <c r="A116" s="133">
        <v>122</v>
      </c>
      <c r="C116" s="134" t="s">
        <v>2</v>
      </c>
      <c r="D116" s="134" t="s">
        <v>3520</v>
      </c>
      <c r="E116" s="135" t="b">
        <v>0</v>
      </c>
      <c r="F116" s="136" t="b">
        <v>0</v>
      </c>
      <c r="G116" s="136" t="b">
        <v>1</v>
      </c>
      <c r="H116" s="137" t="b">
        <v>1</v>
      </c>
      <c r="I116" s="135"/>
      <c r="J116" s="136"/>
      <c r="K116" s="136"/>
      <c r="L116" s="137"/>
      <c r="M116" s="135"/>
      <c r="N116" s="136"/>
      <c r="O116" s="136"/>
      <c r="P116" s="137"/>
      <c r="Q116" s="135"/>
      <c r="R116" s="136"/>
      <c r="S116" s="136"/>
      <c r="T116" s="137"/>
      <c r="U116" s="135"/>
      <c r="V116" s="136"/>
      <c r="W116" s="138"/>
      <c r="X116" s="136"/>
      <c r="Y116" s="137"/>
      <c r="Z116" s="135"/>
      <c r="AA116" s="136"/>
      <c r="AB116" s="138"/>
      <c r="AC116" s="136"/>
      <c r="AD116" s="137"/>
      <c r="AE116" s="139">
        <f t="shared" si="5"/>
        <v>2</v>
      </c>
    </row>
    <row r="117" ht="15.75" customHeight="1" spans="1:31">
      <c r="A117" s="125">
        <v>123</v>
      </c>
      <c r="C117" s="126" t="s">
        <v>2</v>
      </c>
      <c r="D117" s="126" t="s">
        <v>3521</v>
      </c>
      <c r="E117" s="128" t="b">
        <v>1</v>
      </c>
      <c r="F117" s="129" t="b">
        <v>1</v>
      </c>
      <c r="G117" s="129" t="b">
        <v>1</v>
      </c>
      <c r="H117" s="130" t="b">
        <v>1</v>
      </c>
      <c r="I117" s="128"/>
      <c r="J117" s="129"/>
      <c r="K117" s="129"/>
      <c r="L117" s="130"/>
      <c r="M117" s="128"/>
      <c r="N117" s="129"/>
      <c r="O117" s="129"/>
      <c r="P117" s="130"/>
      <c r="Q117" s="128"/>
      <c r="R117" s="129"/>
      <c r="S117" s="129"/>
      <c r="T117" s="130"/>
      <c r="U117" s="128"/>
      <c r="V117" s="129"/>
      <c r="W117" s="131"/>
      <c r="X117" s="129"/>
      <c r="Y117" s="130"/>
      <c r="Z117" s="128"/>
      <c r="AA117" s="129"/>
      <c r="AB117" s="131"/>
      <c r="AC117" s="129"/>
      <c r="AD117" s="130"/>
      <c r="AE117" s="132">
        <f t="shared" si="5"/>
        <v>4</v>
      </c>
    </row>
    <row r="118" ht="15.75" customHeight="1" spans="1:31">
      <c r="A118" s="133">
        <v>125</v>
      </c>
      <c r="C118" s="140" t="s">
        <v>3413</v>
      </c>
      <c r="D118" s="140" t="s">
        <v>3522</v>
      </c>
      <c r="E118" s="141" t="b">
        <v>1</v>
      </c>
      <c r="F118" s="149" t="b">
        <v>1</v>
      </c>
      <c r="G118" s="149" t="b">
        <v>1</v>
      </c>
      <c r="H118" s="150" t="b">
        <v>1</v>
      </c>
      <c r="I118" s="144"/>
      <c r="J118" s="142"/>
      <c r="K118" s="142"/>
      <c r="L118" s="143"/>
      <c r="M118" s="144"/>
      <c r="N118" s="142"/>
      <c r="O118" s="142"/>
      <c r="P118" s="143"/>
      <c r="Q118" s="144"/>
      <c r="R118" s="142"/>
      <c r="S118" s="142"/>
      <c r="T118" s="143"/>
      <c r="U118" s="144"/>
      <c r="V118" s="142"/>
      <c r="X118" s="142"/>
      <c r="Y118" s="143"/>
      <c r="Z118" s="144"/>
      <c r="AA118" s="142"/>
      <c r="AC118" s="142"/>
      <c r="AD118" s="143"/>
    </row>
    <row r="119" ht="15.75" customHeight="1" spans="1:31">
      <c r="A119" s="125">
        <v>126</v>
      </c>
      <c r="C119" s="127" t="s">
        <v>3413</v>
      </c>
      <c r="D119" s="127" t="s">
        <v>3523</v>
      </c>
      <c r="E119" s="145" t="b">
        <v>0</v>
      </c>
      <c r="F119" s="146" t="b">
        <v>0</v>
      </c>
      <c r="G119" s="147" t="b">
        <v>1</v>
      </c>
      <c r="H119" s="151" t="b">
        <v>1</v>
      </c>
      <c r="I119" s="145"/>
      <c r="J119" s="146"/>
      <c r="K119" s="146"/>
      <c r="L119" s="148"/>
      <c r="M119" s="145"/>
      <c r="N119" s="146"/>
      <c r="O119" s="146"/>
      <c r="P119" s="148"/>
      <c r="Q119" s="145"/>
      <c r="R119" s="146"/>
      <c r="S119" s="146"/>
      <c r="T119" s="148"/>
      <c r="U119" s="145"/>
      <c r="V119" s="146"/>
      <c r="X119" s="146"/>
      <c r="Y119" s="148"/>
      <c r="Z119" s="145"/>
      <c r="AA119" s="146"/>
      <c r="AC119" s="146"/>
      <c r="AD119" s="148"/>
    </row>
    <row r="120" ht="15.75" customHeight="1" spans="1:31">
      <c r="A120" s="133">
        <v>127</v>
      </c>
      <c r="C120" s="140" t="s">
        <v>3413</v>
      </c>
      <c r="D120" s="140" t="s">
        <v>3524</v>
      </c>
      <c r="E120" s="141" t="b">
        <v>1</v>
      </c>
      <c r="F120" s="149" t="b">
        <v>1</v>
      </c>
      <c r="G120" s="149" t="b">
        <v>1</v>
      </c>
      <c r="H120" s="150" t="b">
        <v>1</v>
      </c>
      <c r="I120" s="144"/>
      <c r="J120" s="142"/>
      <c r="K120" s="142"/>
      <c r="L120" s="143"/>
      <c r="M120" s="144"/>
      <c r="N120" s="142"/>
      <c r="O120" s="142"/>
      <c r="P120" s="143"/>
      <c r="Q120" s="144"/>
      <c r="R120" s="142"/>
      <c r="S120" s="142"/>
      <c r="T120" s="143"/>
      <c r="U120" s="144"/>
      <c r="V120" s="142"/>
      <c r="X120" s="142"/>
      <c r="Y120" s="143"/>
      <c r="Z120" s="144"/>
      <c r="AA120" s="142"/>
      <c r="AC120" s="142"/>
      <c r="AD120" s="143"/>
    </row>
    <row r="121" ht="15.75" customHeight="1" spans="1:31">
      <c r="A121" s="125">
        <v>128</v>
      </c>
      <c r="B121" s="126"/>
      <c r="C121" s="126" t="s">
        <v>3</v>
      </c>
      <c r="D121" s="126" t="s">
        <v>3525</v>
      </c>
      <c r="E121" s="128" t="b">
        <v>1</v>
      </c>
      <c r="F121" s="129" t="b">
        <v>0</v>
      </c>
      <c r="G121" s="129" t="b">
        <v>1</v>
      </c>
      <c r="H121" s="130" t="b">
        <v>1</v>
      </c>
      <c r="I121" s="128"/>
      <c r="J121" s="129"/>
      <c r="K121" s="129"/>
      <c r="L121" s="130"/>
      <c r="M121" s="128"/>
      <c r="N121" s="129"/>
      <c r="O121" s="129"/>
      <c r="P121" s="130"/>
      <c r="Q121" s="128"/>
      <c r="R121" s="129"/>
      <c r="S121" s="129"/>
      <c r="T121" s="130"/>
      <c r="U121" s="128"/>
      <c r="V121" s="129"/>
      <c r="W121" s="131"/>
      <c r="X121" s="129"/>
      <c r="Y121" s="130"/>
      <c r="Z121" s="128"/>
      <c r="AA121" s="129"/>
      <c r="AB121" s="131"/>
      <c r="AC121" s="129"/>
      <c r="AD121" s="130"/>
      <c r="AE121" s="132">
        <f>COUNTIF(E121:AD121,"TRUE")</f>
        <v>3</v>
      </c>
    </row>
    <row r="122" ht="15.75" customHeight="1" spans="1:31">
      <c r="A122" s="133">
        <v>130</v>
      </c>
      <c r="C122" s="140" t="s">
        <v>3411</v>
      </c>
      <c r="D122" s="140" t="s">
        <v>3526</v>
      </c>
      <c r="E122" s="134" t="b">
        <v>0</v>
      </c>
      <c r="F122" s="134" t="b">
        <v>0</v>
      </c>
      <c r="G122" s="140" t="b">
        <v>1</v>
      </c>
      <c r="H122" s="134" t="b">
        <v>0</v>
      </c>
    </row>
    <row r="123" ht="15.75" customHeight="1" spans="1:31">
      <c r="A123" s="125">
        <v>131</v>
      </c>
      <c r="D123" s="127" t="s">
        <v>3527</v>
      </c>
      <c r="E123" s="126" t="b">
        <v>0</v>
      </c>
      <c r="F123" s="126" t="b">
        <v>0</v>
      </c>
      <c r="G123" s="126" t="b">
        <v>0</v>
      </c>
      <c r="H123" s="127" t="b">
        <v>1</v>
      </c>
    </row>
    <row r="124" ht="15.75" customHeight="1" spans="1:31">
      <c r="A124" s="133">
        <v>132</v>
      </c>
      <c r="B124" s="134"/>
      <c r="C124" s="134" t="s">
        <v>2</v>
      </c>
      <c r="D124" s="134" t="s">
        <v>137</v>
      </c>
      <c r="E124" s="138" t="b">
        <v>1</v>
      </c>
      <c r="F124" s="138" t="b">
        <v>1</v>
      </c>
      <c r="G124" s="138" t="b">
        <v>1</v>
      </c>
      <c r="H124" s="138" t="b">
        <v>1</v>
      </c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  <c r="AE124" s="139">
        <f t="shared" ref="AE124:AE139" si="6">COUNTIF(E124:AD124,"TRUE")</f>
        <v>4</v>
      </c>
    </row>
    <row r="125" ht="15.75" customHeight="1" spans="1:31">
      <c r="A125" s="125">
        <v>134</v>
      </c>
      <c r="B125" s="126"/>
      <c r="C125" s="126" t="s">
        <v>2</v>
      </c>
      <c r="D125" s="126" t="s">
        <v>3528</v>
      </c>
      <c r="E125" s="128" t="b">
        <v>1</v>
      </c>
      <c r="F125" s="129" t="b">
        <v>1</v>
      </c>
      <c r="G125" s="129" t="b">
        <v>1</v>
      </c>
      <c r="H125" s="130" t="b">
        <v>1</v>
      </c>
      <c r="I125" s="128"/>
      <c r="J125" s="129"/>
      <c r="K125" s="129"/>
      <c r="L125" s="130"/>
      <c r="M125" s="128"/>
      <c r="N125" s="129"/>
      <c r="O125" s="129"/>
      <c r="P125" s="130"/>
      <c r="Q125" s="128"/>
      <c r="R125" s="129"/>
      <c r="S125" s="129"/>
      <c r="T125" s="130"/>
      <c r="U125" s="128"/>
      <c r="V125" s="129"/>
      <c r="W125" s="131"/>
      <c r="X125" s="129"/>
      <c r="Y125" s="130"/>
      <c r="Z125" s="128"/>
      <c r="AA125" s="129"/>
      <c r="AB125" s="131"/>
      <c r="AC125" s="129"/>
      <c r="AD125" s="130"/>
      <c r="AE125" s="132">
        <f t="shared" si="6"/>
        <v>4</v>
      </c>
    </row>
    <row r="126" ht="15.75" customHeight="1" spans="1:31">
      <c r="A126" s="133">
        <v>135</v>
      </c>
      <c r="B126" s="134"/>
      <c r="C126" s="134" t="s">
        <v>3413</v>
      </c>
      <c r="D126" s="134" t="s">
        <v>3529</v>
      </c>
      <c r="E126" s="135" t="b">
        <v>1</v>
      </c>
      <c r="F126" s="136" t="b">
        <v>1</v>
      </c>
      <c r="G126" s="136" t="b">
        <v>1</v>
      </c>
      <c r="H126" s="137" t="b">
        <v>1</v>
      </c>
      <c r="I126" s="135"/>
      <c r="J126" s="136"/>
      <c r="K126" s="136"/>
      <c r="L126" s="137"/>
      <c r="M126" s="135"/>
      <c r="N126" s="136"/>
      <c r="O126" s="136"/>
      <c r="P126" s="137"/>
      <c r="Q126" s="135"/>
      <c r="R126" s="136"/>
      <c r="S126" s="136"/>
      <c r="T126" s="137"/>
      <c r="U126" s="135"/>
      <c r="V126" s="136"/>
      <c r="W126" s="138"/>
      <c r="X126" s="136"/>
      <c r="Y126" s="137"/>
      <c r="Z126" s="135"/>
      <c r="AA126" s="136"/>
      <c r="AB126" s="138"/>
      <c r="AC126" s="136"/>
      <c r="AD126" s="137"/>
      <c r="AE126" s="139">
        <f t="shared" si="6"/>
        <v>4</v>
      </c>
    </row>
    <row r="127" ht="15.75" customHeight="1" spans="1:31">
      <c r="A127" s="125">
        <v>136</v>
      </c>
      <c r="B127" s="126"/>
      <c r="C127" s="127" t="s">
        <v>3413</v>
      </c>
      <c r="D127" s="127" t="s">
        <v>3530</v>
      </c>
      <c r="E127" s="128" t="b">
        <v>1</v>
      </c>
      <c r="F127" s="129" t="b">
        <v>1</v>
      </c>
      <c r="G127" s="129" t="b">
        <v>1</v>
      </c>
      <c r="H127" s="130" t="b">
        <v>1</v>
      </c>
      <c r="I127" s="128"/>
      <c r="J127" s="129"/>
      <c r="K127" s="129"/>
      <c r="L127" s="130"/>
      <c r="M127" s="128"/>
      <c r="N127" s="129"/>
      <c r="O127" s="129"/>
      <c r="P127" s="130"/>
      <c r="Q127" s="128"/>
      <c r="R127" s="129"/>
      <c r="S127" s="129"/>
      <c r="T127" s="130"/>
      <c r="U127" s="128"/>
      <c r="V127" s="129"/>
      <c r="W127" s="131"/>
      <c r="X127" s="129"/>
      <c r="Y127" s="130"/>
      <c r="Z127" s="128"/>
      <c r="AA127" s="129"/>
      <c r="AB127" s="131"/>
      <c r="AC127" s="129"/>
      <c r="AD127" s="130"/>
      <c r="AE127" s="132">
        <f t="shared" si="6"/>
        <v>4</v>
      </c>
    </row>
    <row r="128" ht="15.75" customHeight="1" spans="1:31">
      <c r="A128" s="133">
        <v>138</v>
      </c>
      <c r="B128" s="134"/>
      <c r="C128" s="134" t="s">
        <v>2</v>
      </c>
      <c r="D128" s="134" t="s">
        <v>3531</v>
      </c>
      <c r="E128" s="135" t="b">
        <v>1</v>
      </c>
      <c r="F128" s="136" t="b">
        <v>1</v>
      </c>
      <c r="G128" s="136" t="b">
        <v>1</v>
      </c>
      <c r="H128" s="137" t="b">
        <v>1</v>
      </c>
      <c r="I128" s="135"/>
      <c r="J128" s="136"/>
      <c r="K128" s="136"/>
      <c r="L128" s="137"/>
      <c r="M128" s="135"/>
      <c r="N128" s="136"/>
      <c r="O128" s="136"/>
      <c r="P128" s="137"/>
      <c r="Q128" s="135"/>
      <c r="R128" s="136"/>
      <c r="S128" s="136"/>
      <c r="T128" s="137"/>
      <c r="U128" s="135"/>
      <c r="V128" s="136"/>
      <c r="W128" s="138"/>
      <c r="X128" s="136"/>
      <c r="Y128" s="137"/>
      <c r="Z128" s="135"/>
      <c r="AA128" s="136"/>
      <c r="AB128" s="138"/>
      <c r="AC128" s="136"/>
      <c r="AD128" s="137"/>
      <c r="AE128" s="139">
        <f t="shared" si="6"/>
        <v>4</v>
      </c>
    </row>
    <row r="129" ht="15.75" customHeight="1" spans="1:31">
      <c r="A129" s="125">
        <v>139</v>
      </c>
      <c r="B129" s="126"/>
      <c r="C129" s="126" t="s">
        <v>3411</v>
      </c>
      <c r="D129" s="126" t="s">
        <v>3532</v>
      </c>
      <c r="E129" s="128" t="b">
        <v>0</v>
      </c>
      <c r="F129" s="129" t="b">
        <v>0</v>
      </c>
      <c r="G129" s="129" t="b">
        <v>0</v>
      </c>
      <c r="H129" s="130" t="b">
        <v>0</v>
      </c>
      <c r="I129" s="128"/>
      <c r="J129" s="129"/>
      <c r="K129" s="129"/>
      <c r="L129" s="130"/>
      <c r="M129" s="128"/>
      <c r="N129" s="129"/>
      <c r="O129" s="129"/>
      <c r="P129" s="130"/>
      <c r="Q129" s="128"/>
      <c r="R129" s="129"/>
      <c r="S129" s="129"/>
      <c r="T129" s="130"/>
      <c r="U129" s="128"/>
      <c r="V129" s="129"/>
      <c r="W129" s="131"/>
      <c r="X129" s="129"/>
      <c r="Y129" s="130"/>
      <c r="Z129" s="128"/>
      <c r="AA129" s="129"/>
      <c r="AB129" s="131"/>
      <c r="AC129" s="129"/>
      <c r="AD129" s="130"/>
      <c r="AE129" s="132">
        <f t="shared" si="6"/>
        <v>0</v>
      </c>
    </row>
    <row r="130" ht="15.75" customHeight="1" spans="1:31">
      <c r="A130" s="133">
        <v>140</v>
      </c>
      <c r="B130" s="134"/>
      <c r="C130" s="134" t="s">
        <v>3411</v>
      </c>
      <c r="D130" s="134" t="s">
        <v>3533</v>
      </c>
      <c r="E130" s="135" t="b">
        <v>0</v>
      </c>
      <c r="F130" s="136" t="b">
        <v>0</v>
      </c>
      <c r="G130" s="136" t="b">
        <v>0</v>
      </c>
      <c r="H130" s="137" t="b">
        <v>0</v>
      </c>
      <c r="I130" s="135"/>
      <c r="J130" s="136"/>
      <c r="K130" s="136"/>
      <c r="L130" s="137"/>
      <c r="M130" s="135"/>
      <c r="N130" s="136"/>
      <c r="O130" s="136"/>
      <c r="P130" s="137"/>
      <c r="Q130" s="135"/>
      <c r="R130" s="136"/>
      <c r="S130" s="136"/>
      <c r="T130" s="137"/>
      <c r="U130" s="135"/>
      <c r="V130" s="136"/>
      <c r="W130" s="138"/>
      <c r="X130" s="136"/>
      <c r="Y130" s="137"/>
      <c r="Z130" s="135"/>
      <c r="AA130" s="136"/>
      <c r="AB130" s="138"/>
      <c r="AC130" s="136"/>
      <c r="AD130" s="137"/>
      <c r="AE130" s="139">
        <f t="shared" si="6"/>
        <v>0</v>
      </c>
    </row>
    <row r="131" ht="15.75" customHeight="1" spans="1:31">
      <c r="A131" s="125">
        <v>141</v>
      </c>
      <c r="B131" s="126"/>
      <c r="C131" s="126" t="s">
        <v>3411</v>
      </c>
      <c r="D131" s="126" t="s">
        <v>3534</v>
      </c>
      <c r="E131" s="128" t="b">
        <v>0</v>
      </c>
      <c r="F131" s="129" t="b">
        <v>0</v>
      </c>
      <c r="G131" s="129" t="b">
        <v>0</v>
      </c>
      <c r="H131" s="130" t="b">
        <v>0</v>
      </c>
      <c r="I131" s="128"/>
      <c r="J131" s="129"/>
      <c r="K131" s="129"/>
      <c r="L131" s="130"/>
      <c r="M131" s="128"/>
      <c r="N131" s="129"/>
      <c r="O131" s="129"/>
      <c r="P131" s="130"/>
      <c r="Q131" s="128"/>
      <c r="R131" s="129"/>
      <c r="S131" s="129"/>
      <c r="T131" s="130"/>
      <c r="U131" s="128"/>
      <c r="V131" s="129"/>
      <c r="W131" s="131"/>
      <c r="X131" s="129"/>
      <c r="Y131" s="130"/>
      <c r="Z131" s="128"/>
      <c r="AA131" s="129"/>
      <c r="AB131" s="131"/>
      <c r="AC131" s="129"/>
      <c r="AD131" s="130"/>
      <c r="AE131" s="132">
        <f t="shared" si="6"/>
        <v>0</v>
      </c>
    </row>
    <row r="132" ht="15.75" customHeight="1" spans="1:31">
      <c r="A132" s="133">
        <v>142</v>
      </c>
      <c r="B132" s="134"/>
      <c r="C132" s="134" t="s">
        <v>3411</v>
      </c>
      <c r="D132" s="134" t="s">
        <v>3535</v>
      </c>
      <c r="E132" s="135" t="b">
        <v>0</v>
      </c>
      <c r="F132" s="136" t="b">
        <v>0</v>
      </c>
      <c r="G132" s="136" t="b">
        <v>0</v>
      </c>
      <c r="H132" s="137" t="b">
        <v>0</v>
      </c>
      <c r="I132" s="135"/>
      <c r="J132" s="136"/>
      <c r="K132" s="136"/>
      <c r="L132" s="137"/>
      <c r="M132" s="135"/>
      <c r="N132" s="136"/>
      <c r="O132" s="136"/>
      <c r="P132" s="137"/>
      <c r="Q132" s="135"/>
      <c r="R132" s="136"/>
      <c r="S132" s="136"/>
      <c r="T132" s="137"/>
      <c r="U132" s="135"/>
      <c r="V132" s="136"/>
      <c r="W132" s="138"/>
      <c r="X132" s="136"/>
      <c r="Y132" s="137"/>
      <c r="Z132" s="135"/>
      <c r="AA132" s="136"/>
      <c r="AB132" s="138"/>
      <c r="AC132" s="136"/>
      <c r="AD132" s="137"/>
      <c r="AE132" s="139">
        <f t="shared" si="6"/>
        <v>0</v>
      </c>
    </row>
    <row r="133" ht="15.75" customHeight="1" spans="1:31">
      <c r="A133" s="125">
        <v>143</v>
      </c>
      <c r="B133" s="126"/>
      <c r="C133" s="126" t="s">
        <v>3411</v>
      </c>
      <c r="D133" s="126" t="s">
        <v>3536</v>
      </c>
      <c r="E133" s="128" t="b">
        <v>1</v>
      </c>
      <c r="F133" s="129" t="b">
        <v>0</v>
      </c>
      <c r="G133" s="129" t="b">
        <v>0</v>
      </c>
      <c r="H133" s="130" t="b">
        <v>1</v>
      </c>
      <c r="I133" s="128"/>
      <c r="J133" s="129"/>
      <c r="K133" s="129"/>
      <c r="L133" s="130"/>
      <c r="M133" s="128"/>
      <c r="N133" s="129"/>
      <c r="O133" s="129"/>
      <c r="P133" s="130"/>
      <c r="Q133" s="128"/>
      <c r="R133" s="129"/>
      <c r="S133" s="129"/>
      <c r="T133" s="130"/>
      <c r="U133" s="128"/>
      <c r="V133" s="129"/>
      <c r="W133" s="131"/>
      <c r="X133" s="129"/>
      <c r="Y133" s="130"/>
      <c r="Z133" s="128"/>
      <c r="AA133" s="129"/>
      <c r="AB133" s="131"/>
      <c r="AC133" s="129"/>
      <c r="AD133" s="130"/>
      <c r="AE133" s="132">
        <f t="shared" si="6"/>
        <v>2</v>
      </c>
    </row>
    <row r="134" ht="15.75" customHeight="1" spans="1:31">
      <c r="A134" s="133">
        <v>144</v>
      </c>
      <c r="B134" s="134"/>
      <c r="C134" s="134" t="s">
        <v>2</v>
      </c>
      <c r="D134" s="134" t="s">
        <v>1778</v>
      </c>
      <c r="E134" s="135" t="b">
        <v>0</v>
      </c>
      <c r="F134" s="136" t="b">
        <v>0</v>
      </c>
      <c r="G134" s="136" t="b">
        <v>0</v>
      </c>
      <c r="H134" s="137" t="b">
        <v>0</v>
      </c>
      <c r="I134" s="135"/>
      <c r="J134" s="136"/>
      <c r="K134" s="136"/>
      <c r="L134" s="137"/>
      <c r="M134" s="135"/>
      <c r="N134" s="136"/>
      <c r="O134" s="136"/>
      <c r="P134" s="137"/>
      <c r="Q134" s="135"/>
      <c r="R134" s="136"/>
      <c r="S134" s="136"/>
      <c r="T134" s="137"/>
      <c r="U134" s="135"/>
      <c r="V134" s="136"/>
      <c r="W134" s="138"/>
      <c r="X134" s="136"/>
      <c r="Y134" s="137"/>
      <c r="Z134" s="135"/>
      <c r="AA134" s="136"/>
      <c r="AB134" s="138"/>
      <c r="AC134" s="136"/>
      <c r="AD134" s="137"/>
      <c r="AE134" s="139">
        <f t="shared" si="6"/>
        <v>0</v>
      </c>
    </row>
    <row r="135" ht="15.75" customHeight="1" spans="1:31">
      <c r="A135" s="125">
        <v>145</v>
      </c>
      <c r="B135" s="126"/>
      <c r="C135" s="126" t="s">
        <v>3</v>
      </c>
      <c r="D135" s="126" t="s">
        <v>527</v>
      </c>
      <c r="E135" s="128" t="b">
        <v>1</v>
      </c>
      <c r="F135" s="129" t="b">
        <v>1</v>
      </c>
      <c r="G135" s="129" t="b">
        <v>1</v>
      </c>
      <c r="H135" s="130" t="b">
        <v>1</v>
      </c>
      <c r="I135" s="128"/>
      <c r="J135" s="129"/>
      <c r="K135" s="129"/>
      <c r="L135" s="130"/>
      <c r="M135" s="128"/>
      <c r="N135" s="129"/>
      <c r="O135" s="129"/>
      <c r="P135" s="130"/>
      <c r="Q135" s="128"/>
      <c r="R135" s="129"/>
      <c r="S135" s="129"/>
      <c r="T135" s="130"/>
      <c r="U135" s="128"/>
      <c r="V135" s="129"/>
      <c r="W135" s="131"/>
      <c r="X135" s="129"/>
      <c r="Y135" s="130"/>
      <c r="Z135" s="128"/>
      <c r="AA135" s="129"/>
      <c r="AB135" s="131"/>
      <c r="AC135" s="129"/>
      <c r="AD135" s="130"/>
      <c r="AE135" s="132">
        <f t="shared" si="6"/>
        <v>4</v>
      </c>
    </row>
    <row r="136" ht="15.75" customHeight="1" spans="1:31">
      <c r="A136" s="133">
        <v>146</v>
      </c>
      <c r="B136" s="134"/>
      <c r="C136" s="134" t="s">
        <v>2</v>
      </c>
      <c r="D136" s="134" t="s">
        <v>3537</v>
      </c>
      <c r="E136" s="135" t="b">
        <v>1</v>
      </c>
      <c r="F136" s="136" t="b">
        <v>0</v>
      </c>
      <c r="G136" s="136" t="b">
        <v>1</v>
      </c>
      <c r="H136" s="137" t="b">
        <v>0</v>
      </c>
      <c r="I136" s="135"/>
      <c r="J136" s="136"/>
      <c r="K136" s="136"/>
      <c r="L136" s="137"/>
      <c r="M136" s="135"/>
      <c r="N136" s="136"/>
      <c r="O136" s="136"/>
      <c r="P136" s="137"/>
      <c r="Q136" s="135"/>
      <c r="R136" s="136"/>
      <c r="S136" s="136"/>
      <c r="T136" s="137"/>
      <c r="U136" s="135"/>
      <c r="V136" s="136"/>
      <c r="W136" s="138"/>
      <c r="X136" s="136"/>
      <c r="Y136" s="137"/>
      <c r="Z136" s="135"/>
      <c r="AA136" s="136"/>
      <c r="AB136" s="138"/>
      <c r="AC136" s="136"/>
      <c r="AD136" s="137"/>
      <c r="AE136" s="139">
        <f t="shared" si="6"/>
        <v>2</v>
      </c>
    </row>
    <row r="137" ht="15.75" customHeight="1" spans="1:31">
      <c r="A137" s="125">
        <v>619</v>
      </c>
      <c r="B137" s="126"/>
      <c r="C137" s="126" t="s">
        <v>2</v>
      </c>
      <c r="D137" s="126" t="s">
        <v>3538</v>
      </c>
      <c r="E137" s="128" t="b">
        <v>0</v>
      </c>
      <c r="F137" s="129" t="b">
        <v>0</v>
      </c>
      <c r="G137" s="129" t="b">
        <v>0</v>
      </c>
      <c r="H137" s="130" t="b">
        <v>0</v>
      </c>
      <c r="I137" s="128"/>
      <c r="J137" s="129"/>
      <c r="K137" s="129"/>
      <c r="L137" s="130"/>
      <c r="M137" s="128"/>
      <c r="N137" s="129"/>
      <c r="O137" s="129"/>
      <c r="P137" s="130"/>
      <c r="Q137" s="128"/>
      <c r="R137" s="129"/>
      <c r="S137" s="129"/>
      <c r="T137" s="130"/>
      <c r="U137" s="128"/>
      <c r="V137" s="129"/>
      <c r="W137" s="131"/>
      <c r="X137" s="129"/>
      <c r="Y137" s="130"/>
      <c r="Z137" s="128"/>
      <c r="AA137" s="129"/>
      <c r="AB137" s="131"/>
      <c r="AC137" s="129"/>
      <c r="AD137" s="130"/>
      <c r="AE137" s="132">
        <f t="shared" si="6"/>
        <v>0</v>
      </c>
    </row>
    <row r="138" ht="15.75" customHeight="1" spans="1:31">
      <c r="A138" s="133">
        <v>148</v>
      </c>
      <c r="B138" s="134"/>
      <c r="C138" s="134" t="s">
        <v>3411</v>
      </c>
      <c r="D138" s="134" t="s">
        <v>3539</v>
      </c>
      <c r="E138" s="135" t="b">
        <v>0</v>
      </c>
      <c r="F138" s="136" t="b">
        <v>0</v>
      </c>
      <c r="G138" s="136" t="b">
        <v>0</v>
      </c>
      <c r="H138" s="137" t="b">
        <v>0</v>
      </c>
      <c r="I138" s="135"/>
      <c r="J138" s="136"/>
      <c r="K138" s="136"/>
      <c r="L138" s="137"/>
      <c r="M138" s="135"/>
      <c r="N138" s="136"/>
      <c r="O138" s="136"/>
      <c r="P138" s="137"/>
      <c r="Q138" s="135"/>
      <c r="R138" s="136"/>
      <c r="S138" s="136"/>
      <c r="T138" s="137"/>
      <c r="U138" s="135"/>
      <c r="V138" s="136"/>
      <c r="W138" s="138"/>
      <c r="X138" s="136"/>
      <c r="Y138" s="137"/>
      <c r="Z138" s="135"/>
      <c r="AA138" s="136"/>
      <c r="AB138" s="138"/>
      <c r="AC138" s="136"/>
      <c r="AD138" s="137"/>
      <c r="AE138" s="139">
        <f t="shared" si="6"/>
        <v>0</v>
      </c>
    </row>
    <row r="139" ht="15.75" customHeight="1" spans="1:31">
      <c r="A139" s="125">
        <v>149</v>
      </c>
      <c r="B139" s="126"/>
      <c r="C139" s="126" t="s">
        <v>2</v>
      </c>
      <c r="D139" s="126" t="s">
        <v>3540</v>
      </c>
      <c r="E139" s="128" t="b">
        <v>0</v>
      </c>
      <c r="F139" s="129" t="b">
        <v>1</v>
      </c>
      <c r="G139" s="129" t="b">
        <v>0</v>
      </c>
      <c r="H139" s="130" t="b">
        <v>0</v>
      </c>
      <c r="I139" s="128"/>
      <c r="J139" s="129"/>
      <c r="K139" s="129"/>
      <c r="L139" s="130"/>
      <c r="M139" s="128"/>
      <c r="N139" s="129"/>
      <c r="O139" s="129"/>
      <c r="P139" s="130"/>
      <c r="Q139" s="128"/>
      <c r="R139" s="129"/>
      <c r="S139" s="129"/>
      <c r="T139" s="130"/>
      <c r="U139" s="128"/>
      <c r="V139" s="129"/>
      <c r="W139" s="131"/>
      <c r="X139" s="129"/>
      <c r="Y139" s="130"/>
      <c r="Z139" s="128"/>
      <c r="AA139" s="129"/>
      <c r="AB139" s="131"/>
      <c r="AC139" s="129"/>
      <c r="AD139" s="130"/>
      <c r="AE139" s="132">
        <f t="shared" si="6"/>
        <v>1</v>
      </c>
    </row>
    <row r="140" ht="15.75" customHeight="1" spans="1:31">
      <c r="A140" s="133">
        <v>150</v>
      </c>
      <c r="D140" s="140" t="s">
        <v>3541</v>
      </c>
      <c r="E140" s="144" t="b">
        <v>0</v>
      </c>
      <c r="F140" s="142" t="b">
        <v>0</v>
      </c>
      <c r="G140" s="149" t="b">
        <v>1</v>
      </c>
      <c r="H140" s="143" t="b">
        <v>0</v>
      </c>
      <c r="I140" s="144"/>
      <c r="J140" s="142"/>
      <c r="K140" s="142"/>
      <c r="L140" s="143"/>
      <c r="M140" s="144"/>
      <c r="N140" s="142"/>
      <c r="O140" s="142"/>
      <c r="P140" s="143"/>
      <c r="Q140" s="144"/>
      <c r="R140" s="142"/>
      <c r="S140" s="142"/>
      <c r="T140" s="143"/>
      <c r="U140" s="144"/>
      <c r="V140" s="142"/>
      <c r="X140" s="142"/>
      <c r="Y140" s="143"/>
      <c r="Z140" s="144"/>
      <c r="AA140" s="142"/>
      <c r="AC140" s="142"/>
      <c r="AD140" s="143"/>
    </row>
    <row r="141" ht="15.75" customHeight="1" spans="1:31">
      <c r="A141" s="125">
        <v>152</v>
      </c>
      <c r="D141" s="127" t="s">
        <v>3542</v>
      </c>
      <c r="E141" s="145" t="b">
        <v>0</v>
      </c>
      <c r="F141" s="146" t="b">
        <v>0</v>
      </c>
      <c r="G141" s="147" t="b">
        <v>1</v>
      </c>
      <c r="H141" s="148" t="b">
        <v>0</v>
      </c>
      <c r="I141" s="145"/>
      <c r="J141" s="146"/>
      <c r="K141" s="146"/>
      <c r="L141" s="148"/>
      <c r="M141" s="145"/>
      <c r="N141" s="146"/>
      <c r="O141" s="146"/>
      <c r="P141" s="148"/>
      <c r="Q141" s="145"/>
      <c r="R141" s="146"/>
      <c r="S141" s="146"/>
      <c r="T141" s="148"/>
      <c r="U141" s="145"/>
      <c r="V141" s="146"/>
      <c r="X141" s="146"/>
      <c r="Y141" s="148"/>
      <c r="Z141" s="145"/>
      <c r="AA141" s="146"/>
      <c r="AC141" s="146"/>
      <c r="AD141" s="148"/>
    </row>
    <row r="142" ht="15.75" customHeight="1" spans="1:31">
      <c r="A142" s="133">
        <v>153</v>
      </c>
      <c r="B142" s="134"/>
      <c r="C142" s="134" t="s">
        <v>3411</v>
      </c>
      <c r="D142" s="134" t="s">
        <v>3543</v>
      </c>
      <c r="E142" s="135" t="b">
        <v>1</v>
      </c>
      <c r="F142" s="136" t="b">
        <v>0</v>
      </c>
      <c r="G142" s="136" t="b">
        <v>1</v>
      </c>
      <c r="H142" s="137" t="b">
        <v>0</v>
      </c>
      <c r="I142" s="135"/>
      <c r="J142" s="136"/>
      <c r="K142" s="136"/>
      <c r="L142" s="137"/>
      <c r="M142" s="135"/>
      <c r="N142" s="136"/>
      <c r="O142" s="136"/>
      <c r="P142" s="137"/>
      <c r="Q142" s="135"/>
      <c r="R142" s="136"/>
      <c r="S142" s="136"/>
      <c r="T142" s="137"/>
      <c r="U142" s="135"/>
      <c r="V142" s="136"/>
      <c r="W142" s="138"/>
      <c r="X142" s="136"/>
      <c r="Y142" s="137"/>
      <c r="Z142" s="135"/>
      <c r="AA142" s="136"/>
      <c r="AB142" s="138"/>
      <c r="AC142" s="136"/>
      <c r="AD142" s="137"/>
      <c r="AE142" s="139">
        <f t="shared" ref="AE142:AE147" si="7">COUNTIF(E142:AD142,"TRUE")</f>
        <v>2</v>
      </c>
    </row>
    <row r="143" ht="15.75" customHeight="1" spans="1:31">
      <c r="A143" s="125">
        <v>154</v>
      </c>
      <c r="B143" s="126"/>
      <c r="C143" s="126" t="s">
        <v>2</v>
      </c>
      <c r="D143" s="126" t="s">
        <v>3544</v>
      </c>
      <c r="E143" s="128" t="b">
        <v>0</v>
      </c>
      <c r="F143" s="129" t="b">
        <v>0</v>
      </c>
      <c r="G143" s="129" t="b">
        <v>0</v>
      </c>
      <c r="H143" s="130" t="b">
        <v>0</v>
      </c>
      <c r="I143" s="128"/>
      <c r="J143" s="129"/>
      <c r="K143" s="129"/>
      <c r="L143" s="130"/>
      <c r="M143" s="128"/>
      <c r="N143" s="129"/>
      <c r="O143" s="129"/>
      <c r="P143" s="130"/>
      <c r="Q143" s="128"/>
      <c r="R143" s="129"/>
      <c r="S143" s="129"/>
      <c r="T143" s="130"/>
      <c r="U143" s="128"/>
      <c r="V143" s="129"/>
      <c r="W143" s="131"/>
      <c r="X143" s="129"/>
      <c r="Y143" s="130"/>
      <c r="Z143" s="128"/>
      <c r="AA143" s="129"/>
      <c r="AB143" s="131"/>
      <c r="AC143" s="129"/>
      <c r="AD143" s="130"/>
      <c r="AE143" s="132">
        <f t="shared" si="7"/>
        <v>0</v>
      </c>
    </row>
    <row r="144" ht="15.75" customHeight="1" spans="1:31">
      <c r="A144" s="133">
        <v>155</v>
      </c>
      <c r="B144" s="134"/>
      <c r="C144" s="134"/>
      <c r="D144" s="134" t="s">
        <v>3545</v>
      </c>
      <c r="E144" s="135" t="b">
        <v>0</v>
      </c>
      <c r="F144" s="136" t="b">
        <v>1</v>
      </c>
      <c r="G144" s="136" t="b">
        <v>0</v>
      </c>
      <c r="H144" s="137" t="b">
        <v>0</v>
      </c>
      <c r="I144" s="135"/>
      <c r="J144" s="136"/>
      <c r="K144" s="136"/>
      <c r="L144" s="137"/>
      <c r="M144" s="135"/>
      <c r="N144" s="136"/>
      <c r="O144" s="136"/>
      <c r="P144" s="137"/>
      <c r="Q144" s="135"/>
      <c r="R144" s="136"/>
      <c r="S144" s="136"/>
      <c r="T144" s="137"/>
      <c r="U144" s="135"/>
      <c r="V144" s="136"/>
      <c r="W144" s="138"/>
      <c r="X144" s="136"/>
      <c r="Y144" s="137"/>
      <c r="Z144" s="135"/>
      <c r="AA144" s="136"/>
      <c r="AB144" s="138"/>
      <c r="AC144" s="136"/>
      <c r="AD144" s="137"/>
      <c r="AE144" s="139">
        <f t="shared" si="7"/>
        <v>1</v>
      </c>
    </row>
    <row r="145" ht="15.75" customHeight="1" spans="1:31">
      <c r="A145" s="125">
        <v>158</v>
      </c>
      <c r="B145" s="126"/>
      <c r="C145" s="126" t="s">
        <v>3</v>
      </c>
      <c r="D145" s="126" t="s">
        <v>3546</v>
      </c>
      <c r="E145" s="128" t="b">
        <v>1</v>
      </c>
      <c r="F145" s="129" t="b">
        <v>1</v>
      </c>
      <c r="G145" s="129" t="b">
        <v>1</v>
      </c>
      <c r="H145" s="130" t="b">
        <v>0</v>
      </c>
      <c r="I145" s="128"/>
      <c r="J145" s="129"/>
      <c r="K145" s="129"/>
      <c r="L145" s="130"/>
      <c r="M145" s="128"/>
      <c r="N145" s="129"/>
      <c r="O145" s="129"/>
      <c r="P145" s="130"/>
      <c r="Q145" s="128"/>
      <c r="R145" s="129"/>
      <c r="S145" s="129"/>
      <c r="T145" s="130"/>
      <c r="U145" s="128"/>
      <c r="V145" s="129"/>
      <c r="W145" s="131"/>
      <c r="X145" s="129"/>
      <c r="Y145" s="130"/>
      <c r="Z145" s="128"/>
      <c r="AA145" s="129"/>
      <c r="AB145" s="131"/>
      <c r="AC145" s="129"/>
      <c r="AD145" s="130"/>
      <c r="AE145" s="132">
        <f t="shared" si="7"/>
        <v>3</v>
      </c>
    </row>
    <row r="146" ht="15.75" customHeight="1" spans="1:31">
      <c r="A146" s="133">
        <v>159</v>
      </c>
      <c r="B146" s="134"/>
      <c r="C146" s="134" t="s">
        <v>3413</v>
      </c>
      <c r="D146" s="140" t="s">
        <v>3547</v>
      </c>
      <c r="E146" s="135" t="b">
        <v>1</v>
      </c>
      <c r="F146" s="136" t="b">
        <v>1</v>
      </c>
      <c r="G146" s="136" t="b">
        <v>1</v>
      </c>
      <c r="H146" s="137" t="b">
        <v>0</v>
      </c>
      <c r="I146" s="135"/>
      <c r="J146" s="136"/>
      <c r="K146" s="136"/>
      <c r="L146" s="137"/>
      <c r="M146" s="135"/>
      <c r="N146" s="136"/>
      <c r="O146" s="136"/>
      <c r="P146" s="137"/>
      <c r="Q146" s="135"/>
      <c r="R146" s="136"/>
      <c r="S146" s="136"/>
      <c r="T146" s="137"/>
      <c r="U146" s="135"/>
      <c r="V146" s="136"/>
      <c r="W146" s="138"/>
      <c r="X146" s="136"/>
      <c r="Y146" s="137"/>
      <c r="Z146" s="135"/>
      <c r="AA146" s="136"/>
      <c r="AB146" s="138"/>
      <c r="AC146" s="136"/>
      <c r="AD146" s="137"/>
      <c r="AE146" s="139">
        <f t="shared" si="7"/>
        <v>3</v>
      </c>
    </row>
    <row r="147" ht="15.75" customHeight="1" spans="1:31">
      <c r="A147" s="125">
        <v>160</v>
      </c>
      <c r="B147" s="126"/>
      <c r="D147" s="126" t="s">
        <v>3548</v>
      </c>
      <c r="E147" s="128" t="b">
        <v>1</v>
      </c>
      <c r="F147" s="129" t="b">
        <v>0</v>
      </c>
      <c r="G147" s="129" t="b">
        <v>0</v>
      </c>
      <c r="H147" s="130" t="b">
        <v>0</v>
      </c>
      <c r="I147" s="128"/>
      <c r="J147" s="129"/>
      <c r="K147" s="129"/>
      <c r="L147" s="130"/>
      <c r="M147" s="128"/>
      <c r="N147" s="129"/>
      <c r="O147" s="129"/>
      <c r="P147" s="130"/>
      <c r="Q147" s="128"/>
      <c r="R147" s="129"/>
      <c r="S147" s="129"/>
      <c r="T147" s="130"/>
      <c r="U147" s="128"/>
      <c r="V147" s="129"/>
      <c r="W147" s="131"/>
      <c r="X147" s="129"/>
      <c r="Y147" s="130"/>
      <c r="Z147" s="128"/>
      <c r="AA147" s="129"/>
      <c r="AB147" s="131"/>
      <c r="AC147" s="129"/>
      <c r="AD147" s="130"/>
      <c r="AE147" s="132">
        <f t="shared" si="7"/>
        <v>1</v>
      </c>
    </row>
    <row r="148" ht="15.75" customHeight="1" spans="1:31">
      <c r="A148" s="133">
        <v>161</v>
      </c>
      <c r="D148" s="140" t="s">
        <v>984</v>
      </c>
      <c r="E148" s="134" t="b">
        <v>0</v>
      </c>
      <c r="F148" s="134" t="b">
        <v>0</v>
      </c>
      <c r="G148" s="134" t="b">
        <v>0</v>
      </c>
      <c r="H148" s="134" t="b">
        <v>0</v>
      </c>
    </row>
    <row r="149" ht="15.75" customHeight="1" spans="1:31">
      <c r="A149" s="125">
        <v>162</v>
      </c>
      <c r="B149" s="126"/>
      <c r="C149" s="126" t="s">
        <v>3411</v>
      </c>
      <c r="D149" s="126" t="s">
        <v>3549</v>
      </c>
      <c r="E149" s="128" t="b">
        <v>0</v>
      </c>
      <c r="F149" s="129" t="b">
        <v>0</v>
      </c>
      <c r="G149" s="129" t="b">
        <v>0</v>
      </c>
      <c r="H149" s="130" t="b">
        <v>0</v>
      </c>
      <c r="I149" s="128"/>
      <c r="J149" s="129"/>
      <c r="K149" s="129"/>
      <c r="L149" s="130"/>
      <c r="M149" s="128"/>
      <c r="N149" s="129"/>
      <c r="O149" s="129"/>
      <c r="P149" s="130"/>
      <c r="Q149" s="128"/>
      <c r="R149" s="129"/>
      <c r="S149" s="129"/>
      <c r="T149" s="130"/>
      <c r="U149" s="128"/>
      <c r="V149" s="129"/>
      <c r="W149" s="131"/>
      <c r="X149" s="129"/>
      <c r="Y149" s="130"/>
      <c r="Z149" s="128"/>
      <c r="AA149" s="129"/>
      <c r="AB149" s="131"/>
      <c r="AC149" s="129"/>
      <c r="AD149" s="130"/>
      <c r="AE149" s="132">
        <f t="shared" ref="AE149:AE165" si="8">COUNTIF(E149:AD149,"TRUE")</f>
        <v>0</v>
      </c>
    </row>
    <row r="150" ht="15.75" customHeight="1" spans="1:31">
      <c r="A150" s="133">
        <v>163</v>
      </c>
      <c r="B150" s="134"/>
      <c r="C150" s="134"/>
      <c r="D150" s="134" t="s">
        <v>2415</v>
      </c>
      <c r="E150" s="138" t="b">
        <v>0</v>
      </c>
      <c r="F150" s="138" t="b">
        <v>1</v>
      </c>
      <c r="G150" s="138" t="b">
        <v>0</v>
      </c>
      <c r="H150" s="138" t="b">
        <v>0</v>
      </c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9">
        <f t="shared" si="8"/>
        <v>1</v>
      </c>
    </row>
    <row r="151" ht="15.75" customHeight="1" spans="1:31">
      <c r="A151" s="125">
        <v>165</v>
      </c>
      <c r="B151" s="126"/>
      <c r="C151" s="126" t="s">
        <v>2</v>
      </c>
      <c r="D151" s="126" t="s">
        <v>3550</v>
      </c>
      <c r="E151" s="131" t="b">
        <v>1</v>
      </c>
      <c r="F151" s="131" t="b">
        <v>0</v>
      </c>
      <c r="G151" s="131" t="b">
        <v>1</v>
      </c>
      <c r="H151" s="131" t="b">
        <v>1</v>
      </c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  <c r="AC151" s="131"/>
      <c r="AD151" s="131"/>
      <c r="AE151" s="132">
        <f t="shared" si="8"/>
        <v>3</v>
      </c>
    </row>
    <row r="152" ht="15.75" customHeight="1" spans="1:31">
      <c r="A152" s="133">
        <v>166</v>
      </c>
      <c r="B152" s="134"/>
      <c r="C152" s="134"/>
      <c r="D152" s="134" t="s">
        <v>562</v>
      </c>
      <c r="E152" s="135" t="b">
        <v>1</v>
      </c>
      <c r="F152" s="136" t="b">
        <v>1</v>
      </c>
      <c r="G152" s="136" t="b">
        <v>1</v>
      </c>
      <c r="H152" s="137" t="b">
        <v>0</v>
      </c>
      <c r="I152" s="135"/>
      <c r="J152" s="136"/>
      <c r="K152" s="136"/>
      <c r="L152" s="137"/>
      <c r="M152" s="135"/>
      <c r="N152" s="136"/>
      <c r="O152" s="136"/>
      <c r="P152" s="137"/>
      <c r="Q152" s="135"/>
      <c r="R152" s="136"/>
      <c r="S152" s="136"/>
      <c r="T152" s="137"/>
      <c r="U152" s="135"/>
      <c r="V152" s="136"/>
      <c r="W152" s="138"/>
      <c r="X152" s="136"/>
      <c r="Y152" s="137"/>
      <c r="Z152" s="135"/>
      <c r="AA152" s="136"/>
      <c r="AB152" s="138"/>
      <c r="AC152" s="136"/>
      <c r="AD152" s="137"/>
      <c r="AE152" s="139">
        <f t="shared" si="8"/>
        <v>3</v>
      </c>
    </row>
    <row r="153" ht="15.75" customHeight="1" spans="1:31">
      <c r="A153" s="125">
        <v>167</v>
      </c>
      <c r="B153" s="127" t="s">
        <v>3434</v>
      </c>
      <c r="D153" s="152" t="s">
        <v>3551</v>
      </c>
      <c r="E153" s="131" t="b">
        <v>0</v>
      </c>
      <c r="F153" s="131" t="b">
        <v>1</v>
      </c>
      <c r="G153" s="131" t="b">
        <v>1</v>
      </c>
      <c r="H153" s="131" t="b">
        <v>1</v>
      </c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  <c r="AC153" s="131"/>
      <c r="AD153" s="131"/>
      <c r="AE153" s="132">
        <f t="shared" si="8"/>
        <v>3</v>
      </c>
    </row>
    <row r="154" ht="15.75" customHeight="1" spans="1:31">
      <c r="A154" s="133">
        <v>169</v>
      </c>
      <c r="B154" s="134"/>
      <c r="C154" s="134" t="s">
        <v>3</v>
      </c>
      <c r="D154" s="134" t="s">
        <v>3552</v>
      </c>
      <c r="E154" s="138" t="b">
        <v>1</v>
      </c>
      <c r="F154" s="138" t="b">
        <v>0</v>
      </c>
      <c r="G154" s="138" t="b">
        <v>1</v>
      </c>
      <c r="H154" s="138" t="b">
        <v>0</v>
      </c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9">
        <f t="shared" si="8"/>
        <v>2</v>
      </c>
    </row>
    <row r="155" ht="15.75" customHeight="1" spans="1:31">
      <c r="A155" s="125">
        <v>172</v>
      </c>
      <c r="B155" s="126"/>
      <c r="C155" s="126" t="s">
        <v>2</v>
      </c>
      <c r="D155" s="126" t="s">
        <v>3553</v>
      </c>
      <c r="E155" s="128" t="b">
        <v>1</v>
      </c>
      <c r="F155" s="129" t="b">
        <v>0</v>
      </c>
      <c r="G155" s="129" t="b">
        <v>0</v>
      </c>
      <c r="H155" s="130" t="b">
        <v>0</v>
      </c>
      <c r="I155" s="128"/>
      <c r="J155" s="129"/>
      <c r="K155" s="129"/>
      <c r="L155" s="130"/>
      <c r="M155" s="128"/>
      <c r="N155" s="129"/>
      <c r="O155" s="129"/>
      <c r="P155" s="130"/>
      <c r="Q155" s="128"/>
      <c r="R155" s="129"/>
      <c r="S155" s="129"/>
      <c r="T155" s="130"/>
      <c r="U155" s="128"/>
      <c r="V155" s="129"/>
      <c r="W155" s="131"/>
      <c r="X155" s="129"/>
      <c r="Y155" s="130"/>
      <c r="Z155" s="128"/>
      <c r="AA155" s="129"/>
      <c r="AB155" s="131"/>
      <c r="AC155" s="129"/>
      <c r="AD155" s="130"/>
      <c r="AE155" s="132">
        <f t="shared" si="8"/>
        <v>1</v>
      </c>
    </row>
    <row r="156" ht="15.75" customHeight="1" spans="1:31">
      <c r="A156" s="133">
        <v>173</v>
      </c>
      <c r="B156" s="134"/>
      <c r="C156" s="134" t="s">
        <v>2</v>
      </c>
      <c r="D156" s="134" t="s">
        <v>3554</v>
      </c>
      <c r="E156" s="135" t="b">
        <v>0</v>
      </c>
      <c r="F156" s="136" t="b">
        <v>0</v>
      </c>
      <c r="G156" s="136" t="b">
        <v>0</v>
      </c>
      <c r="H156" s="137" t="b">
        <v>0</v>
      </c>
      <c r="I156" s="135"/>
      <c r="J156" s="136"/>
      <c r="K156" s="136"/>
      <c r="L156" s="137"/>
      <c r="M156" s="135"/>
      <c r="N156" s="136"/>
      <c r="O156" s="136"/>
      <c r="P156" s="137"/>
      <c r="Q156" s="135"/>
      <c r="R156" s="136"/>
      <c r="S156" s="136"/>
      <c r="T156" s="137"/>
      <c r="U156" s="135"/>
      <c r="V156" s="136"/>
      <c r="W156" s="138"/>
      <c r="X156" s="136"/>
      <c r="Y156" s="137"/>
      <c r="Z156" s="135"/>
      <c r="AA156" s="136"/>
      <c r="AB156" s="138"/>
      <c r="AC156" s="136"/>
      <c r="AD156" s="137"/>
      <c r="AE156" s="139">
        <f t="shared" si="8"/>
        <v>0</v>
      </c>
    </row>
    <row r="157" ht="15.75" customHeight="1" spans="1:31">
      <c r="A157" s="125">
        <v>174</v>
      </c>
      <c r="B157" s="126"/>
      <c r="C157" s="126"/>
      <c r="D157" s="127" t="s">
        <v>3555</v>
      </c>
      <c r="E157" s="128" t="b">
        <v>0</v>
      </c>
      <c r="F157" s="129" t="b">
        <v>0</v>
      </c>
      <c r="G157" s="129" t="b">
        <v>1</v>
      </c>
      <c r="H157" s="130" t="b">
        <v>0</v>
      </c>
      <c r="I157" s="128"/>
      <c r="J157" s="129"/>
      <c r="K157" s="129"/>
      <c r="L157" s="130"/>
      <c r="M157" s="128"/>
      <c r="N157" s="129"/>
      <c r="O157" s="129"/>
      <c r="P157" s="130"/>
      <c r="Q157" s="128"/>
      <c r="R157" s="129"/>
      <c r="S157" s="129"/>
      <c r="T157" s="130"/>
      <c r="U157" s="128"/>
      <c r="V157" s="129"/>
      <c r="W157" s="131"/>
      <c r="X157" s="129"/>
      <c r="Y157" s="130"/>
      <c r="Z157" s="128"/>
      <c r="AA157" s="129"/>
      <c r="AB157" s="131"/>
      <c r="AC157" s="129"/>
      <c r="AD157" s="130"/>
      <c r="AE157" s="132">
        <f t="shared" si="8"/>
        <v>1</v>
      </c>
    </row>
    <row r="158" ht="15.75" customHeight="1" spans="1:31">
      <c r="A158" s="133">
        <v>175</v>
      </c>
      <c r="B158" s="134"/>
      <c r="C158" s="134" t="s">
        <v>3</v>
      </c>
      <c r="D158" s="134" t="s">
        <v>3556</v>
      </c>
      <c r="E158" s="138" t="b">
        <v>0</v>
      </c>
      <c r="F158" s="138" t="b">
        <v>0</v>
      </c>
      <c r="G158" s="138" t="b">
        <v>0</v>
      </c>
      <c r="H158" s="138" t="b">
        <v>0</v>
      </c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9">
        <f t="shared" si="8"/>
        <v>0</v>
      </c>
    </row>
    <row r="159" ht="15.75" customHeight="1" spans="1:31">
      <c r="A159" s="125">
        <v>179</v>
      </c>
      <c r="B159" s="126"/>
      <c r="C159" s="126" t="s">
        <v>2</v>
      </c>
      <c r="D159" s="126" t="s">
        <v>3557</v>
      </c>
      <c r="E159" s="128" t="b">
        <v>0</v>
      </c>
      <c r="F159" s="129" t="b">
        <v>0</v>
      </c>
      <c r="G159" s="129" t="b">
        <v>1</v>
      </c>
      <c r="H159" s="130" t="b">
        <v>0</v>
      </c>
      <c r="I159" s="128"/>
      <c r="J159" s="129"/>
      <c r="K159" s="129"/>
      <c r="L159" s="130"/>
      <c r="M159" s="128"/>
      <c r="N159" s="129"/>
      <c r="O159" s="129"/>
      <c r="P159" s="130"/>
      <c r="Q159" s="128"/>
      <c r="R159" s="129"/>
      <c r="S159" s="129"/>
      <c r="T159" s="130"/>
      <c r="U159" s="128"/>
      <c r="V159" s="129"/>
      <c r="W159" s="131"/>
      <c r="X159" s="129"/>
      <c r="Y159" s="130"/>
      <c r="Z159" s="128"/>
      <c r="AA159" s="129"/>
      <c r="AB159" s="131"/>
      <c r="AC159" s="129"/>
      <c r="AD159" s="130"/>
      <c r="AE159" s="132">
        <f t="shared" si="8"/>
        <v>1</v>
      </c>
    </row>
    <row r="160" ht="15.75" customHeight="1" spans="1:31">
      <c r="A160" s="133">
        <v>180</v>
      </c>
      <c r="B160" s="140" t="s">
        <v>3558</v>
      </c>
      <c r="C160" s="134"/>
      <c r="D160" s="140" t="s">
        <v>3559</v>
      </c>
      <c r="E160" s="138" t="b">
        <v>1</v>
      </c>
      <c r="F160" s="138" t="b">
        <v>1</v>
      </c>
      <c r="G160" s="138" t="b">
        <v>1</v>
      </c>
      <c r="H160" s="138" t="b">
        <v>1</v>
      </c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9">
        <f t="shared" si="8"/>
        <v>4</v>
      </c>
    </row>
    <row r="161" ht="15.75" customHeight="1" spans="1:31">
      <c r="A161" s="125">
        <v>181</v>
      </c>
      <c r="B161" s="127" t="s">
        <v>3558</v>
      </c>
      <c r="C161" s="126"/>
      <c r="D161" s="126" t="s">
        <v>3560</v>
      </c>
      <c r="E161" s="128" t="b">
        <v>1</v>
      </c>
      <c r="F161" s="129" t="b">
        <v>1</v>
      </c>
      <c r="G161" s="129" t="b">
        <v>1</v>
      </c>
      <c r="H161" s="130" t="b">
        <v>1</v>
      </c>
      <c r="I161" s="128"/>
      <c r="J161" s="129"/>
      <c r="K161" s="129"/>
      <c r="L161" s="130"/>
      <c r="M161" s="128"/>
      <c r="N161" s="129"/>
      <c r="O161" s="129"/>
      <c r="P161" s="130"/>
      <c r="Q161" s="128"/>
      <c r="R161" s="129"/>
      <c r="S161" s="129"/>
      <c r="T161" s="130"/>
      <c r="U161" s="128"/>
      <c r="V161" s="129"/>
      <c r="W161" s="131"/>
      <c r="X161" s="129"/>
      <c r="Y161" s="130"/>
      <c r="Z161" s="128"/>
      <c r="AA161" s="129"/>
      <c r="AB161" s="131"/>
      <c r="AC161" s="129"/>
      <c r="AD161" s="130"/>
      <c r="AE161" s="132">
        <f t="shared" si="8"/>
        <v>4</v>
      </c>
    </row>
    <row r="162" ht="15.75" customHeight="1" spans="1:31">
      <c r="A162" s="133">
        <v>182</v>
      </c>
      <c r="B162" s="140" t="s">
        <v>3561</v>
      </c>
      <c r="C162" s="134"/>
      <c r="D162" s="134" t="s">
        <v>3562</v>
      </c>
      <c r="E162" s="135" t="b">
        <v>1</v>
      </c>
      <c r="F162" s="136" t="b">
        <v>1</v>
      </c>
      <c r="G162" s="136" t="b">
        <v>1</v>
      </c>
      <c r="H162" s="137" t="b">
        <v>1</v>
      </c>
      <c r="I162" s="135"/>
      <c r="J162" s="136"/>
      <c r="K162" s="136"/>
      <c r="L162" s="137"/>
      <c r="M162" s="135"/>
      <c r="N162" s="136"/>
      <c r="O162" s="136"/>
      <c r="P162" s="137"/>
      <c r="Q162" s="135"/>
      <c r="R162" s="136"/>
      <c r="S162" s="136"/>
      <c r="T162" s="137"/>
      <c r="U162" s="135"/>
      <c r="V162" s="136"/>
      <c r="W162" s="138"/>
      <c r="X162" s="136"/>
      <c r="Y162" s="137"/>
      <c r="Z162" s="135"/>
      <c r="AA162" s="136"/>
      <c r="AB162" s="138"/>
      <c r="AC162" s="136"/>
      <c r="AD162" s="137"/>
      <c r="AE162" s="139">
        <f t="shared" si="8"/>
        <v>4</v>
      </c>
    </row>
    <row r="163" ht="15.75" customHeight="1" spans="1:31">
      <c r="A163" s="125">
        <v>184</v>
      </c>
      <c r="B163" s="127" t="s">
        <v>3561</v>
      </c>
      <c r="C163" s="126"/>
      <c r="D163" s="126" t="s">
        <v>3563</v>
      </c>
      <c r="E163" s="128" t="b">
        <v>1</v>
      </c>
      <c r="F163" s="129" t="b">
        <v>1</v>
      </c>
      <c r="G163" s="129" t="b">
        <v>1</v>
      </c>
      <c r="H163" s="130" t="b">
        <v>1</v>
      </c>
      <c r="I163" s="128"/>
      <c r="J163" s="129"/>
      <c r="K163" s="129"/>
      <c r="L163" s="130"/>
      <c r="M163" s="128"/>
      <c r="N163" s="129"/>
      <c r="O163" s="129"/>
      <c r="P163" s="130"/>
      <c r="Q163" s="128"/>
      <c r="R163" s="129"/>
      <c r="S163" s="129"/>
      <c r="T163" s="130"/>
      <c r="U163" s="128"/>
      <c r="V163" s="129"/>
      <c r="W163" s="131"/>
      <c r="X163" s="129"/>
      <c r="Y163" s="130"/>
      <c r="Z163" s="128"/>
      <c r="AA163" s="129"/>
      <c r="AB163" s="131"/>
      <c r="AC163" s="129"/>
      <c r="AD163" s="130"/>
      <c r="AE163" s="132">
        <f t="shared" si="8"/>
        <v>4</v>
      </c>
    </row>
    <row r="164" ht="15.75" customHeight="1" spans="1:31">
      <c r="A164" s="133">
        <v>185</v>
      </c>
      <c r="B164" s="140" t="s">
        <v>3564</v>
      </c>
      <c r="C164" s="134" t="s">
        <v>3411</v>
      </c>
      <c r="D164" s="134" t="s">
        <v>3565</v>
      </c>
      <c r="E164" s="135" t="b">
        <v>1</v>
      </c>
      <c r="F164" s="136" t="b">
        <v>1</v>
      </c>
      <c r="G164" s="136" t="b">
        <v>1</v>
      </c>
      <c r="H164" s="137" t="b">
        <v>1</v>
      </c>
      <c r="I164" s="135"/>
      <c r="J164" s="136"/>
      <c r="K164" s="136"/>
      <c r="L164" s="137"/>
      <c r="M164" s="135"/>
      <c r="N164" s="136"/>
      <c r="O164" s="136"/>
      <c r="P164" s="137"/>
      <c r="Q164" s="135"/>
      <c r="R164" s="136"/>
      <c r="S164" s="136"/>
      <c r="T164" s="137"/>
      <c r="U164" s="135"/>
      <c r="V164" s="136"/>
      <c r="W164" s="138"/>
      <c r="X164" s="136"/>
      <c r="Y164" s="137"/>
      <c r="Z164" s="135"/>
      <c r="AA164" s="136"/>
      <c r="AB164" s="138"/>
      <c r="AC164" s="136"/>
      <c r="AD164" s="137"/>
      <c r="AE164" s="139">
        <f t="shared" si="8"/>
        <v>4</v>
      </c>
    </row>
    <row r="165" ht="15.75" customHeight="1" spans="1:31">
      <c r="A165" s="125">
        <v>186</v>
      </c>
      <c r="B165" s="126"/>
      <c r="C165" s="126" t="s">
        <v>3411</v>
      </c>
      <c r="D165" s="126" t="s">
        <v>3566</v>
      </c>
      <c r="E165" s="128" t="b">
        <v>1</v>
      </c>
      <c r="F165" s="129" t="b">
        <v>0</v>
      </c>
      <c r="G165" s="129" t="b">
        <v>1</v>
      </c>
      <c r="H165" s="130" t="b">
        <v>0</v>
      </c>
      <c r="I165" s="128"/>
      <c r="J165" s="129"/>
      <c r="K165" s="129"/>
      <c r="L165" s="130"/>
      <c r="M165" s="128"/>
      <c r="N165" s="129"/>
      <c r="O165" s="129"/>
      <c r="P165" s="130"/>
      <c r="Q165" s="128"/>
      <c r="R165" s="129"/>
      <c r="S165" s="129"/>
      <c r="T165" s="130"/>
      <c r="U165" s="128"/>
      <c r="V165" s="129"/>
      <c r="W165" s="131"/>
      <c r="X165" s="129"/>
      <c r="Y165" s="130"/>
      <c r="Z165" s="128"/>
      <c r="AA165" s="129"/>
      <c r="AB165" s="131"/>
      <c r="AC165" s="129"/>
      <c r="AD165" s="130"/>
      <c r="AE165" s="132">
        <f t="shared" si="8"/>
        <v>2</v>
      </c>
    </row>
    <row r="166" ht="15.75" customHeight="1" spans="1:31">
      <c r="A166" s="133">
        <v>187</v>
      </c>
      <c r="D166" s="140" t="s">
        <v>3567</v>
      </c>
      <c r="E166" s="144"/>
      <c r="F166" s="142"/>
      <c r="G166" s="142"/>
      <c r="H166" s="150" t="b">
        <v>1</v>
      </c>
      <c r="I166" s="144"/>
      <c r="J166" s="142"/>
      <c r="K166" s="142"/>
      <c r="L166" s="143"/>
      <c r="M166" s="144"/>
      <c r="N166" s="142"/>
      <c r="O166" s="142"/>
      <c r="P166" s="143"/>
      <c r="Q166" s="144"/>
      <c r="R166" s="142"/>
      <c r="S166" s="142"/>
      <c r="T166" s="143"/>
      <c r="U166" s="144"/>
      <c r="V166" s="142"/>
      <c r="X166" s="142"/>
      <c r="Y166" s="143"/>
      <c r="Z166" s="144"/>
      <c r="AA166" s="142"/>
      <c r="AC166" s="142"/>
      <c r="AD166" s="143"/>
    </row>
    <row r="167" ht="15.75" customHeight="1" spans="1:31">
      <c r="A167" s="125">
        <v>188</v>
      </c>
      <c r="D167" s="127" t="s">
        <v>3568</v>
      </c>
      <c r="E167" s="145"/>
      <c r="F167" s="146"/>
      <c r="G167" s="146"/>
      <c r="H167" s="151" t="b">
        <v>1</v>
      </c>
      <c r="I167" s="145"/>
      <c r="J167" s="146"/>
      <c r="K167" s="146"/>
      <c r="L167" s="148"/>
      <c r="M167" s="145"/>
      <c r="N167" s="146"/>
      <c r="O167" s="146"/>
      <c r="P167" s="148"/>
      <c r="Q167" s="145"/>
      <c r="R167" s="146"/>
      <c r="S167" s="146"/>
      <c r="T167" s="148"/>
      <c r="U167" s="145"/>
      <c r="V167" s="146"/>
      <c r="X167" s="146"/>
      <c r="Y167" s="148"/>
      <c r="Z167" s="145"/>
      <c r="AA167" s="146"/>
      <c r="AC167" s="146"/>
      <c r="AD167" s="148"/>
    </row>
    <row r="168" ht="15.75" customHeight="1" spans="1:31">
      <c r="A168" s="133">
        <v>189</v>
      </c>
      <c r="B168" s="134"/>
      <c r="C168" s="134" t="s">
        <v>3411</v>
      </c>
      <c r="D168" s="134" t="s">
        <v>3569</v>
      </c>
      <c r="E168" s="135" t="b">
        <v>1</v>
      </c>
      <c r="F168" s="136" t="b">
        <v>1</v>
      </c>
      <c r="G168" s="136" t="b">
        <v>1</v>
      </c>
      <c r="H168" s="137" t="b">
        <v>1</v>
      </c>
      <c r="I168" s="135"/>
      <c r="J168" s="136"/>
      <c r="K168" s="136"/>
      <c r="L168" s="137"/>
      <c r="M168" s="135"/>
      <c r="N168" s="136"/>
      <c r="O168" s="136"/>
      <c r="P168" s="137"/>
      <c r="Q168" s="135"/>
      <c r="R168" s="136"/>
      <c r="S168" s="136"/>
      <c r="T168" s="137"/>
      <c r="U168" s="135"/>
      <c r="V168" s="136"/>
      <c r="W168" s="138"/>
      <c r="X168" s="136"/>
      <c r="Y168" s="137"/>
      <c r="Z168" s="135"/>
      <c r="AA168" s="136"/>
      <c r="AB168" s="138"/>
      <c r="AC168" s="136"/>
      <c r="AD168" s="137"/>
      <c r="AE168" s="139">
        <f t="shared" ref="AE168:AE175" si="9">COUNTIF(E168:AD168,"TRUE")</f>
        <v>4</v>
      </c>
    </row>
    <row r="169" ht="15.75" customHeight="1" spans="1:31">
      <c r="A169" s="125">
        <v>190</v>
      </c>
      <c r="B169" s="126"/>
      <c r="C169" s="126" t="s">
        <v>3411</v>
      </c>
      <c r="D169" s="126" t="s">
        <v>3570</v>
      </c>
      <c r="E169" s="128" t="b">
        <v>1</v>
      </c>
      <c r="F169" s="129" t="b">
        <v>1</v>
      </c>
      <c r="G169" s="129" t="b">
        <v>1</v>
      </c>
      <c r="H169" s="130" t="b">
        <v>1</v>
      </c>
      <c r="I169" s="128"/>
      <c r="J169" s="129"/>
      <c r="K169" s="129"/>
      <c r="L169" s="130"/>
      <c r="M169" s="128"/>
      <c r="N169" s="129"/>
      <c r="O169" s="129"/>
      <c r="P169" s="130"/>
      <c r="Q169" s="128"/>
      <c r="R169" s="129"/>
      <c r="S169" s="129"/>
      <c r="T169" s="130"/>
      <c r="U169" s="128"/>
      <c r="V169" s="129"/>
      <c r="W169" s="131"/>
      <c r="X169" s="129"/>
      <c r="Y169" s="130"/>
      <c r="Z169" s="128"/>
      <c r="AA169" s="129"/>
      <c r="AB169" s="131"/>
      <c r="AC169" s="129"/>
      <c r="AD169" s="130"/>
      <c r="AE169" s="132">
        <f t="shared" si="9"/>
        <v>4</v>
      </c>
    </row>
    <row r="170" ht="15.75" customHeight="1" spans="1:31">
      <c r="A170" s="133">
        <v>191</v>
      </c>
      <c r="B170" s="134"/>
      <c r="C170" s="134" t="s">
        <v>2</v>
      </c>
      <c r="D170" s="134" t="s">
        <v>3571</v>
      </c>
      <c r="E170" s="135" t="b">
        <v>1</v>
      </c>
      <c r="F170" s="136" t="b">
        <v>1</v>
      </c>
      <c r="G170" s="136" t="b">
        <v>1</v>
      </c>
      <c r="H170" s="137" t="b">
        <v>1</v>
      </c>
      <c r="I170" s="135"/>
      <c r="J170" s="136"/>
      <c r="K170" s="136"/>
      <c r="L170" s="137"/>
      <c r="M170" s="135"/>
      <c r="N170" s="136"/>
      <c r="O170" s="136"/>
      <c r="P170" s="137"/>
      <c r="Q170" s="135"/>
      <c r="R170" s="136"/>
      <c r="S170" s="136"/>
      <c r="T170" s="137"/>
      <c r="U170" s="135"/>
      <c r="V170" s="136"/>
      <c r="W170" s="138"/>
      <c r="X170" s="136"/>
      <c r="Y170" s="137"/>
      <c r="Z170" s="135"/>
      <c r="AA170" s="136"/>
      <c r="AB170" s="138"/>
      <c r="AC170" s="136"/>
      <c r="AD170" s="137"/>
      <c r="AE170" s="139">
        <f t="shared" si="9"/>
        <v>4</v>
      </c>
    </row>
    <row r="171" ht="15.75" customHeight="1" spans="1:31">
      <c r="A171" s="125">
        <v>192</v>
      </c>
      <c r="B171" s="126"/>
      <c r="C171" s="126"/>
      <c r="D171" s="127" t="s">
        <v>3572</v>
      </c>
      <c r="E171" s="128" t="b">
        <v>0</v>
      </c>
      <c r="F171" s="129" t="b">
        <v>0</v>
      </c>
      <c r="G171" s="129" t="b">
        <v>1</v>
      </c>
      <c r="H171" s="130" t="b">
        <v>0</v>
      </c>
      <c r="I171" s="128"/>
      <c r="J171" s="129"/>
      <c r="K171" s="129"/>
      <c r="L171" s="130"/>
      <c r="M171" s="128"/>
      <c r="N171" s="129"/>
      <c r="O171" s="129"/>
      <c r="P171" s="130"/>
      <c r="Q171" s="128"/>
      <c r="R171" s="129"/>
      <c r="S171" s="129"/>
      <c r="T171" s="130"/>
      <c r="U171" s="128"/>
      <c r="V171" s="129"/>
      <c r="W171" s="131"/>
      <c r="X171" s="129"/>
      <c r="Y171" s="130"/>
      <c r="Z171" s="128"/>
      <c r="AA171" s="129"/>
      <c r="AB171" s="131"/>
      <c r="AC171" s="129"/>
      <c r="AD171" s="130"/>
      <c r="AE171" s="132">
        <f t="shared" si="9"/>
        <v>1</v>
      </c>
    </row>
    <row r="172" ht="15.75" customHeight="1" spans="1:31">
      <c r="A172" s="133">
        <v>193</v>
      </c>
      <c r="B172" s="134"/>
      <c r="C172" s="134"/>
      <c r="D172" s="134" t="s">
        <v>3573</v>
      </c>
      <c r="E172" s="135" t="b">
        <v>1</v>
      </c>
      <c r="F172" s="136" t="b">
        <v>0</v>
      </c>
      <c r="G172" s="136" t="b">
        <v>0</v>
      </c>
      <c r="H172" s="137" t="b">
        <v>0</v>
      </c>
      <c r="I172" s="135"/>
      <c r="J172" s="136"/>
      <c r="K172" s="136"/>
      <c r="L172" s="137"/>
      <c r="M172" s="135"/>
      <c r="N172" s="136"/>
      <c r="O172" s="136"/>
      <c r="P172" s="137"/>
      <c r="Q172" s="135"/>
      <c r="R172" s="136"/>
      <c r="S172" s="136"/>
      <c r="T172" s="137"/>
      <c r="U172" s="135"/>
      <c r="V172" s="136"/>
      <c r="W172" s="138"/>
      <c r="X172" s="136"/>
      <c r="Y172" s="137"/>
      <c r="Z172" s="135"/>
      <c r="AA172" s="136"/>
      <c r="AB172" s="138"/>
      <c r="AC172" s="136"/>
      <c r="AD172" s="137"/>
      <c r="AE172" s="139">
        <f t="shared" si="9"/>
        <v>1</v>
      </c>
    </row>
    <row r="173" ht="15.75" customHeight="1" spans="1:31">
      <c r="A173" s="125">
        <v>194</v>
      </c>
      <c r="B173" s="126"/>
      <c r="C173" s="126" t="s">
        <v>2</v>
      </c>
      <c r="D173" s="126" t="s">
        <v>3574</v>
      </c>
      <c r="E173" s="128" t="b">
        <v>1</v>
      </c>
      <c r="F173" s="129" t="b">
        <v>1</v>
      </c>
      <c r="G173" s="129" t="b">
        <v>1</v>
      </c>
      <c r="H173" s="130" t="b">
        <v>1</v>
      </c>
      <c r="I173" s="128"/>
      <c r="J173" s="129"/>
      <c r="K173" s="129"/>
      <c r="L173" s="130"/>
      <c r="M173" s="128"/>
      <c r="N173" s="129"/>
      <c r="O173" s="129"/>
      <c r="P173" s="130"/>
      <c r="Q173" s="128"/>
      <c r="R173" s="129"/>
      <c r="S173" s="129"/>
      <c r="T173" s="130"/>
      <c r="U173" s="128"/>
      <c r="V173" s="129"/>
      <c r="W173" s="131"/>
      <c r="X173" s="129"/>
      <c r="Y173" s="130"/>
      <c r="Z173" s="128"/>
      <c r="AA173" s="129"/>
      <c r="AB173" s="131"/>
      <c r="AC173" s="129"/>
      <c r="AD173" s="130"/>
      <c r="AE173" s="132">
        <f t="shared" si="9"/>
        <v>4</v>
      </c>
    </row>
    <row r="174" ht="15.75" customHeight="1" spans="1:31">
      <c r="A174" s="133">
        <v>195</v>
      </c>
      <c r="B174" s="134"/>
      <c r="C174" s="134" t="s">
        <v>3411</v>
      </c>
      <c r="D174" s="134" t="s">
        <v>3575</v>
      </c>
      <c r="E174" s="135" t="b">
        <v>1</v>
      </c>
      <c r="F174" s="136" t="b">
        <v>1</v>
      </c>
      <c r="G174" s="136" t="b">
        <v>1</v>
      </c>
      <c r="H174" s="137" t="b">
        <v>1</v>
      </c>
      <c r="I174" s="135"/>
      <c r="J174" s="136"/>
      <c r="K174" s="136"/>
      <c r="L174" s="137"/>
      <c r="M174" s="135"/>
      <c r="N174" s="136"/>
      <c r="O174" s="136"/>
      <c r="P174" s="137"/>
      <c r="Q174" s="135"/>
      <c r="R174" s="136"/>
      <c r="S174" s="136"/>
      <c r="T174" s="137"/>
      <c r="U174" s="135"/>
      <c r="V174" s="136"/>
      <c r="W174" s="138"/>
      <c r="X174" s="136"/>
      <c r="Y174" s="137"/>
      <c r="Z174" s="135"/>
      <c r="AA174" s="136"/>
      <c r="AB174" s="138"/>
      <c r="AC174" s="136"/>
      <c r="AD174" s="137"/>
      <c r="AE174" s="139">
        <f t="shared" si="9"/>
        <v>4</v>
      </c>
    </row>
    <row r="175" ht="15.75" customHeight="1" spans="1:31">
      <c r="A175" s="125">
        <v>196</v>
      </c>
      <c r="B175" s="126"/>
      <c r="C175" s="126" t="s">
        <v>2</v>
      </c>
      <c r="D175" s="126" t="s">
        <v>3576</v>
      </c>
      <c r="E175" s="131" t="b">
        <v>1</v>
      </c>
      <c r="F175" s="131" t="b">
        <v>0</v>
      </c>
      <c r="G175" s="131" t="b">
        <v>1</v>
      </c>
      <c r="H175" s="131" t="b">
        <v>0</v>
      </c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  <c r="AC175" s="131"/>
      <c r="AD175" s="131"/>
      <c r="AE175" s="132">
        <f t="shared" si="9"/>
        <v>2</v>
      </c>
    </row>
    <row r="176" ht="15.75" customHeight="1" spans="1:31">
      <c r="A176" s="133">
        <v>197</v>
      </c>
      <c r="D176" s="140" t="s">
        <v>3576</v>
      </c>
      <c r="E176" s="144" t="b">
        <v>0</v>
      </c>
      <c r="F176" s="142" t="b">
        <v>0</v>
      </c>
      <c r="G176" s="149" t="b">
        <v>1</v>
      </c>
      <c r="H176" s="143" t="b">
        <v>0</v>
      </c>
      <c r="I176" s="144"/>
      <c r="J176" s="142"/>
      <c r="K176" s="142"/>
      <c r="L176" s="143"/>
      <c r="M176" s="144"/>
      <c r="N176" s="142"/>
      <c r="O176" s="142"/>
      <c r="P176" s="143"/>
      <c r="Q176" s="144"/>
      <c r="R176" s="142"/>
      <c r="S176" s="142"/>
      <c r="T176" s="143"/>
      <c r="U176" s="144"/>
      <c r="V176" s="142"/>
      <c r="X176" s="142"/>
      <c r="Y176" s="143"/>
      <c r="Z176" s="144"/>
      <c r="AA176" s="142"/>
      <c r="AC176" s="142"/>
      <c r="AD176" s="143"/>
    </row>
    <row r="177" ht="15.75" customHeight="1" spans="1:31">
      <c r="A177" s="125">
        <v>198</v>
      </c>
      <c r="B177" s="126"/>
      <c r="C177" s="126" t="s">
        <v>3413</v>
      </c>
      <c r="D177" s="126" t="s">
        <v>3577</v>
      </c>
      <c r="E177" s="128" t="b">
        <v>1</v>
      </c>
      <c r="F177" s="129" t="b">
        <v>1</v>
      </c>
      <c r="G177" s="129" t="b">
        <v>1</v>
      </c>
      <c r="H177" s="130" t="b">
        <v>0</v>
      </c>
      <c r="I177" s="128"/>
      <c r="J177" s="129"/>
      <c r="K177" s="129"/>
      <c r="L177" s="130"/>
      <c r="M177" s="128"/>
      <c r="N177" s="129"/>
      <c r="O177" s="129"/>
      <c r="P177" s="130"/>
      <c r="Q177" s="128"/>
      <c r="R177" s="129"/>
      <c r="S177" s="129"/>
      <c r="T177" s="130"/>
      <c r="U177" s="128"/>
      <c r="V177" s="129"/>
      <c r="W177" s="131"/>
      <c r="X177" s="129"/>
      <c r="Y177" s="130"/>
      <c r="Z177" s="128"/>
      <c r="AA177" s="129"/>
      <c r="AB177" s="131"/>
      <c r="AC177" s="129"/>
      <c r="AD177" s="130"/>
      <c r="AE177" s="132">
        <f t="shared" ref="AE177:AE183" si="10">COUNTIF(E177:AD177,"TRUE")</f>
        <v>3</v>
      </c>
    </row>
    <row r="178" ht="15.75" customHeight="1" spans="1:31">
      <c r="A178" s="133">
        <v>199</v>
      </c>
      <c r="B178" s="140" t="s">
        <v>3434</v>
      </c>
      <c r="C178" s="134"/>
      <c r="D178" s="140" t="s">
        <v>3578</v>
      </c>
      <c r="E178" s="135" t="b">
        <v>0</v>
      </c>
      <c r="F178" s="136" t="b">
        <v>0</v>
      </c>
      <c r="G178" s="136" t="b">
        <v>1</v>
      </c>
      <c r="H178" s="137" t="b">
        <v>1</v>
      </c>
      <c r="I178" s="135"/>
      <c r="J178" s="136"/>
      <c r="K178" s="136"/>
      <c r="L178" s="137"/>
      <c r="M178" s="135"/>
      <c r="N178" s="136"/>
      <c r="O178" s="136"/>
      <c r="P178" s="137"/>
      <c r="Q178" s="135"/>
      <c r="R178" s="136"/>
      <c r="S178" s="136"/>
      <c r="T178" s="137"/>
      <c r="U178" s="135"/>
      <c r="V178" s="136"/>
      <c r="W178" s="138"/>
      <c r="X178" s="136"/>
      <c r="Y178" s="137"/>
      <c r="Z178" s="135"/>
      <c r="AA178" s="136"/>
      <c r="AB178" s="138"/>
      <c r="AC178" s="136"/>
      <c r="AD178" s="137"/>
      <c r="AE178" s="139">
        <f t="shared" si="10"/>
        <v>2</v>
      </c>
    </row>
    <row r="179" ht="15.75" customHeight="1" spans="1:31">
      <c r="A179" s="125">
        <v>200</v>
      </c>
      <c r="B179" s="126"/>
      <c r="C179" s="126" t="s">
        <v>2</v>
      </c>
      <c r="D179" s="126" t="s">
        <v>3579</v>
      </c>
      <c r="E179" s="131" t="b">
        <v>0</v>
      </c>
      <c r="F179" s="131" t="b">
        <v>1</v>
      </c>
      <c r="G179" s="131" t="b">
        <v>0</v>
      </c>
      <c r="H179" s="131" t="b">
        <v>1</v>
      </c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  <c r="AC179" s="131"/>
      <c r="AD179" s="131"/>
      <c r="AE179" s="132">
        <f t="shared" si="10"/>
        <v>2</v>
      </c>
    </row>
    <row r="180" ht="15.75" customHeight="1" spans="1:31">
      <c r="A180" s="133">
        <v>201</v>
      </c>
      <c r="B180" s="134"/>
      <c r="C180" s="134" t="s">
        <v>3</v>
      </c>
      <c r="D180" s="134" t="s">
        <v>2449</v>
      </c>
      <c r="E180" s="138" t="b">
        <v>1</v>
      </c>
      <c r="F180" s="138" t="b">
        <v>1</v>
      </c>
      <c r="G180" s="138" t="b">
        <v>1</v>
      </c>
      <c r="H180" s="138" t="b">
        <v>1</v>
      </c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  <c r="AD180" s="138"/>
      <c r="AE180" s="139">
        <f t="shared" si="10"/>
        <v>4</v>
      </c>
    </row>
    <row r="181" ht="15.75" customHeight="1" spans="1:31">
      <c r="A181" s="125">
        <v>202</v>
      </c>
      <c r="B181" s="126"/>
      <c r="C181" s="126" t="s">
        <v>2</v>
      </c>
      <c r="D181" s="126" t="s">
        <v>3580</v>
      </c>
      <c r="E181" s="128" t="b">
        <v>1</v>
      </c>
      <c r="F181" s="129" t="b">
        <v>1</v>
      </c>
      <c r="G181" s="129" t="b">
        <v>1</v>
      </c>
      <c r="H181" s="130" t="b">
        <v>1</v>
      </c>
      <c r="I181" s="128"/>
      <c r="J181" s="129"/>
      <c r="K181" s="129"/>
      <c r="L181" s="130"/>
      <c r="M181" s="128"/>
      <c r="N181" s="129"/>
      <c r="O181" s="129"/>
      <c r="P181" s="130"/>
      <c r="Q181" s="128"/>
      <c r="R181" s="129"/>
      <c r="S181" s="129"/>
      <c r="T181" s="130"/>
      <c r="U181" s="128"/>
      <c r="V181" s="129"/>
      <c r="W181" s="131"/>
      <c r="X181" s="129"/>
      <c r="Y181" s="130"/>
      <c r="Z181" s="128"/>
      <c r="AA181" s="129"/>
      <c r="AB181" s="131"/>
      <c r="AC181" s="129"/>
      <c r="AD181" s="130"/>
      <c r="AE181" s="132">
        <f t="shared" si="10"/>
        <v>4</v>
      </c>
    </row>
    <row r="182" ht="15.75" customHeight="1" spans="1:31">
      <c r="A182" s="133">
        <v>203</v>
      </c>
      <c r="B182" s="134"/>
      <c r="C182" s="134" t="s">
        <v>3411</v>
      </c>
      <c r="D182" s="134" t="s">
        <v>3581</v>
      </c>
      <c r="E182" s="135" t="b">
        <v>1</v>
      </c>
      <c r="F182" s="136" t="b">
        <v>1</v>
      </c>
      <c r="G182" s="136" t="b">
        <v>1</v>
      </c>
      <c r="H182" s="137" t="b">
        <v>1</v>
      </c>
      <c r="I182" s="135"/>
      <c r="J182" s="136"/>
      <c r="K182" s="136"/>
      <c r="L182" s="137"/>
      <c r="M182" s="135"/>
      <c r="N182" s="136"/>
      <c r="O182" s="136"/>
      <c r="P182" s="137"/>
      <c r="Q182" s="135"/>
      <c r="R182" s="136"/>
      <c r="S182" s="136"/>
      <c r="T182" s="137"/>
      <c r="U182" s="135"/>
      <c r="V182" s="136"/>
      <c r="W182" s="138"/>
      <c r="X182" s="136"/>
      <c r="Y182" s="137"/>
      <c r="Z182" s="135"/>
      <c r="AA182" s="136"/>
      <c r="AB182" s="138"/>
      <c r="AC182" s="136"/>
      <c r="AD182" s="137"/>
      <c r="AE182" s="139">
        <f t="shared" si="10"/>
        <v>4</v>
      </c>
    </row>
    <row r="183" ht="15.75" customHeight="1" spans="1:31">
      <c r="A183" s="125">
        <v>204</v>
      </c>
      <c r="B183" s="126"/>
      <c r="C183" s="126" t="s">
        <v>2</v>
      </c>
      <c r="D183" s="126" t="s">
        <v>3582</v>
      </c>
      <c r="E183" s="128" t="b">
        <v>1</v>
      </c>
      <c r="F183" s="129" t="b">
        <v>1</v>
      </c>
      <c r="G183" s="129" t="b">
        <v>1</v>
      </c>
      <c r="H183" s="130" t="b">
        <v>1</v>
      </c>
      <c r="I183" s="128"/>
      <c r="J183" s="129"/>
      <c r="K183" s="129"/>
      <c r="L183" s="130"/>
      <c r="M183" s="128"/>
      <c r="N183" s="129"/>
      <c r="O183" s="129"/>
      <c r="P183" s="130"/>
      <c r="Q183" s="128"/>
      <c r="R183" s="129"/>
      <c r="S183" s="129"/>
      <c r="T183" s="130"/>
      <c r="U183" s="128"/>
      <c r="V183" s="129"/>
      <c r="W183" s="131"/>
      <c r="X183" s="129"/>
      <c r="Y183" s="130"/>
      <c r="Z183" s="128"/>
      <c r="AA183" s="129"/>
      <c r="AB183" s="131"/>
      <c r="AC183" s="129"/>
      <c r="AD183" s="130"/>
      <c r="AE183" s="132">
        <f t="shared" si="10"/>
        <v>4</v>
      </c>
    </row>
    <row r="184" ht="15.75" customHeight="1" spans="1:31">
      <c r="A184" s="133">
        <v>205</v>
      </c>
      <c r="C184" s="140" t="s">
        <v>3413</v>
      </c>
      <c r="D184" s="140" t="s">
        <v>3583</v>
      </c>
      <c r="E184" s="141" t="b">
        <v>1</v>
      </c>
      <c r="F184" s="149" t="b">
        <v>1</v>
      </c>
      <c r="G184" s="149" t="b">
        <v>1</v>
      </c>
      <c r="H184" s="150" t="b">
        <v>1</v>
      </c>
      <c r="I184" s="144"/>
      <c r="J184" s="142"/>
      <c r="K184" s="142"/>
      <c r="L184" s="143"/>
      <c r="M184" s="144"/>
      <c r="N184" s="142"/>
      <c r="O184" s="142"/>
      <c r="P184" s="143"/>
      <c r="Q184" s="144"/>
      <c r="R184" s="142"/>
      <c r="S184" s="142"/>
      <c r="T184" s="143"/>
      <c r="U184" s="144"/>
      <c r="V184" s="142"/>
      <c r="X184" s="142"/>
      <c r="Y184" s="143"/>
      <c r="Z184" s="144"/>
      <c r="AA184" s="142"/>
      <c r="AC184" s="142"/>
      <c r="AD184" s="143"/>
    </row>
    <row r="185" ht="15.75" customHeight="1" spans="1:31">
      <c r="A185" s="125">
        <v>207</v>
      </c>
      <c r="B185" s="126"/>
      <c r="C185" s="126" t="s">
        <v>3411</v>
      </c>
      <c r="D185" s="126" t="s">
        <v>3584</v>
      </c>
      <c r="E185" s="128" t="b">
        <v>1</v>
      </c>
      <c r="F185" s="129" t="b">
        <v>1</v>
      </c>
      <c r="G185" s="129" t="b">
        <v>1</v>
      </c>
      <c r="H185" s="130" t="b">
        <v>1</v>
      </c>
      <c r="I185" s="128"/>
      <c r="J185" s="129"/>
      <c r="K185" s="129"/>
      <c r="L185" s="130"/>
      <c r="M185" s="128"/>
      <c r="N185" s="129"/>
      <c r="O185" s="129"/>
      <c r="P185" s="130"/>
      <c r="Q185" s="128"/>
      <c r="R185" s="129"/>
      <c r="S185" s="129"/>
      <c r="T185" s="130"/>
      <c r="U185" s="128"/>
      <c r="V185" s="129"/>
      <c r="W185" s="131"/>
      <c r="X185" s="129"/>
      <c r="Y185" s="130"/>
      <c r="Z185" s="128"/>
      <c r="AA185" s="129"/>
      <c r="AB185" s="131"/>
      <c r="AC185" s="129"/>
      <c r="AD185" s="130"/>
      <c r="AE185" s="132">
        <f>COUNTIF(E185:AD185,"TRUE")</f>
        <v>4</v>
      </c>
    </row>
    <row r="186" ht="15.75" customHeight="1" spans="1:31">
      <c r="A186" s="133">
        <v>209</v>
      </c>
      <c r="C186" s="140" t="s">
        <v>3413</v>
      </c>
      <c r="D186" s="140" t="s">
        <v>3585</v>
      </c>
      <c r="E186" s="141" t="b">
        <v>1</v>
      </c>
      <c r="F186" s="149" t="b">
        <v>1</v>
      </c>
      <c r="G186" s="149" t="b">
        <v>1</v>
      </c>
      <c r="H186" s="150" t="b">
        <v>1</v>
      </c>
      <c r="I186" s="144"/>
      <c r="J186" s="142"/>
      <c r="K186" s="142"/>
      <c r="L186" s="143"/>
      <c r="M186" s="144"/>
      <c r="N186" s="142"/>
      <c r="O186" s="142"/>
      <c r="P186" s="143"/>
      <c r="Q186" s="144"/>
      <c r="R186" s="142"/>
      <c r="S186" s="142"/>
      <c r="T186" s="143"/>
      <c r="U186" s="144"/>
      <c r="V186" s="142"/>
      <c r="X186" s="142"/>
      <c r="Y186" s="143"/>
      <c r="Z186" s="144"/>
      <c r="AA186" s="142"/>
      <c r="AC186" s="142"/>
      <c r="AD186" s="143"/>
    </row>
    <row r="187" ht="15.75" customHeight="1" spans="1:31">
      <c r="A187" s="125">
        <v>210</v>
      </c>
      <c r="B187" s="126"/>
      <c r="C187" s="126" t="s">
        <v>2</v>
      </c>
      <c r="D187" s="126" t="s">
        <v>3586</v>
      </c>
      <c r="E187" s="128" t="b">
        <v>0</v>
      </c>
      <c r="F187" s="129" t="b">
        <v>1</v>
      </c>
      <c r="G187" s="129" t="b">
        <v>1</v>
      </c>
      <c r="H187" s="130" t="b">
        <v>1</v>
      </c>
      <c r="I187" s="128"/>
      <c r="J187" s="129"/>
      <c r="K187" s="129"/>
      <c r="L187" s="130"/>
      <c r="M187" s="128"/>
      <c r="N187" s="129"/>
      <c r="O187" s="129"/>
      <c r="P187" s="130"/>
      <c r="Q187" s="128"/>
      <c r="R187" s="129"/>
      <c r="S187" s="129"/>
      <c r="T187" s="130"/>
      <c r="U187" s="128"/>
      <c r="V187" s="129"/>
      <c r="W187" s="131"/>
      <c r="X187" s="129"/>
      <c r="Y187" s="130"/>
      <c r="Z187" s="128"/>
      <c r="AA187" s="129"/>
      <c r="AB187" s="131"/>
      <c r="AC187" s="129"/>
      <c r="AD187" s="130"/>
      <c r="AE187" s="132">
        <f t="shared" ref="AE187:AE251" si="11">COUNTIF(E187:AD187,"TRUE")</f>
        <v>3</v>
      </c>
    </row>
    <row r="188" ht="15.75" customHeight="1" spans="1:31">
      <c r="A188" s="133">
        <v>212</v>
      </c>
      <c r="B188" s="134"/>
      <c r="C188" s="134" t="s">
        <v>3411</v>
      </c>
      <c r="D188" s="134" t="s">
        <v>3587</v>
      </c>
      <c r="E188" s="138" t="b">
        <v>1</v>
      </c>
      <c r="F188" s="138" t="b">
        <v>1</v>
      </c>
      <c r="G188" s="138" t="b">
        <v>0</v>
      </c>
      <c r="H188" s="138" t="b">
        <v>0</v>
      </c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/>
      <c r="AE188" s="139">
        <f t="shared" si="11"/>
        <v>2</v>
      </c>
    </row>
    <row r="189" ht="15.75" customHeight="1" spans="1:31">
      <c r="A189" s="125">
        <v>213</v>
      </c>
      <c r="B189" s="126"/>
      <c r="D189" s="126" t="s">
        <v>2473</v>
      </c>
      <c r="E189" s="128" t="b">
        <v>1</v>
      </c>
      <c r="F189" s="129" t="b">
        <v>1</v>
      </c>
      <c r="G189" s="129" t="b">
        <v>1</v>
      </c>
      <c r="H189" s="130" t="b">
        <v>1</v>
      </c>
      <c r="I189" s="128"/>
      <c r="J189" s="129"/>
      <c r="K189" s="129"/>
      <c r="L189" s="130"/>
      <c r="M189" s="128"/>
      <c r="N189" s="129"/>
      <c r="O189" s="129"/>
      <c r="P189" s="130"/>
      <c r="Q189" s="128"/>
      <c r="R189" s="129"/>
      <c r="S189" s="129"/>
      <c r="T189" s="130"/>
      <c r="U189" s="128"/>
      <c r="V189" s="129"/>
      <c r="W189" s="131"/>
      <c r="X189" s="129"/>
      <c r="Y189" s="130"/>
      <c r="Z189" s="128"/>
      <c r="AA189" s="129"/>
      <c r="AB189" s="131"/>
      <c r="AC189" s="129"/>
      <c r="AD189" s="130"/>
      <c r="AE189" s="132">
        <f t="shared" si="11"/>
        <v>4</v>
      </c>
    </row>
    <row r="190" ht="15.75" customHeight="1" spans="1:31">
      <c r="A190" s="133">
        <v>214</v>
      </c>
      <c r="B190" s="134"/>
      <c r="C190" s="134" t="s">
        <v>3411</v>
      </c>
      <c r="D190" s="134" t="s">
        <v>3588</v>
      </c>
      <c r="E190" s="135" t="b">
        <v>0</v>
      </c>
      <c r="F190" s="136" t="b">
        <v>1</v>
      </c>
      <c r="G190" s="136" t="b">
        <v>1</v>
      </c>
      <c r="H190" s="137" t="b">
        <v>1</v>
      </c>
      <c r="I190" s="135"/>
      <c r="J190" s="136"/>
      <c r="K190" s="136"/>
      <c r="L190" s="137"/>
      <c r="M190" s="135"/>
      <c r="N190" s="136"/>
      <c r="O190" s="136"/>
      <c r="P190" s="137"/>
      <c r="Q190" s="135"/>
      <c r="R190" s="136"/>
      <c r="S190" s="136"/>
      <c r="T190" s="137"/>
      <c r="U190" s="135"/>
      <c r="V190" s="136"/>
      <c r="W190" s="138"/>
      <c r="X190" s="136"/>
      <c r="Y190" s="137"/>
      <c r="Z190" s="135"/>
      <c r="AA190" s="136"/>
      <c r="AB190" s="138"/>
      <c r="AC190" s="136"/>
      <c r="AD190" s="137"/>
      <c r="AE190" s="139">
        <f t="shared" si="11"/>
        <v>3</v>
      </c>
    </row>
    <row r="191" ht="15.75" customHeight="1" spans="1:31">
      <c r="A191" s="125">
        <v>215</v>
      </c>
      <c r="B191" s="126"/>
      <c r="C191" s="126" t="s">
        <v>3411</v>
      </c>
      <c r="D191" s="126" t="s">
        <v>2488</v>
      </c>
      <c r="E191" s="128" t="b">
        <v>1</v>
      </c>
      <c r="F191" s="129" t="b">
        <v>1</v>
      </c>
      <c r="G191" s="129" t="b">
        <v>1</v>
      </c>
      <c r="H191" s="130" t="b">
        <v>1</v>
      </c>
      <c r="I191" s="128"/>
      <c r="J191" s="129"/>
      <c r="K191" s="129"/>
      <c r="L191" s="130"/>
      <c r="M191" s="128"/>
      <c r="N191" s="129"/>
      <c r="O191" s="129"/>
      <c r="P191" s="130"/>
      <c r="Q191" s="128"/>
      <c r="R191" s="129"/>
      <c r="S191" s="129"/>
      <c r="T191" s="130"/>
      <c r="U191" s="128"/>
      <c r="V191" s="129"/>
      <c r="W191" s="131"/>
      <c r="X191" s="129"/>
      <c r="Y191" s="130"/>
      <c r="Z191" s="128"/>
      <c r="AA191" s="129"/>
      <c r="AB191" s="131"/>
      <c r="AC191" s="129"/>
      <c r="AD191" s="130"/>
      <c r="AE191" s="132">
        <f t="shared" si="11"/>
        <v>4</v>
      </c>
    </row>
    <row r="192" ht="15.75" customHeight="1" spans="1:31">
      <c r="A192" s="133">
        <v>216</v>
      </c>
      <c r="B192" s="134"/>
      <c r="C192" s="134" t="s">
        <v>3413</v>
      </c>
      <c r="D192" s="134" t="s">
        <v>3589</v>
      </c>
      <c r="E192" s="135" t="b">
        <v>0</v>
      </c>
      <c r="F192" s="136" t="b">
        <v>0</v>
      </c>
      <c r="G192" s="136" t="b">
        <v>0</v>
      </c>
      <c r="H192" s="137" t="b">
        <v>0</v>
      </c>
      <c r="I192" s="135"/>
      <c r="J192" s="136"/>
      <c r="K192" s="136"/>
      <c r="L192" s="137"/>
      <c r="M192" s="135"/>
      <c r="N192" s="136"/>
      <c r="O192" s="136"/>
      <c r="P192" s="137"/>
      <c r="Q192" s="135"/>
      <c r="R192" s="136"/>
      <c r="S192" s="136"/>
      <c r="T192" s="137"/>
      <c r="U192" s="135"/>
      <c r="V192" s="136"/>
      <c r="W192" s="138"/>
      <c r="X192" s="136"/>
      <c r="Y192" s="137"/>
      <c r="Z192" s="135"/>
      <c r="AA192" s="136"/>
      <c r="AB192" s="138"/>
      <c r="AC192" s="136"/>
      <c r="AD192" s="137"/>
      <c r="AE192" s="139">
        <f t="shared" si="11"/>
        <v>0</v>
      </c>
    </row>
    <row r="193" ht="15.75" customHeight="1" spans="1:31">
      <c r="A193" s="125">
        <v>217</v>
      </c>
      <c r="B193" s="126"/>
      <c r="D193" s="126" t="s">
        <v>2501</v>
      </c>
      <c r="E193" s="131" t="b">
        <v>1</v>
      </c>
      <c r="F193" s="131" t="b">
        <v>1</v>
      </c>
      <c r="G193" s="131" t="b">
        <v>1</v>
      </c>
      <c r="H193" s="131" t="b">
        <v>1</v>
      </c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  <c r="AC193" s="131"/>
      <c r="AD193" s="131"/>
      <c r="AE193" s="132">
        <f t="shared" si="11"/>
        <v>4</v>
      </c>
    </row>
    <row r="194" ht="15.75" customHeight="1" spans="1:31">
      <c r="A194" s="133">
        <v>219</v>
      </c>
      <c r="B194" s="134"/>
      <c r="C194" s="134" t="s">
        <v>3411</v>
      </c>
      <c r="D194" s="134" t="s">
        <v>3590</v>
      </c>
      <c r="E194" s="135" t="b">
        <v>1</v>
      </c>
      <c r="F194" s="136" t="b">
        <v>1</v>
      </c>
      <c r="G194" s="136" t="b">
        <v>1</v>
      </c>
      <c r="H194" s="137" t="b">
        <v>1</v>
      </c>
      <c r="I194" s="135"/>
      <c r="J194" s="136"/>
      <c r="K194" s="136"/>
      <c r="L194" s="137"/>
      <c r="M194" s="135"/>
      <c r="N194" s="136"/>
      <c r="O194" s="136"/>
      <c r="P194" s="137"/>
      <c r="Q194" s="135"/>
      <c r="R194" s="136"/>
      <c r="S194" s="136"/>
      <c r="T194" s="137"/>
      <c r="U194" s="135"/>
      <c r="V194" s="136"/>
      <c r="W194" s="138"/>
      <c r="X194" s="136"/>
      <c r="Y194" s="137"/>
      <c r="Z194" s="135"/>
      <c r="AA194" s="136"/>
      <c r="AB194" s="138"/>
      <c r="AC194" s="136"/>
      <c r="AD194" s="137"/>
      <c r="AE194" s="139">
        <f t="shared" si="11"/>
        <v>4</v>
      </c>
    </row>
    <row r="195" ht="15.75" customHeight="1" spans="1:31">
      <c r="A195" s="125">
        <v>220</v>
      </c>
      <c r="B195" s="126"/>
      <c r="C195" s="126" t="s">
        <v>3411</v>
      </c>
      <c r="D195" s="126" t="s">
        <v>3591</v>
      </c>
      <c r="E195" s="128" t="b">
        <v>1</v>
      </c>
      <c r="F195" s="129" t="b">
        <v>1</v>
      </c>
      <c r="G195" s="129" t="b">
        <v>1</v>
      </c>
      <c r="H195" s="130" t="b">
        <v>1</v>
      </c>
      <c r="I195" s="128"/>
      <c r="J195" s="129"/>
      <c r="K195" s="129"/>
      <c r="L195" s="130"/>
      <c r="M195" s="128"/>
      <c r="N195" s="129"/>
      <c r="O195" s="129"/>
      <c r="P195" s="130"/>
      <c r="Q195" s="128"/>
      <c r="R195" s="129"/>
      <c r="S195" s="129"/>
      <c r="T195" s="130"/>
      <c r="U195" s="128"/>
      <c r="V195" s="129"/>
      <c r="W195" s="131"/>
      <c r="X195" s="129"/>
      <c r="Y195" s="130"/>
      <c r="Z195" s="128"/>
      <c r="AA195" s="129"/>
      <c r="AB195" s="131"/>
      <c r="AC195" s="129"/>
      <c r="AD195" s="130"/>
      <c r="AE195" s="132">
        <f t="shared" si="11"/>
        <v>4</v>
      </c>
    </row>
    <row r="196" ht="15.75" customHeight="1" spans="1:31">
      <c r="A196" s="133">
        <v>221</v>
      </c>
      <c r="B196" s="134"/>
      <c r="C196" s="134" t="s">
        <v>3411</v>
      </c>
      <c r="D196" s="134" t="s">
        <v>3592</v>
      </c>
      <c r="E196" s="135" t="b">
        <v>1</v>
      </c>
      <c r="F196" s="136" t="b">
        <v>1</v>
      </c>
      <c r="G196" s="136" t="b">
        <v>1</v>
      </c>
      <c r="H196" s="137" t="b">
        <v>1</v>
      </c>
      <c r="I196" s="135"/>
      <c r="J196" s="136"/>
      <c r="K196" s="136"/>
      <c r="L196" s="137"/>
      <c r="M196" s="135"/>
      <c r="N196" s="136"/>
      <c r="O196" s="136"/>
      <c r="P196" s="137"/>
      <c r="Q196" s="135"/>
      <c r="R196" s="136"/>
      <c r="S196" s="136"/>
      <c r="T196" s="137"/>
      <c r="U196" s="135"/>
      <c r="V196" s="136"/>
      <c r="W196" s="138"/>
      <c r="X196" s="136"/>
      <c r="Y196" s="137"/>
      <c r="Z196" s="135"/>
      <c r="AA196" s="136"/>
      <c r="AB196" s="138"/>
      <c r="AC196" s="136"/>
      <c r="AD196" s="137"/>
      <c r="AE196" s="139">
        <f t="shared" si="11"/>
        <v>4</v>
      </c>
    </row>
    <row r="197" ht="15.75" customHeight="1" spans="1:31">
      <c r="A197" s="125">
        <v>222</v>
      </c>
      <c r="B197" s="126"/>
      <c r="C197" s="126" t="s">
        <v>3411</v>
      </c>
      <c r="D197" s="126" t="s">
        <v>3593</v>
      </c>
      <c r="E197" s="128" t="b">
        <v>0</v>
      </c>
      <c r="F197" s="129" t="b">
        <v>0</v>
      </c>
      <c r="G197" s="129" t="b">
        <v>0</v>
      </c>
      <c r="H197" s="130" t="b">
        <v>0</v>
      </c>
      <c r="I197" s="128"/>
      <c r="J197" s="129"/>
      <c r="K197" s="129"/>
      <c r="L197" s="130"/>
      <c r="M197" s="128"/>
      <c r="N197" s="129"/>
      <c r="O197" s="129"/>
      <c r="P197" s="130"/>
      <c r="Q197" s="128"/>
      <c r="R197" s="129"/>
      <c r="S197" s="129"/>
      <c r="T197" s="130"/>
      <c r="U197" s="128"/>
      <c r="V197" s="129"/>
      <c r="W197" s="131"/>
      <c r="X197" s="129"/>
      <c r="Y197" s="130"/>
      <c r="Z197" s="128"/>
      <c r="AA197" s="129"/>
      <c r="AB197" s="131"/>
      <c r="AC197" s="129"/>
      <c r="AD197" s="130"/>
      <c r="AE197" s="132">
        <f t="shared" si="11"/>
        <v>0</v>
      </c>
    </row>
    <row r="198" ht="15.75" customHeight="1" spans="1:31">
      <c r="A198" s="133">
        <v>223</v>
      </c>
      <c r="B198" s="134"/>
      <c r="C198" s="134" t="s">
        <v>3411</v>
      </c>
      <c r="D198" s="134" t="s">
        <v>3594</v>
      </c>
      <c r="E198" s="135" t="b">
        <v>0</v>
      </c>
      <c r="F198" s="136" t="b">
        <v>0</v>
      </c>
      <c r="G198" s="136" t="b">
        <v>0</v>
      </c>
      <c r="H198" s="137" t="b">
        <v>0</v>
      </c>
      <c r="I198" s="135"/>
      <c r="J198" s="136"/>
      <c r="K198" s="136"/>
      <c r="L198" s="137"/>
      <c r="M198" s="135"/>
      <c r="N198" s="136"/>
      <c r="O198" s="136"/>
      <c r="P198" s="137"/>
      <c r="Q198" s="135"/>
      <c r="R198" s="136"/>
      <c r="S198" s="136"/>
      <c r="T198" s="137"/>
      <c r="U198" s="135"/>
      <c r="V198" s="136"/>
      <c r="W198" s="138"/>
      <c r="X198" s="136"/>
      <c r="Y198" s="137"/>
      <c r="Z198" s="135"/>
      <c r="AA198" s="136"/>
      <c r="AB198" s="138"/>
      <c r="AC198" s="136"/>
      <c r="AD198" s="137"/>
      <c r="AE198" s="139">
        <f t="shared" si="11"/>
        <v>0</v>
      </c>
    </row>
    <row r="199" ht="15.75" customHeight="1" spans="1:31">
      <c r="A199" s="125">
        <v>224</v>
      </c>
      <c r="B199" s="126"/>
      <c r="C199" s="126" t="s">
        <v>3413</v>
      </c>
      <c r="D199" s="126" t="s">
        <v>3595</v>
      </c>
      <c r="E199" s="128" t="b">
        <v>0</v>
      </c>
      <c r="F199" s="129" t="b">
        <v>0</v>
      </c>
      <c r="G199" s="129" t="b">
        <v>0</v>
      </c>
      <c r="H199" s="130" t="b">
        <v>0</v>
      </c>
      <c r="I199" s="128"/>
      <c r="J199" s="129"/>
      <c r="K199" s="129"/>
      <c r="L199" s="130"/>
      <c r="M199" s="128"/>
      <c r="N199" s="129"/>
      <c r="O199" s="129"/>
      <c r="P199" s="130"/>
      <c r="Q199" s="128"/>
      <c r="R199" s="129"/>
      <c r="S199" s="129"/>
      <c r="T199" s="130"/>
      <c r="U199" s="128"/>
      <c r="V199" s="129"/>
      <c r="W199" s="131"/>
      <c r="X199" s="129"/>
      <c r="Y199" s="130"/>
      <c r="Z199" s="128"/>
      <c r="AA199" s="129"/>
      <c r="AB199" s="131"/>
      <c r="AC199" s="129"/>
      <c r="AD199" s="130"/>
      <c r="AE199" s="132">
        <f t="shared" si="11"/>
        <v>0</v>
      </c>
    </row>
    <row r="200" ht="15.75" customHeight="1" spans="1:31">
      <c r="A200" s="133">
        <v>225</v>
      </c>
      <c r="B200" s="134"/>
      <c r="C200" s="134" t="s">
        <v>2</v>
      </c>
      <c r="D200" s="134" t="s">
        <v>168</v>
      </c>
      <c r="E200" s="135" t="b">
        <v>0</v>
      </c>
      <c r="F200" s="136" t="b">
        <v>0</v>
      </c>
      <c r="G200" s="136" t="b">
        <v>0</v>
      </c>
      <c r="H200" s="137" t="b">
        <v>0</v>
      </c>
      <c r="I200" s="135"/>
      <c r="J200" s="136"/>
      <c r="K200" s="136"/>
      <c r="L200" s="137"/>
      <c r="M200" s="135"/>
      <c r="N200" s="136"/>
      <c r="O200" s="136"/>
      <c r="P200" s="137"/>
      <c r="Q200" s="135"/>
      <c r="R200" s="136"/>
      <c r="S200" s="136"/>
      <c r="T200" s="137"/>
      <c r="U200" s="135"/>
      <c r="V200" s="136"/>
      <c r="W200" s="138"/>
      <c r="X200" s="136"/>
      <c r="Y200" s="137"/>
      <c r="Z200" s="135"/>
      <c r="AA200" s="136"/>
      <c r="AB200" s="138"/>
      <c r="AC200" s="136"/>
      <c r="AD200" s="137"/>
      <c r="AE200" s="139">
        <f t="shared" si="11"/>
        <v>0</v>
      </c>
    </row>
    <row r="201" ht="15.75" customHeight="1" spans="1:31">
      <c r="A201" s="125">
        <v>226</v>
      </c>
      <c r="B201" s="126"/>
      <c r="C201" s="126" t="s">
        <v>3</v>
      </c>
      <c r="D201" s="126" t="s">
        <v>3596</v>
      </c>
      <c r="E201" s="128" t="b">
        <v>1</v>
      </c>
      <c r="F201" s="129" t="b">
        <v>1</v>
      </c>
      <c r="G201" s="129" t="b">
        <v>1</v>
      </c>
      <c r="H201" s="130" t="b">
        <v>1</v>
      </c>
      <c r="I201" s="128"/>
      <c r="J201" s="129"/>
      <c r="K201" s="129"/>
      <c r="L201" s="130"/>
      <c r="M201" s="128"/>
      <c r="N201" s="129"/>
      <c r="O201" s="129"/>
      <c r="P201" s="130"/>
      <c r="Q201" s="128"/>
      <c r="R201" s="129"/>
      <c r="S201" s="129"/>
      <c r="T201" s="130"/>
      <c r="U201" s="128"/>
      <c r="V201" s="129"/>
      <c r="W201" s="131"/>
      <c r="X201" s="129"/>
      <c r="Y201" s="130"/>
      <c r="Z201" s="128"/>
      <c r="AA201" s="129"/>
      <c r="AB201" s="131"/>
      <c r="AC201" s="129"/>
      <c r="AD201" s="130"/>
      <c r="AE201" s="132">
        <f t="shared" si="11"/>
        <v>4</v>
      </c>
    </row>
    <row r="202" ht="15.75" customHeight="1" spans="1:31">
      <c r="A202" s="133">
        <v>227</v>
      </c>
      <c r="B202" s="134"/>
      <c r="C202" s="134" t="s">
        <v>2</v>
      </c>
      <c r="D202" s="134" t="s">
        <v>3597</v>
      </c>
      <c r="E202" s="135" t="b">
        <v>0</v>
      </c>
      <c r="F202" s="136" t="b">
        <v>0</v>
      </c>
      <c r="G202" s="136" t="b">
        <v>0</v>
      </c>
      <c r="H202" s="137" t="b">
        <v>0</v>
      </c>
      <c r="I202" s="135"/>
      <c r="J202" s="136"/>
      <c r="K202" s="136"/>
      <c r="L202" s="137"/>
      <c r="M202" s="135"/>
      <c r="N202" s="136"/>
      <c r="O202" s="136"/>
      <c r="P202" s="137"/>
      <c r="Q202" s="135"/>
      <c r="R202" s="136"/>
      <c r="S202" s="136"/>
      <c r="T202" s="137"/>
      <c r="U202" s="135"/>
      <c r="V202" s="136"/>
      <c r="W202" s="138"/>
      <c r="X202" s="136"/>
      <c r="Y202" s="137"/>
      <c r="Z202" s="135"/>
      <c r="AA202" s="136"/>
      <c r="AB202" s="138"/>
      <c r="AC202" s="136"/>
      <c r="AD202" s="137"/>
      <c r="AE202" s="139">
        <f t="shared" si="11"/>
        <v>0</v>
      </c>
    </row>
    <row r="203" ht="15.75" customHeight="1" spans="1:31">
      <c r="A203" s="125">
        <v>228</v>
      </c>
      <c r="B203" s="126"/>
      <c r="C203" s="126"/>
      <c r="D203" s="127" t="s">
        <v>3598</v>
      </c>
      <c r="E203" s="128" t="b">
        <v>1</v>
      </c>
      <c r="F203" s="129" t="b">
        <v>1</v>
      </c>
      <c r="G203" s="129" t="b">
        <v>1</v>
      </c>
      <c r="H203" s="130" t="b">
        <v>0</v>
      </c>
      <c r="I203" s="128"/>
      <c r="J203" s="129"/>
      <c r="K203" s="129"/>
      <c r="L203" s="130"/>
      <c r="M203" s="128"/>
      <c r="N203" s="129"/>
      <c r="O203" s="129"/>
      <c r="P203" s="130"/>
      <c r="Q203" s="128"/>
      <c r="R203" s="129"/>
      <c r="S203" s="129"/>
      <c r="T203" s="130"/>
      <c r="U203" s="128"/>
      <c r="V203" s="129"/>
      <c r="W203" s="131"/>
      <c r="X203" s="129"/>
      <c r="Y203" s="130"/>
      <c r="Z203" s="128"/>
      <c r="AA203" s="129"/>
      <c r="AB203" s="131"/>
      <c r="AC203" s="129"/>
      <c r="AD203" s="130"/>
      <c r="AE203" s="132">
        <f t="shared" si="11"/>
        <v>3</v>
      </c>
    </row>
    <row r="204" ht="15.75" customHeight="1" spans="1:31">
      <c r="A204" s="133">
        <v>229</v>
      </c>
      <c r="B204" s="134"/>
      <c r="C204" s="134" t="s">
        <v>3413</v>
      </c>
      <c r="D204" s="134" t="s">
        <v>3599</v>
      </c>
      <c r="E204" s="135" t="b">
        <v>1</v>
      </c>
      <c r="F204" s="136" t="b">
        <v>0</v>
      </c>
      <c r="G204" s="136" t="b">
        <v>1</v>
      </c>
      <c r="H204" s="137" t="b">
        <v>1</v>
      </c>
      <c r="I204" s="135"/>
      <c r="J204" s="136"/>
      <c r="K204" s="136"/>
      <c r="L204" s="137"/>
      <c r="M204" s="135"/>
      <c r="N204" s="136"/>
      <c r="O204" s="136"/>
      <c r="P204" s="137"/>
      <c r="Q204" s="135"/>
      <c r="R204" s="136"/>
      <c r="S204" s="136"/>
      <c r="T204" s="137"/>
      <c r="U204" s="135"/>
      <c r="V204" s="136"/>
      <c r="W204" s="138"/>
      <c r="X204" s="136"/>
      <c r="Y204" s="137"/>
      <c r="Z204" s="135"/>
      <c r="AA204" s="136"/>
      <c r="AB204" s="138"/>
      <c r="AC204" s="136"/>
      <c r="AD204" s="137"/>
      <c r="AE204" s="139">
        <f t="shared" si="11"/>
        <v>3</v>
      </c>
    </row>
    <row r="205" ht="15.75" customHeight="1" spans="1:31">
      <c r="A205" s="125">
        <v>230</v>
      </c>
      <c r="B205" s="126"/>
      <c r="C205" s="126" t="s">
        <v>3413</v>
      </c>
      <c r="D205" s="126" t="s">
        <v>3600</v>
      </c>
      <c r="E205" s="128" t="b">
        <v>1</v>
      </c>
      <c r="F205" s="129" t="b">
        <v>1</v>
      </c>
      <c r="G205" s="129" t="b">
        <v>1</v>
      </c>
      <c r="H205" s="130" t="b">
        <v>1</v>
      </c>
      <c r="I205" s="128"/>
      <c r="J205" s="129"/>
      <c r="K205" s="129"/>
      <c r="L205" s="130"/>
      <c r="M205" s="128"/>
      <c r="N205" s="129"/>
      <c r="O205" s="129"/>
      <c r="P205" s="130"/>
      <c r="Q205" s="128"/>
      <c r="R205" s="129"/>
      <c r="S205" s="129"/>
      <c r="T205" s="130"/>
      <c r="U205" s="128"/>
      <c r="V205" s="129"/>
      <c r="W205" s="131"/>
      <c r="X205" s="129"/>
      <c r="Y205" s="130"/>
      <c r="Z205" s="128"/>
      <c r="AA205" s="129"/>
      <c r="AB205" s="131"/>
      <c r="AC205" s="129"/>
      <c r="AD205" s="130"/>
      <c r="AE205" s="132">
        <f t="shared" si="11"/>
        <v>4</v>
      </c>
    </row>
    <row r="206" ht="15.75" customHeight="1" spans="1:31">
      <c r="A206" s="133">
        <v>231</v>
      </c>
      <c r="B206" s="134"/>
      <c r="C206" s="134" t="s">
        <v>3</v>
      </c>
      <c r="D206" s="134" t="s">
        <v>699</v>
      </c>
      <c r="E206" s="135" t="b">
        <v>1</v>
      </c>
      <c r="F206" s="136" t="b">
        <v>0</v>
      </c>
      <c r="G206" s="136" t="b">
        <v>1</v>
      </c>
      <c r="H206" s="137" t="b">
        <v>1</v>
      </c>
      <c r="I206" s="135"/>
      <c r="J206" s="136"/>
      <c r="K206" s="136"/>
      <c r="L206" s="137"/>
      <c r="M206" s="135"/>
      <c r="N206" s="136"/>
      <c r="O206" s="136"/>
      <c r="P206" s="137"/>
      <c r="Q206" s="135"/>
      <c r="R206" s="136"/>
      <c r="S206" s="136"/>
      <c r="T206" s="137"/>
      <c r="U206" s="135"/>
      <c r="V206" s="136"/>
      <c r="W206" s="138"/>
      <c r="X206" s="136"/>
      <c r="Y206" s="137"/>
      <c r="Z206" s="135"/>
      <c r="AA206" s="136"/>
      <c r="AB206" s="138"/>
      <c r="AC206" s="136"/>
      <c r="AD206" s="137"/>
      <c r="AE206" s="139">
        <f t="shared" si="11"/>
        <v>3</v>
      </c>
    </row>
    <row r="207" ht="15.75" customHeight="1" spans="1:31">
      <c r="A207" s="125">
        <v>232</v>
      </c>
      <c r="B207" s="126"/>
      <c r="C207" s="126" t="s">
        <v>2</v>
      </c>
      <c r="D207" s="126" t="s">
        <v>1824</v>
      </c>
      <c r="E207" s="128" t="b">
        <v>1</v>
      </c>
      <c r="F207" s="129" t="b">
        <v>1</v>
      </c>
      <c r="G207" s="129" t="b">
        <v>1</v>
      </c>
      <c r="H207" s="130" t="b">
        <v>1</v>
      </c>
      <c r="I207" s="128"/>
      <c r="J207" s="129"/>
      <c r="K207" s="129"/>
      <c r="L207" s="130"/>
      <c r="M207" s="128"/>
      <c r="N207" s="129"/>
      <c r="O207" s="129"/>
      <c r="P207" s="130"/>
      <c r="Q207" s="128"/>
      <c r="R207" s="129"/>
      <c r="S207" s="129"/>
      <c r="T207" s="130"/>
      <c r="U207" s="128"/>
      <c r="V207" s="129"/>
      <c r="W207" s="131"/>
      <c r="X207" s="129"/>
      <c r="Y207" s="130"/>
      <c r="Z207" s="128"/>
      <c r="AA207" s="129"/>
      <c r="AB207" s="131"/>
      <c r="AC207" s="129"/>
      <c r="AD207" s="130"/>
      <c r="AE207" s="132">
        <f t="shared" si="11"/>
        <v>4</v>
      </c>
    </row>
    <row r="208" ht="15.75" customHeight="1" spans="1:31">
      <c r="A208" s="133">
        <v>233</v>
      </c>
      <c r="B208" s="134"/>
      <c r="C208" s="140" t="s">
        <v>3411</v>
      </c>
      <c r="D208" s="140" t="s">
        <v>3601</v>
      </c>
      <c r="E208" s="135" t="b">
        <v>0</v>
      </c>
      <c r="F208" s="136" t="b">
        <v>1</v>
      </c>
      <c r="G208" s="136"/>
      <c r="H208" s="137" t="b">
        <v>0</v>
      </c>
      <c r="I208" s="135"/>
      <c r="J208" s="136"/>
      <c r="K208" s="136"/>
      <c r="L208" s="137"/>
      <c r="M208" s="135"/>
      <c r="N208" s="136"/>
      <c r="O208" s="136"/>
      <c r="P208" s="137"/>
      <c r="Q208" s="135"/>
      <c r="R208" s="136"/>
      <c r="S208" s="136"/>
      <c r="T208" s="137"/>
      <c r="U208" s="135"/>
      <c r="V208" s="136"/>
      <c r="W208" s="138"/>
      <c r="X208" s="136"/>
      <c r="Y208" s="137"/>
      <c r="Z208" s="135"/>
      <c r="AA208" s="136"/>
      <c r="AB208" s="138"/>
      <c r="AC208" s="136"/>
      <c r="AD208" s="137"/>
      <c r="AE208" s="139">
        <f t="shared" si="11"/>
        <v>1</v>
      </c>
    </row>
    <row r="209" ht="15.75" customHeight="1" spans="1:31">
      <c r="A209" s="125">
        <v>234</v>
      </c>
      <c r="B209" s="126"/>
      <c r="C209" s="126" t="s">
        <v>2</v>
      </c>
      <c r="D209" s="126" t="s">
        <v>3602</v>
      </c>
      <c r="E209" s="128" t="b">
        <v>1</v>
      </c>
      <c r="F209" s="129" t="b">
        <v>1</v>
      </c>
      <c r="G209" s="129" t="b">
        <v>1</v>
      </c>
      <c r="H209" s="130" t="b">
        <v>1</v>
      </c>
      <c r="I209" s="128"/>
      <c r="J209" s="129"/>
      <c r="K209" s="129"/>
      <c r="L209" s="130"/>
      <c r="M209" s="128"/>
      <c r="N209" s="129"/>
      <c r="O209" s="129"/>
      <c r="P209" s="130"/>
      <c r="Q209" s="128"/>
      <c r="R209" s="129"/>
      <c r="S209" s="129"/>
      <c r="T209" s="130"/>
      <c r="U209" s="128"/>
      <c r="V209" s="129"/>
      <c r="W209" s="131"/>
      <c r="X209" s="129"/>
      <c r="Y209" s="130"/>
      <c r="Z209" s="128"/>
      <c r="AA209" s="129"/>
      <c r="AB209" s="131"/>
      <c r="AC209" s="129"/>
      <c r="AD209" s="130"/>
      <c r="AE209" s="132">
        <f t="shared" si="11"/>
        <v>4</v>
      </c>
    </row>
    <row r="210" ht="15.75" customHeight="1" spans="1:31">
      <c r="A210" s="133">
        <v>235</v>
      </c>
      <c r="B210" s="140" t="s">
        <v>3603</v>
      </c>
      <c r="C210" s="134" t="s">
        <v>3411</v>
      </c>
      <c r="D210" s="134" t="s">
        <v>3604</v>
      </c>
      <c r="E210" s="135" t="b">
        <v>0</v>
      </c>
      <c r="F210" s="136" t="b">
        <v>0</v>
      </c>
      <c r="G210" s="136" t="b">
        <v>0</v>
      </c>
      <c r="H210" s="137" t="b">
        <v>0</v>
      </c>
      <c r="I210" s="135"/>
      <c r="J210" s="136"/>
      <c r="K210" s="136"/>
      <c r="L210" s="137"/>
      <c r="M210" s="135"/>
      <c r="N210" s="136"/>
      <c r="O210" s="136"/>
      <c r="P210" s="137"/>
      <c r="Q210" s="135"/>
      <c r="R210" s="136"/>
      <c r="S210" s="136"/>
      <c r="T210" s="137"/>
      <c r="U210" s="135"/>
      <c r="V210" s="136"/>
      <c r="W210" s="138"/>
      <c r="X210" s="136"/>
      <c r="Y210" s="137"/>
      <c r="Z210" s="135"/>
      <c r="AA210" s="136"/>
      <c r="AB210" s="138"/>
      <c r="AC210" s="136"/>
      <c r="AD210" s="137"/>
      <c r="AE210" s="139">
        <f t="shared" si="11"/>
        <v>0</v>
      </c>
    </row>
    <row r="211" ht="15.75" customHeight="1" spans="1:31">
      <c r="A211" s="125">
        <v>236</v>
      </c>
      <c r="C211" s="126" t="s">
        <v>3413</v>
      </c>
      <c r="D211" s="126" t="s">
        <v>3605</v>
      </c>
      <c r="E211" s="128" t="b">
        <v>0</v>
      </c>
      <c r="F211" s="129" t="b">
        <v>0</v>
      </c>
      <c r="G211" s="129" t="b">
        <v>0</v>
      </c>
      <c r="H211" s="130" t="b">
        <v>0</v>
      </c>
      <c r="I211" s="128"/>
      <c r="J211" s="129"/>
      <c r="K211" s="129"/>
      <c r="L211" s="130"/>
      <c r="M211" s="128"/>
      <c r="N211" s="129"/>
      <c r="O211" s="129"/>
      <c r="P211" s="130"/>
      <c r="Q211" s="128"/>
      <c r="R211" s="129"/>
      <c r="S211" s="129"/>
      <c r="T211" s="130"/>
      <c r="U211" s="128"/>
      <c r="V211" s="129"/>
      <c r="W211" s="131"/>
      <c r="X211" s="129"/>
      <c r="Y211" s="130"/>
      <c r="Z211" s="128"/>
      <c r="AA211" s="129"/>
      <c r="AB211" s="131"/>
      <c r="AC211" s="129"/>
      <c r="AD211" s="130"/>
      <c r="AE211" s="132">
        <f t="shared" si="11"/>
        <v>0</v>
      </c>
    </row>
    <row r="212" ht="15.75" customHeight="1" spans="1:31">
      <c r="A212" s="133">
        <v>617</v>
      </c>
      <c r="C212" s="134" t="s">
        <v>3411</v>
      </c>
      <c r="D212" s="134" t="s">
        <v>3606</v>
      </c>
      <c r="E212" s="135" t="b">
        <v>0</v>
      </c>
      <c r="F212" s="136" t="b">
        <v>0</v>
      </c>
      <c r="G212" s="136" t="b">
        <v>0</v>
      </c>
      <c r="H212" s="137" t="b">
        <v>0</v>
      </c>
      <c r="I212" s="135"/>
      <c r="J212" s="136"/>
      <c r="K212" s="136"/>
      <c r="L212" s="137"/>
      <c r="M212" s="135"/>
      <c r="N212" s="136"/>
      <c r="O212" s="136"/>
      <c r="P212" s="137"/>
      <c r="Q212" s="135"/>
      <c r="R212" s="136"/>
      <c r="S212" s="136"/>
      <c r="T212" s="137"/>
      <c r="U212" s="135"/>
      <c r="V212" s="136"/>
      <c r="W212" s="138"/>
      <c r="X212" s="136"/>
      <c r="Y212" s="137"/>
      <c r="Z212" s="135"/>
      <c r="AA212" s="136"/>
      <c r="AB212" s="138"/>
      <c r="AC212" s="136"/>
      <c r="AD212" s="137"/>
      <c r="AE212" s="139">
        <f t="shared" si="11"/>
        <v>0</v>
      </c>
    </row>
    <row r="213" ht="15.75" customHeight="1" spans="1:31">
      <c r="A213" s="125">
        <v>237</v>
      </c>
      <c r="C213" s="126" t="s">
        <v>2</v>
      </c>
      <c r="D213" s="126" t="s">
        <v>3275</v>
      </c>
      <c r="E213" s="128" t="b">
        <v>0</v>
      </c>
      <c r="F213" s="129" t="b">
        <v>0</v>
      </c>
      <c r="G213" s="129" t="b">
        <v>0</v>
      </c>
      <c r="H213" s="130" t="b">
        <v>0</v>
      </c>
      <c r="I213" s="128"/>
      <c r="J213" s="129"/>
      <c r="K213" s="129"/>
      <c r="L213" s="130"/>
      <c r="M213" s="128"/>
      <c r="N213" s="129"/>
      <c r="O213" s="129"/>
      <c r="P213" s="130"/>
      <c r="Q213" s="128"/>
      <c r="R213" s="129"/>
      <c r="S213" s="129"/>
      <c r="T213" s="130"/>
      <c r="U213" s="128"/>
      <c r="V213" s="129"/>
      <c r="W213" s="131"/>
      <c r="X213" s="129"/>
      <c r="Y213" s="130"/>
      <c r="Z213" s="128"/>
      <c r="AA213" s="129"/>
      <c r="AB213" s="131"/>
      <c r="AC213" s="129"/>
      <c r="AD213" s="130"/>
      <c r="AE213" s="132">
        <f t="shared" si="11"/>
        <v>0</v>
      </c>
    </row>
    <row r="214" ht="15.75" customHeight="1" spans="1:31">
      <c r="A214" s="133">
        <v>238</v>
      </c>
      <c r="C214" s="134" t="s">
        <v>3</v>
      </c>
      <c r="D214" s="134" t="s">
        <v>733</v>
      </c>
      <c r="E214" s="135" t="b">
        <v>0</v>
      </c>
      <c r="F214" s="136" t="b">
        <v>0</v>
      </c>
      <c r="G214" s="136" t="b">
        <v>0</v>
      </c>
      <c r="H214" s="137" t="b">
        <v>0</v>
      </c>
      <c r="I214" s="135"/>
      <c r="J214" s="136"/>
      <c r="K214" s="136"/>
      <c r="L214" s="137"/>
      <c r="M214" s="135"/>
      <c r="N214" s="136"/>
      <c r="O214" s="136"/>
      <c r="P214" s="137"/>
      <c r="Q214" s="135"/>
      <c r="R214" s="136"/>
      <c r="S214" s="136"/>
      <c r="T214" s="137"/>
      <c r="U214" s="135"/>
      <c r="V214" s="136"/>
      <c r="W214" s="138"/>
      <c r="X214" s="136"/>
      <c r="Y214" s="137"/>
      <c r="Z214" s="135"/>
      <c r="AA214" s="136"/>
      <c r="AB214" s="138"/>
      <c r="AC214" s="136"/>
      <c r="AD214" s="137"/>
      <c r="AE214" s="139">
        <f t="shared" si="11"/>
        <v>0</v>
      </c>
    </row>
    <row r="215" ht="15.75" customHeight="1" spans="1:31">
      <c r="A215" s="125">
        <v>239</v>
      </c>
      <c r="C215" s="126" t="s">
        <v>2</v>
      </c>
      <c r="D215" s="126" t="s">
        <v>3607</v>
      </c>
      <c r="E215" s="128" t="b">
        <v>1</v>
      </c>
      <c r="F215" s="129" t="b">
        <v>1</v>
      </c>
      <c r="G215" s="129" t="b">
        <v>1</v>
      </c>
      <c r="H215" s="130" t="b">
        <v>1</v>
      </c>
      <c r="I215" s="128"/>
      <c r="J215" s="129"/>
      <c r="K215" s="129"/>
      <c r="L215" s="130"/>
      <c r="M215" s="128"/>
      <c r="N215" s="129"/>
      <c r="O215" s="129"/>
      <c r="P215" s="130"/>
      <c r="Q215" s="128"/>
      <c r="R215" s="129"/>
      <c r="S215" s="129"/>
      <c r="T215" s="130"/>
      <c r="U215" s="128"/>
      <c r="V215" s="129"/>
      <c r="W215" s="131"/>
      <c r="X215" s="129"/>
      <c r="Y215" s="130"/>
      <c r="Z215" s="128"/>
      <c r="AA215" s="129"/>
      <c r="AB215" s="131"/>
      <c r="AC215" s="129"/>
      <c r="AD215" s="130"/>
      <c r="AE215" s="132">
        <f t="shared" si="11"/>
        <v>4</v>
      </c>
    </row>
    <row r="216" ht="15.75" customHeight="1" spans="1:31">
      <c r="A216" s="133">
        <v>240</v>
      </c>
      <c r="C216" s="134"/>
      <c r="D216" s="134" t="s">
        <v>3608</v>
      </c>
      <c r="E216" s="135" t="b">
        <v>1</v>
      </c>
      <c r="F216" s="136" t="b">
        <v>0</v>
      </c>
      <c r="G216" s="136" t="b">
        <v>0</v>
      </c>
      <c r="H216" s="137" t="b">
        <v>0</v>
      </c>
      <c r="I216" s="135"/>
      <c r="J216" s="136"/>
      <c r="K216" s="136"/>
      <c r="L216" s="137"/>
      <c r="M216" s="135"/>
      <c r="N216" s="136"/>
      <c r="O216" s="136"/>
      <c r="P216" s="137"/>
      <c r="Q216" s="135"/>
      <c r="R216" s="136"/>
      <c r="S216" s="136"/>
      <c r="T216" s="137"/>
      <c r="U216" s="135"/>
      <c r="V216" s="136"/>
      <c r="W216" s="138"/>
      <c r="X216" s="136"/>
      <c r="Y216" s="137"/>
      <c r="Z216" s="135"/>
      <c r="AA216" s="136"/>
      <c r="AB216" s="138"/>
      <c r="AC216" s="136"/>
      <c r="AD216" s="137"/>
      <c r="AE216" s="139">
        <f t="shared" si="11"/>
        <v>1</v>
      </c>
    </row>
    <row r="217" ht="15.75" customHeight="1" spans="1:31">
      <c r="A217" s="125">
        <v>242</v>
      </c>
      <c r="C217" s="126" t="s">
        <v>3</v>
      </c>
      <c r="D217" s="126" t="s">
        <v>3609</v>
      </c>
      <c r="E217" s="131" t="b">
        <v>0</v>
      </c>
      <c r="F217" s="131" t="b">
        <v>1</v>
      </c>
      <c r="G217" s="131" t="b">
        <v>1</v>
      </c>
      <c r="H217" s="131" t="b">
        <v>1</v>
      </c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  <c r="AC217" s="131"/>
      <c r="AD217" s="131"/>
      <c r="AE217" s="132">
        <f t="shared" si="11"/>
        <v>3</v>
      </c>
    </row>
    <row r="218" ht="15.75" customHeight="1" spans="1:31">
      <c r="A218" s="133">
        <v>243</v>
      </c>
      <c r="C218" s="134" t="s">
        <v>3411</v>
      </c>
      <c r="D218" s="134" t="s">
        <v>3610</v>
      </c>
      <c r="E218" s="138" t="b">
        <v>1</v>
      </c>
      <c r="F218" s="138" t="b">
        <v>0</v>
      </c>
      <c r="G218" s="138" t="b">
        <v>1</v>
      </c>
      <c r="H218" s="138" t="b">
        <v>0</v>
      </c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  <c r="AE218" s="139">
        <f t="shared" si="11"/>
        <v>2</v>
      </c>
    </row>
    <row r="219" ht="15.75" customHeight="1" spans="1:31">
      <c r="A219" s="125">
        <v>244</v>
      </c>
      <c r="C219" s="126" t="s">
        <v>2</v>
      </c>
      <c r="D219" s="126" t="s">
        <v>3611</v>
      </c>
      <c r="E219" s="131" t="b">
        <v>0</v>
      </c>
      <c r="F219" s="131" t="b">
        <v>1</v>
      </c>
      <c r="G219" s="131" t="b">
        <v>0</v>
      </c>
      <c r="H219" s="131" t="b">
        <v>1</v>
      </c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  <c r="AC219" s="131"/>
      <c r="AD219" s="131"/>
      <c r="AE219" s="132">
        <f t="shared" si="11"/>
        <v>2</v>
      </c>
    </row>
    <row r="220" ht="15.75" customHeight="1" spans="1:31">
      <c r="A220" s="133">
        <v>245</v>
      </c>
      <c r="C220" s="134" t="s">
        <v>3411</v>
      </c>
      <c r="D220" s="134" t="s">
        <v>3612</v>
      </c>
      <c r="E220" s="135" t="b">
        <v>1</v>
      </c>
      <c r="F220" s="136" t="b">
        <v>1</v>
      </c>
      <c r="G220" s="136" t="b">
        <v>1</v>
      </c>
      <c r="H220" s="137" t="b">
        <v>1</v>
      </c>
      <c r="I220" s="135"/>
      <c r="J220" s="136"/>
      <c r="K220" s="136"/>
      <c r="L220" s="137"/>
      <c r="M220" s="135"/>
      <c r="N220" s="136"/>
      <c r="O220" s="136"/>
      <c r="P220" s="137"/>
      <c r="Q220" s="135"/>
      <c r="R220" s="136"/>
      <c r="S220" s="136"/>
      <c r="T220" s="137"/>
      <c r="U220" s="135"/>
      <c r="V220" s="136"/>
      <c r="W220" s="138"/>
      <c r="X220" s="136"/>
      <c r="Y220" s="137"/>
      <c r="Z220" s="135"/>
      <c r="AA220" s="136"/>
      <c r="AB220" s="138"/>
      <c r="AC220" s="136"/>
      <c r="AD220" s="137"/>
      <c r="AE220" s="139">
        <f t="shared" si="11"/>
        <v>4</v>
      </c>
    </row>
    <row r="221" ht="15.75" customHeight="1" spans="1:31">
      <c r="A221" s="125">
        <v>246</v>
      </c>
      <c r="B221" s="126"/>
      <c r="C221" s="126" t="s">
        <v>2</v>
      </c>
      <c r="D221" s="126" t="s">
        <v>904</v>
      </c>
      <c r="E221" s="128" t="b">
        <v>1</v>
      </c>
      <c r="F221" s="129" t="b">
        <v>1</v>
      </c>
      <c r="G221" s="129" t="b">
        <v>1</v>
      </c>
      <c r="H221" s="130" t="b">
        <v>1</v>
      </c>
      <c r="I221" s="128"/>
      <c r="J221" s="129"/>
      <c r="K221" s="129"/>
      <c r="L221" s="130"/>
      <c r="M221" s="128"/>
      <c r="N221" s="129"/>
      <c r="O221" s="129"/>
      <c r="P221" s="130"/>
      <c r="Q221" s="128"/>
      <c r="R221" s="129"/>
      <c r="S221" s="129"/>
      <c r="T221" s="130"/>
      <c r="U221" s="128"/>
      <c r="V221" s="129"/>
      <c r="W221" s="131"/>
      <c r="X221" s="129"/>
      <c r="Y221" s="130"/>
      <c r="Z221" s="128"/>
      <c r="AA221" s="129"/>
      <c r="AB221" s="131"/>
      <c r="AC221" s="129"/>
      <c r="AD221" s="130"/>
      <c r="AE221" s="132">
        <f t="shared" si="11"/>
        <v>4</v>
      </c>
    </row>
    <row r="222" ht="15.75" customHeight="1" spans="1:31">
      <c r="A222" s="133">
        <v>247</v>
      </c>
      <c r="C222" s="134"/>
      <c r="D222" s="134" t="s">
        <v>3613</v>
      </c>
      <c r="E222" s="138" t="b">
        <v>1</v>
      </c>
      <c r="F222" s="138" t="b">
        <v>1</v>
      </c>
      <c r="G222" s="138" t="b">
        <v>1</v>
      </c>
      <c r="H222" s="138" t="b">
        <v>1</v>
      </c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  <c r="AD222" s="138"/>
      <c r="AE222" s="139">
        <f t="shared" si="11"/>
        <v>4</v>
      </c>
    </row>
    <row r="223" ht="15.75" customHeight="1" spans="1:31">
      <c r="A223" s="125">
        <v>248</v>
      </c>
      <c r="C223" s="126" t="s">
        <v>3</v>
      </c>
      <c r="D223" s="126" t="s">
        <v>813</v>
      </c>
      <c r="E223" s="128" t="b">
        <v>1</v>
      </c>
      <c r="F223" s="129" t="b">
        <v>1</v>
      </c>
      <c r="G223" s="129" t="b">
        <v>1</v>
      </c>
      <c r="H223" s="130" t="b">
        <v>1</v>
      </c>
      <c r="I223" s="128"/>
      <c r="J223" s="129"/>
      <c r="K223" s="129"/>
      <c r="L223" s="130"/>
      <c r="M223" s="128"/>
      <c r="N223" s="129"/>
      <c r="O223" s="129"/>
      <c r="P223" s="130"/>
      <c r="Q223" s="128"/>
      <c r="R223" s="129"/>
      <c r="S223" s="129"/>
      <c r="T223" s="130"/>
      <c r="U223" s="128"/>
      <c r="V223" s="129"/>
      <c r="W223" s="131"/>
      <c r="X223" s="129"/>
      <c r="Y223" s="130"/>
      <c r="Z223" s="128"/>
      <c r="AA223" s="129"/>
      <c r="AB223" s="131"/>
      <c r="AC223" s="129"/>
      <c r="AD223" s="130"/>
      <c r="AE223" s="132">
        <f t="shared" si="11"/>
        <v>4</v>
      </c>
    </row>
    <row r="224" ht="15.75" customHeight="1" spans="1:31">
      <c r="A224" s="133">
        <v>249</v>
      </c>
      <c r="C224" s="134" t="s">
        <v>2</v>
      </c>
      <c r="D224" s="134" t="s">
        <v>3614</v>
      </c>
      <c r="E224" s="135" t="b">
        <v>1</v>
      </c>
      <c r="F224" s="136" t="b">
        <v>1</v>
      </c>
      <c r="G224" s="136" t="b">
        <v>1</v>
      </c>
      <c r="H224" s="137" t="b">
        <v>1</v>
      </c>
      <c r="I224" s="135"/>
      <c r="J224" s="136"/>
      <c r="K224" s="136"/>
      <c r="L224" s="137"/>
      <c r="M224" s="135"/>
      <c r="N224" s="136"/>
      <c r="O224" s="136"/>
      <c r="P224" s="137"/>
      <c r="Q224" s="135"/>
      <c r="R224" s="136"/>
      <c r="S224" s="136"/>
      <c r="T224" s="137"/>
      <c r="U224" s="135"/>
      <c r="V224" s="136"/>
      <c r="W224" s="138"/>
      <c r="X224" s="136"/>
      <c r="Y224" s="137"/>
      <c r="Z224" s="135"/>
      <c r="AA224" s="136"/>
      <c r="AB224" s="138"/>
      <c r="AC224" s="136"/>
      <c r="AD224" s="137"/>
      <c r="AE224" s="139">
        <f t="shared" si="11"/>
        <v>4</v>
      </c>
    </row>
    <row r="225" ht="15.75" customHeight="1" spans="1:31">
      <c r="A225" s="125">
        <v>251</v>
      </c>
      <c r="B225" s="126"/>
      <c r="C225" s="126" t="s">
        <v>2</v>
      </c>
      <c r="D225" s="126" t="s">
        <v>3615</v>
      </c>
      <c r="E225" s="131" t="b">
        <v>1</v>
      </c>
      <c r="F225" s="131" t="b">
        <v>1</v>
      </c>
      <c r="G225" s="131" t="b">
        <v>1</v>
      </c>
      <c r="H225" s="131" t="b">
        <v>1</v>
      </c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  <c r="AC225" s="131"/>
      <c r="AD225" s="131"/>
      <c r="AE225" s="132">
        <f t="shared" si="11"/>
        <v>4</v>
      </c>
    </row>
    <row r="226" ht="15.75" customHeight="1" spans="1:31">
      <c r="A226" s="133">
        <v>252</v>
      </c>
      <c r="B226" s="134"/>
      <c r="C226" s="134" t="s">
        <v>3</v>
      </c>
      <c r="D226" s="134" t="s">
        <v>3616</v>
      </c>
      <c r="E226" s="135" t="b">
        <v>1</v>
      </c>
      <c r="F226" s="136" t="b">
        <v>1</v>
      </c>
      <c r="G226" s="136" t="b">
        <v>1</v>
      </c>
      <c r="H226" s="137" t="b">
        <v>1</v>
      </c>
      <c r="I226" s="135"/>
      <c r="J226" s="136"/>
      <c r="K226" s="136"/>
      <c r="L226" s="137"/>
      <c r="M226" s="135"/>
      <c r="N226" s="136"/>
      <c r="O226" s="136"/>
      <c r="P226" s="137"/>
      <c r="Q226" s="135"/>
      <c r="R226" s="136"/>
      <c r="S226" s="136"/>
      <c r="T226" s="137"/>
      <c r="U226" s="135"/>
      <c r="V226" s="136"/>
      <c r="W226" s="138"/>
      <c r="X226" s="136"/>
      <c r="Y226" s="137"/>
      <c r="Z226" s="135"/>
      <c r="AA226" s="136"/>
      <c r="AB226" s="138"/>
      <c r="AC226" s="136"/>
      <c r="AD226" s="137"/>
      <c r="AE226" s="139">
        <f t="shared" si="11"/>
        <v>4</v>
      </c>
    </row>
    <row r="227" ht="15.75" customHeight="1" spans="1:31">
      <c r="A227" s="125">
        <v>253</v>
      </c>
      <c r="B227" s="126"/>
      <c r="C227" s="126" t="s">
        <v>2</v>
      </c>
      <c r="D227" s="126" t="s">
        <v>3617</v>
      </c>
      <c r="E227" s="131" t="b">
        <v>1</v>
      </c>
      <c r="F227" s="131" t="b">
        <v>0</v>
      </c>
      <c r="G227" s="131" t="b">
        <v>1</v>
      </c>
      <c r="H227" s="131" t="b">
        <v>1</v>
      </c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  <c r="AC227" s="131"/>
      <c r="AD227" s="131"/>
      <c r="AE227" s="132">
        <f t="shared" si="11"/>
        <v>3</v>
      </c>
    </row>
    <row r="228" ht="15.75" customHeight="1" spans="1:31">
      <c r="A228" s="133">
        <v>255</v>
      </c>
      <c r="B228" s="134"/>
      <c r="C228" s="134" t="s">
        <v>3411</v>
      </c>
      <c r="D228" s="134" t="s">
        <v>3618</v>
      </c>
      <c r="E228" s="135" t="b">
        <v>0</v>
      </c>
      <c r="F228" s="136" t="b">
        <v>0</v>
      </c>
      <c r="G228" s="136" t="b">
        <v>1</v>
      </c>
      <c r="H228" s="137" t="b">
        <v>0</v>
      </c>
      <c r="I228" s="135"/>
      <c r="J228" s="136"/>
      <c r="K228" s="136"/>
      <c r="L228" s="137"/>
      <c r="M228" s="135"/>
      <c r="N228" s="136"/>
      <c r="O228" s="136"/>
      <c r="P228" s="137"/>
      <c r="Q228" s="135"/>
      <c r="R228" s="136"/>
      <c r="S228" s="136"/>
      <c r="T228" s="137"/>
      <c r="U228" s="135"/>
      <c r="V228" s="136"/>
      <c r="W228" s="138"/>
      <c r="X228" s="136"/>
      <c r="Y228" s="137"/>
      <c r="Z228" s="135"/>
      <c r="AA228" s="136"/>
      <c r="AB228" s="138"/>
      <c r="AC228" s="136"/>
      <c r="AD228" s="137"/>
      <c r="AE228" s="139">
        <f t="shared" si="11"/>
        <v>1</v>
      </c>
    </row>
    <row r="229" ht="15.75" customHeight="1" spans="1:31">
      <c r="A229" s="125">
        <v>256</v>
      </c>
      <c r="B229" s="126"/>
      <c r="C229" s="127" t="s">
        <v>3413</v>
      </c>
      <c r="D229" s="126" t="s">
        <v>3619</v>
      </c>
      <c r="E229" s="128" t="b">
        <v>1</v>
      </c>
      <c r="F229" s="129" t="b">
        <v>1</v>
      </c>
      <c r="G229" s="129" t="b">
        <v>1</v>
      </c>
      <c r="H229" s="130" t="b">
        <v>1</v>
      </c>
      <c r="I229" s="128"/>
      <c r="J229" s="129"/>
      <c r="K229" s="129"/>
      <c r="L229" s="130"/>
      <c r="M229" s="128"/>
      <c r="N229" s="129"/>
      <c r="O229" s="129"/>
      <c r="P229" s="130"/>
      <c r="Q229" s="128"/>
      <c r="R229" s="129"/>
      <c r="S229" s="129"/>
      <c r="T229" s="130"/>
      <c r="U229" s="128"/>
      <c r="V229" s="129"/>
      <c r="W229" s="131"/>
      <c r="X229" s="129"/>
      <c r="Y229" s="130"/>
      <c r="Z229" s="128"/>
      <c r="AA229" s="129"/>
      <c r="AB229" s="131"/>
      <c r="AC229" s="129"/>
      <c r="AD229" s="130"/>
      <c r="AE229" s="132">
        <f t="shared" si="11"/>
        <v>4</v>
      </c>
    </row>
    <row r="230" ht="15.75" customHeight="1" spans="1:31">
      <c r="A230" s="133">
        <v>257</v>
      </c>
      <c r="B230" s="134"/>
      <c r="C230" s="140" t="s">
        <v>3413</v>
      </c>
      <c r="D230" s="134" t="s">
        <v>3620</v>
      </c>
      <c r="E230" s="135" t="b">
        <v>1</v>
      </c>
      <c r="F230" s="136" t="b">
        <v>1</v>
      </c>
      <c r="G230" s="136" t="b">
        <v>1</v>
      </c>
      <c r="H230" s="137" t="b">
        <v>1</v>
      </c>
      <c r="I230" s="135"/>
      <c r="J230" s="136"/>
      <c r="K230" s="136"/>
      <c r="L230" s="137"/>
      <c r="M230" s="135"/>
      <c r="N230" s="136"/>
      <c r="O230" s="136"/>
      <c r="P230" s="137"/>
      <c r="Q230" s="135"/>
      <c r="R230" s="136"/>
      <c r="S230" s="136"/>
      <c r="T230" s="137"/>
      <c r="U230" s="135"/>
      <c r="V230" s="136"/>
      <c r="W230" s="138"/>
      <c r="X230" s="136"/>
      <c r="Y230" s="137"/>
      <c r="Z230" s="135"/>
      <c r="AA230" s="136"/>
      <c r="AB230" s="138"/>
      <c r="AC230" s="136"/>
      <c r="AD230" s="137"/>
      <c r="AE230" s="139">
        <f t="shared" si="11"/>
        <v>4</v>
      </c>
    </row>
    <row r="231" ht="15.75" customHeight="1" spans="1:31">
      <c r="A231" s="125">
        <v>258</v>
      </c>
      <c r="B231" s="126"/>
      <c r="C231" s="126" t="s">
        <v>3411</v>
      </c>
      <c r="D231" s="126" t="s">
        <v>3621</v>
      </c>
      <c r="E231" s="128" t="b">
        <v>0</v>
      </c>
      <c r="F231" s="129" t="b">
        <v>0</v>
      </c>
      <c r="G231" s="129" t="b">
        <v>0</v>
      </c>
      <c r="H231" s="130" t="b">
        <v>1</v>
      </c>
      <c r="I231" s="128"/>
      <c r="J231" s="129"/>
      <c r="K231" s="129"/>
      <c r="L231" s="130"/>
      <c r="M231" s="128"/>
      <c r="N231" s="129"/>
      <c r="O231" s="129"/>
      <c r="P231" s="130"/>
      <c r="Q231" s="128"/>
      <c r="R231" s="129"/>
      <c r="S231" s="129"/>
      <c r="T231" s="130"/>
      <c r="U231" s="128"/>
      <c r="V231" s="129"/>
      <c r="W231" s="131"/>
      <c r="X231" s="129"/>
      <c r="Y231" s="130"/>
      <c r="Z231" s="128"/>
      <c r="AA231" s="129"/>
      <c r="AB231" s="131"/>
      <c r="AC231" s="129"/>
      <c r="AD231" s="130"/>
      <c r="AE231" s="132">
        <f t="shared" si="11"/>
        <v>1</v>
      </c>
    </row>
    <row r="232" ht="15.75" customHeight="1" spans="1:31">
      <c r="A232" s="133">
        <v>259</v>
      </c>
      <c r="B232" s="134"/>
      <c r="C232" s="134" t="s">
        <v>2</v>
      </c>
      <c r="D232" s="134" t="s">
        <v>2551</v>
      </c>
      <c r="E232" s="135" t="b">
        <v>0</v>
      </c>
      <c r="F232" s="136" t="b">
        <v>0</v>
      </c>
      <c r="G232" s="136" t="b">
        <v>0</v>
      </c>
      <c r="H232" s="137" t="b">
        <v>1</v>
      </c>
      <c r="I232" s="135"/>
      <c r="J232" s="136"/>
      <c r="K232" s="136"/>
      <c r="L232" s="137"/>
      <c r="M232" s="135"/>
      <c r="N232" s="136"/>
      <c r="O232" s="136"/>
      <c r="P232" s="137"/>
      <c r="Q232" s="135"/>
      <c r="R232" s="136"/>
      <c r="S232" s="136"/>
      <c r="T232" s="137"/>
      <c r="U232" s="135"/>
      <c r="V232" s="136"/>
      <c r="W232" s="138"/>
      <c r="X232" s="136"/>
      <c r="Y232" s="137"/>
      <c r="Z232" s="135"/>
      <c r="AA232" s="136"/>
      <c r="AB232" s="138"/>
      <c r="AC232" s="136"/>
      <c r="AD232" s="137"/>
      <c r="AE232" s="139">
        <f t="shared" si="11"/>
        <v>1</v>
      </c>
    </row>
    <row r="233" ht="15.75" customHeight="1" spans="1:31">
      <c r="A233" s="125">
        <v>260</v>
      </c>
      <c r="B233" s="126"/>
      <c r="C233" s="126" t="s">
        <v>3411</v>
      </c>
      <c r="D233" s="126" t="s">
        <v>3622</v>
      </c>
      <c r="E233" s="128" t="b">
        <v>0</v>
      </c>
      <c r="F233" s="129" t="b">
        <v>0</v>
      </c>
      <c r="G233" s="129" t="b">
        <v>0</v>
      </c>
      <c r="H233" s="130" t="b">
        <v>0</v>
      </c>
      <c r="I233" s="128"/>
      <c r="J233" s="129"/>
      <c r="K233" s="129"/>
      <c r="L233" s="130"/>
      <c r="M233" s="128"/>
      <c r="N233" s="129"/>
      <c r="O233" s="129"/>
      <c r="P233" s="130"/>
      <c r="Q233" s="128"/>
      <c r="R233" s="129"/>
      <c r="S233" s="129"/>
      <c r="T233" s="130"/>
      <c r="U233" s="128"/>
      <c r="V233" s="129"/>
      <c r="W233" s="131"/>
      <c r="X233" s="129"/>
      <c r="Y233" s="130"/>
      <c r="Z233" s="128"/>
      <c r="AA233" s="129"/>
      <c r="AB233" s="131"/>
      <c r="AC233" s="129"/>
      <c r="AD233" s="130"/>
      <c r="AE233" s="132">
        <f t="shared" si="11"/>
        <v>0</v>
      </c>
    </row>
    <row r="234" ht="15.75" customHeight="1" spans="1:31">
      <c r="A234" s="133">
        <v>261</v>
      </c>
      <c r="B234" s="134"/>
      <c r="C234" s="134" t="s">
        <v>3</v>
      </c>
      <c r="D234" s="134" t="s">
        <v>839</v>
      </c>
      <c r="E234" s="135" t="b">
        <v>1</v>
      </c>
      <c r="F234" s="136" t="b">
        <v>1</v>
      </c>
      <c r="G234" s="136" t="b">
        <v>1</v>
      </c>
      <c r="H234" s="137" t="b">
        <v>1</v>
      </c>
      <c r="I234" s="135"/>
      <c r="J234" s="136"/>
      <c r="K234" s="136"/>
      <c r="L234" s="137"/>
      <c r="M234" s="135"/>
      <c r="N234" s="136"/>
      <c r="O234" s="136"/>
      <c r="P234" s="137"/>
      <c r="Q234" s="135"/>
      <c r="R234" s="136"/>
      <c r="S234" s="136"/>
      <c r="T234" s="137"/>
      <c r="U234" s="135"/>
      <c r="V234" s="136"/>
      <c r="W234" s="138"/>
      <c r="X234" s="136"/>
      <c r="Y234" s="137"/>
      <c r="Z234" s="135"/>
      <c r="AA234" s="136"/>
      <c r="AB234" s="138"/>
      <c r="AC234" s="136"/>
      <c r="AD234" s="137"/>
      <c r="AE234" s="139">
        <f t="shared" si="11"/>
        <v>4</v>
      </c>
    </row>
    <row r="235" ht="15.75" customHeight="1" spans="1:31">
      <c r="A235" s="125">
        <v>262</v>
      </c>
      <c r="B235" s="126"/>
      <c r="C235" s="126" t="s">
        <v>2</v>
      </c>
      <c r="D235" s="126" t="s">
        <v>1874</v>
      </c>
      <c r="E235" s="128" t="b">
        <v>1</v>
      </c>
      <c r="F235" s="129" t="b">
        <v>1</v>
      </c>
      <c r="G235" s="129" t="b">
        <v>1</v>
      </c>
      <c r="H235" s="130" t="b">
        <v>1</v>
      </c>
      <c r="I235" s="128"/>
      <c r="J235" s="129"/>
      <c r="K235" s="129"/>
      <c r="L235" s="130"/>
      <c r="M235" s="128"/>
      <c r="N235" s="129"/>
      <c r="O235" s="129"/>
      <c r="P235" s="130"/>
      <c r="Q235" s="128"/>
      <c r="R235" s="129"/>
      <c r="S235" s="129"/>
      <c r="T235" s="130"/>
      <c r="U235" s="128"/>
      <c r="V235" s="129"/>
      <c r="W235" s="131"/>
      <c r="X235" s="129"/>
      <c r="Y235" s="130"/>
      <c r="Z235" s="128"/>
      <c r="AA235" s="129"/>
      <c r="AB235" s="131"/>
      <c r="AC235" s="129"/>
      <c r="AD235" s="130"/>
      <c r="AE235" s="132">
        <f t="shared" si="11"/>
        <v>4</v>
      </c>
    </row>
    <row r="236" ht="15.75" customHeight="1" spans="1:31">
      <c r="A236" s="133">
        <v>263</v>
      </c>
      <c r="B236" s="134"/>
      <c r="C236" s="134" t="s">
        <v>3411</v>
      </c>
      <c r="D236" s="134" t="s">
        <v>3623</v>
      </c>
      <c r="E236" s="135" t="b">
        <v>1</v>
      </c>
      <c r="F236" s="136" t="b">
        <v>1</v>
      </c>
      <c r="G236" s="136" t="b">
        <v>1</v>
      </c>
      <c r="H236" s="137" t="b">
        <v>1</v>
      </c>
      <c r="I236" s="135"/>
      <c r="J236" s="136"/>
      <c r="K236" s="136"/>
      <c r="L236" s="137"/>
      <c r="M236" s="135"/>
      <c r="N236" s="136"/>
      <c r="O236" s="136"/>
      <c r="P236" s="137"/>
      <c r="Q236" s="135"/>
      <c r="R236" s="136"/>
      <c r="S236" s="136"/>
      <c r="T236" s="137"/>
      <c r="U236" s="135"/>
      <c r="V236" s="136"/>
      <c r="W236" s="138"/>
      <c r="X236" s="136"/>
      <c r="Y236" s="137"/>
      <c r="Z236" s="135"/>
      <c r="AA236" s="136"/>
      <c r="AB236" s="138"/>
      <c r="AC236" s="136"/>
      <c r="AD236" s="137"/>
      <c r="AE236" s="139">
        <f t="shared" si="11"/>
        <v>4</v>
      </c>
    </row>
    <row r="237" ht="15.75" customHeight="1" spans="1:31">
      <c r="A237" s="125">
        <v>264</v>
      </c>
      <c r="B237" s="126"/>
      <c r="C237" s="126" t="s">
        <v>2</v>
      </c>
      <c r="D237" s="126" t="s">
        <v>3624</v>
      </c>
      <c r="E237" s="128" t="b">
        <v>0</v>
      </c>
      <c r="F237" s="129" t="b">
        <v>1</v>
      </c>
      <c r="G237" s="129" t="b">
        <v>0</v>
      </c>
      <c r="H237" s="130" t="b">
        <v>1</v>
      </c>
      <c r="I237" s="128"/>
      <c r="J237" s="129"/>
      <c r="K237" s="129"/>
      <c r="L237" s="130"/>
      <c r="M237" s="128"/>
      <c r="N237" s="129"/>
      <c r="O237" s="129"/>
      <c r="P237" s="130"/>
      <c r="Q237" s="128"/>
      <c r="R237" s="129"/>
      <c r="S237" s="129"/>
      <c r="T237" s="130"/>
      <c r="U237" s="128"/>
      <c r="V237" s="129"/>
      <c r="W237" s="131"/>
      <c r="X237" s="129"/>
      <c r="Y237" s="130"/>
      <c r="Z237" s="128"/>
      <c r="AA237" s="129"/>
      <c r="AB237" s="131"/>
      <c r="AC237" s="129"/>
      <c r="AD237" s="130"/>
      <c r="AE237" s="132">
        <f t="shared" si="11"/>
        <v>2</v>
      </c>
    </row>
    <row r="238" ht="15.75" customHeight="1" spans="1:31">
      <c r="A238" s="133">
        <v>265</v>
      </c>
      <c r="C238" s="134"/>
      <c r="D238" s="134" t="s">
        <v>3625</v>
      </c>
      <c r="E238" s="135" t="b">
        <v>0</v>
      </c>
      <c r="F238" s="136" t="b">
        <v>1</v>
      </c>
      <c r="G238" s="136" t="b">
        <v>0</v>
      </c>
      <c r="H238" s="137" t="b">
        <v>0</v>
      </c>
      <c r="I238" s="135"/>
      <c r="J238" s="136"/>
      <c r="K238" s="136"/>
      <c r="L238" s="137"/>
      <c r="M238" s="135"/>
      <c r="N238" s="136"/>
      <c r="O238" s="136"/>
      <c r="P238" s="137"/>
      <c r="Q238" s="135"/>
      <c r="R238" s="136"/>
      <c r="S238" s="136"/>
      <c r="T238" s="137"/>
      <c r="U238" s="135"/>
      <c r="V238" s="136"/>
      <c r="W238" s="138"/>
      <c r="X238" s="136"/>
      <c r="Y238" s="137"/>
      <c r="Z238" s="135"/>
      <c r="AA238" s="136"/>
      <c r="AB238" s="138"/>
      <c r="AC238" s="136"/>
      <c r="AD238" s="137"/>
      <c r="AE238" s="139">
        <f t="shared" si="11"/>
        <v>1</v>
      </c>
    </row>
    <row r="239" ht="15.75" customHeight="1" spans="1:31">
      <c r="A239" s="125">
        <v>266</v>
      </c>
      <c r="C239" s="126" t="s">
        <v>3411</v>
      </c>
      <c r="D239" s="126" t="s">
        <v>3626</v>
      </c>
      <c r="E239" s="128" t="b">
        <v>1</v>
      </c>
      <c r="F239" s="129" t="b">
        <v>1</v>
      </c>
      <c r="G239" s="129" t="b">
        <v>0</v>
      </c>
      <c r="H239" s="130" t="b">
        <v>0</v>
      </c>
      <c r="I239" s="128"/>
      <c r="J239" s="129"/>
      <c r="K239" s="129"/>
      <c r="L239" s="130"/>
      <c r="M239" s="128"/>
      <c r="N239" s="129"/>
      <c r="O239" s="129"/>
      <c r="P239" s="130"/>
      <c r="Q239" s="128"/>
      <c r="R239" s="129"/>
      <c r="S239" s="129"/>
      <c r="T239" s="130"/>
      <c r="U239" s="128"/>
      <c r="V239" s="129"/>
      <c r="W239" s="131"/>
      <c r="X239" s="129"/>
      <c r="Y239" s="130"/>
      <c r="Z239" s="128"/>
      <c r="AA239" s="129"/>
      <c r="AB239" s="131"/>
      <c r="AC239" s="129"/>
      <c r="AD239" s="130"/>
      <c r="AE239" s="132">
        <f t="shared" si="11"/>
        <v>2</v>
      </c>
    </row>
    <row r="240" ht="15.75" customHeight="1" spans="1:31">
      <c r="A240" s="133">
        <v>267</v>
      </c>
      <c r="B240" s="134"/>
      <c r="C240" s="134"/>
      <c r="D240" s="134" t="s">
        <v>3627</v>
      </c>
      <c r="E240" s="135" t="b">
        <v>0</v>
      </c>
      <c r="F240" s="136" t="b">
        <v>1</v>
      </c>
      <c r="G240" s="136" t="b">
        <v>0</v>
      </c>
      <c r="H240" s="137" t="b">
        <v>1</v>
      </c>
      <c r="I240" s="135"/>
      <c r="J240" s="136"/>
      <c r="K240" s="136"/>
      <c r="L240" s="137"/>
      <c r="M240" s="135"/>
      <c r="N240" s="136"/>
      <c r="O240" s="136"/>
      <c r="P240" s="137"/>
      <c r="Q240" s="135"/>
      <c r="R240" s="136"/>
      <c r="S240" s="136"/>
      <c r="T240" s="137"/>
      <c r="U240" s="135"/>
      <c r="V240" s="136"/>
      <c r="W240" s="138"/>
      <c r="X240" s="136"/>
      <c r="Y240" s="137"/>
      <c r="Z240" s="135"/>
      <c r="AA240" s="136"/>
      <c r="AB240" s="138"/>
      <c r="AC240" s="136"/>
      <c r="AD240" s="137"/>
      <c r="AE240" s="139">
        <f t="shared" si="11"/>
        <v>2</v>
      </c>
    </row>
    <row r="241" ht="15.75" customHeight="1" spans="1:31">
      <c r="A241" s="125">
        <v>268</v>
      </c>
      <c r="B241" s="126"/>
      <c r="C241" s="126" t="s">
        <v>3411</v>
      </c>
      <c r="D241" s="126" t="s">
        <v>3628</v>
      </c>
      <c r="E241" s="128" t="b">
        <v>1</v>
      </c>
      <c r="F241" s="129" t="b">
        <v>1</v>
      </c>
      <c r="G241" s="129" t="b">
        <v>1</v>
      </c>
      <c r="H241" s="130" t="b">
        <v>1</v>
      </c>
      <c r="I241" s="128"/>
      <c r="J241" s="129"/>
      <c r="K241" s="129"/>
      <c r="L241" s="130"/>
      <c r="M241" s="128"/>
      <c r="N241" s="129"/>
      <c r="O241" s="129"/>
      <c r="P241" s="130"/>
      <c r="Q241" s="128"/>
      <c r="R241" s="129"/>
      <c r="S241" s="129"/>
      <c r="T241" s="130"/>
      <c r="U241" s="128"/>
      <c r="V241" s="129"/>
      <c r="W241" s="131"/>
      <c r="X241" s="129"/>
      <c r="Y241" s="130"/>
      <c r="Z241" s="128"/>
      <c r="AA241" s="129"/>
      <c r="AB241" s="131"/>
      <c r="AC241" s="129"/>
      <c r="AD241" s="130"/>
      <c r="AE241" s="132">
        <f t="shared" si="11"/>
        <v>4</v>
      </c>
    </row>
    <row r="242" ht="15.75" customHeight="1" spans="1:31">
      <c r="A242" s="133">
        <v>269</v>
      </c>
      <c r="B242" s="140" t="s">
        <v>3434</v>
      </c>
      <c r="C242" s="134"/>
      <c r="D242" s="152" t="s">
        <v>3629</v>
      </c>
      <c r="E242" s="135" t="b">
        <v>0</v>
      </c>
      <c r="F242" s="136" t="b">
        <v>0</v>
      </c>
      <c r="G242" s="136" t="b">
        <v>1</v>
      </c>
      <c r="H242" s="137" t="b">
        <v>0</v>
      </c>
      <c r="I242" s="135"/>
      <c r="J242" s="136"/>
      <c r="K242" s="136"/>
      <c r="L242" s="137"/>
      <c r="M242" s="135"/>
      <c r="N242" s="136"/>
      <c r="O242" s="136"/>
      <c r="P242" s="137"/>
      <c r="Q242" s="135"/>
      <c r="R242" s="136"/>
      <c r="S242" s="136"/>
      <c r="T242" s="137"/>
      <c r="U242" s="135"/>
      <c r="V242" s="136"/>
      <c r="W242" s="138"/>
      <c r="X242" s="136"/>
      <c r="Y242" s="137"/>
      <c r="Z242" s="135"/>
      <c r="AA242" s="136"/>
      <c r="AB242" s="138"/>
      <c r="AC242" s="136"/>
      <c r="AD242" s="137"/>
      <c r="AE242" s="139">
        <f t="shared" si="11"/>
        <v>1</v>
      </c>
    </row>
    <row r="243" ht="15.75" customHeight="1" spans="1:31">
      <c r="A243" s="125">
        <v>270</v>
      </c>
      <c r="B243" s="127" t="s">
        <v>3434</v>
      </c>
      <c r="C243" s="126"/>
      <c r="D243" s="152" t="s">
        <v>3630</v>
      </c>
      <c r="E243" s="128" t="b">
        <v>0</v>
      </c>
      <c r="F243" s="129" t="b">
        <v>1</v>
      </c>
      <c r="G243" s="129" t="b">
        <v>1</v>
      </c>
      <c r="H243" s="130" t="b">
        <v>1</v>
      </c>
      <c r="I243" s="128"/>
      <c r="J243" s="129"/>
      <c r="K243" s="129"/>
      <c r="L243" s="130"/>
      <c r="M243" s="128"/>
      <c r="N243" s="129"/>
      <c r="O243" s="129"/>
      <c r="P243" s="130"/>
      <c r="Q243" s="128"/>
      <c r="R243" s="129"/>
      <c r="S243" s="129"/>
      <c r="T243" s="130"/>
      <c r="U243" s="128"/>
      <c r="V243" s="129"/>
      <c r="W243" s="131"/>
      <c r="X243" s="129"/>
      <c r="Y243" s="130"/>
      <c r="Z243" s="128"/>
      <c r="AA243" s="129"/>
      <c r="AB243" s="131"/>
      <c r="AC243" s="129"/>
      <c r="AD243" s="130"/>
      <c r="AE243" s="132">
        <f t="shared" si="11"/>
        <v>3</v>
      </c>
    </row>
    <row r="244" ht="15.75" customHeight="1" spans="1:31">
      <c r="A244" s="133">
        <v>271</v>
      </c>
      <c r="B244" s="134"/>
      <c r="C244" s="134" t="s">
        <v>2</v>
      </c>
      <c r="D244" s="134" t="s">
        <v>3631</v>
      </c>
      <c r="E244" s="135" t="b">
        <v>0</v>
      </c>
      <c r="F244" s="136" t="b">
        <v>0</v>
      </c>
      <c r="G244" s="136" t="b">
        <v>1</v>
      </c>
      <c r="H244" s="137" t="b">
        <v>1</v>
      </c>
      <c r="I244" s="135"/>
      <c r="J244" s="136"/>
      <c r="K244" s="136"/>
      <c r="L244" s="137"/>
      <c r="M244" s="135"/>
      <c r="N244" s="136"/>
      <c r="O244" s="136"/>
      <c r="P244" s="137"/>
      <c r="Q244" s="135"/>
      <c r="R244" s="136"/>
      <c r="S244" s="136"/>
      <c r="T244" s="137"/>
      <c r="U244" s="135"/>
      <c r="V244" s="136"/>
      <c r="W244" s="138"/>
      <c r="X244" s="136"/>
      <c r="Y244" s="137"/>
      <c r="Z244" s="135"/>
      <c r="AA244" s="136"/>
      <c r="AB244" s="138"/>
      <c r="AC244" s="136"/>
      <c r="AD244" s="137"/>
      <c r="AE244" s="139">
        <f t="shared" si="11"/>
        <v>2</v>
      </c>
    </row>
    <row r="245" ht="15.75" customHeight="1" spans="1:31">
      <c r="A245" s="125">
        <v>272</v>
      </c>
      <c r="B245" s="126"/>
      <c r="C245" s="126" t="s">
        <v>3411</v>
      </c>
      <c r="D245" s="126" t="s">
        <v>3632</v>
      </c>
      <c r="E245" s="128" t="b">
        <v>0</v>
      </c>
      <c r="F245" s="129" t="b">
        <v>0</v>
      </c>
      <c r="G245" s="129" t="b">
        <v>0</v>
      </c>
      <c r="H245" s="130" t="b">
        <v>1</v>
      </c>
      <c r="I245" s="128"/>
      <c r="J245" s="129"/>
      <c r="K245" s="129"/>
      <c r="L245" s="130"/>
      <c r="M245" s="128"/>
      <c r="N245" s="129"/>
      <c r="O245" s="129"/>
      <c r="P245" s="130"/>
      <c r="Q245" s="128"/>
      <c r="R245" s="129"/>
      <c r="S245" s="129"/>
      <c r="T245" s="130"/>
      <c r="U245" s="128"/>
      <c r="V245" s="129"/>
      <c r="W245" s="131"/>
      <c r="X245" s="129"/>
      <c r="Y245" s="130"/>
      <c r="Z245" s="128"/>
      <c r="AA245" s="129"/>
      <c r="AB245" s="131"/>
      <c r="AC245" s="129"/>
      <c r="AD245" s="130"/>
      <c r="AE245" s="132">
        <f t="shared" si="11"/>
        <v>1</v>
      </c>
    </row>
    <row r="246" ht="15.75" customHeight="1" spans="1:31">
      <c r="A246" s="133">
        <v>273</v>
      </c>
      <c r="B246" s="134"/>
      <c r="C246" s="134" t="s">
        <v>2</v>
      </c>
      <c r="D246" s="134" t="s">
        <v>3633</v>
      </c>
      <c r="E246" s="135" t="b">
        <v>0</v>
      </c>
      <c r="F246" s="136" t="b">
        <v>0</v>
      </c>
      <c r="G246" s="136" t="b">
        <v>0</v>
      </c>
      <c r="H246" s="137" t="b">
        <v>0</v>
      </c>
      <c r="I246" s="135"/>
      <c r="J246" s="136"/>
      <c r="K246" s="136"/>
      <c r="L246" s="137"/>
      <c r="M246" s="135"/>
      <c r="N246" s="136"/>
      <c r="O246" s="136"/>
      <c r="P246" s="137"/>
      <c r="Q246" s="135"/>
      <c r="R246" s="136"/>
      <c r="S246" s="136"/>
      <c r="T246" s="137"/>
      <c r="U246" s="135"/>
      <c r="V246" s="136"/>
      <c r="W246" s="138"/>
      <c r="X246" s="136"/>
      <c r="Y246" s="137"/>
      <c r="Z246" s="135"/>
      <c r="AA246" s="136"/>
      <c r="AB246" s="138"/>
      <c r="AC246" s="136"/>
      <c r="AD246" s="137"/>
      <c r="AE246" s="139">
        <f t="shared" si="11"/>
        <v>0</v>
      </c>
    </row>
    <row r="247" ht="15.75" customHeight="1" spans="1:31">
      <c r="A247" s="125">
        <v>274</v>
      </c>
      <c r="B247" s="126"/>
      <c r="C247" s="126" t="s">
        <v>3</v>
      </c>
      <c r="D247" s="126" t="s">
        <v>3634</v>
      </c>
      <c r="E247" s="131" t="b">
        <v>1</v>
      </c>
      <c r="F247" s="131" t="b">
        <v>1</v>
      </c>
      <c r="G247" s="131" t="b">
        <v>1</v>
      </c>
      <c r="H247" s="131" t="b">
        <v>1</v>
      </c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  <c r="AC247" s="131"/>
      <c r="AD247" s="131"/>
      <c r="AE247" s="132">
        <f t="shared" si="11"/>
        <v>4</v>
      </c>
    </row>
    <row r="248" ht="15.75" customHeight="1" spans="1:31">
      <c r="A248" s="133">
        <v>275</v>
      </c>
      <c r="B248" s="134"/>
      <c r="C248" s="134" t="s">
        <v>3411</v>
      </c>
      <c r="D248" s="134" t="s">
        <v>864</v>
      </c>
      <c r="E248" s="135" t="b">
        <v>1</v>
      </c>
      <c r="F248" s="136" t="b">
        <v>1</v>
      </c>
      <c r="G248" s="136" t="b">
        <v>1</v>
      </c>
      <c r="H248" s="137" t="b">
        <v>1</v>
      </c>
      <c r="I248" s="135"/>
      <c r="J248" s="136"/>
      <c r="K248" s="136"/>
      <c r="L248" s="137"/>
      <c r="M248" s="135"/>
      <c r="N248" s="136"/>
      <c r="O248" s="136"/>
      <c r="P248" s="137"/>
      <c r="Q248" s="135"/>
      <c r="R248" s="136"/>
      <c r="S248" s="136"/>
      <c r="T248" s="137"/>
      <c r="U248" s="135"/>
      <c r="V248" s="136"/>
      <c r="W248" s="138"/>
      <c r="X248" s="136"/>
      <c r="Y248" s="137"/>
      <c r="Z248" s="135"/>
      <c r="AA248" s="136"/>
      <c r="AB248" s="138"/>
      <c r="AC248" s="136"/>
      <c r="AD248" s="137"/>
      <c r="AE248" s="139">
        <f t="shared" si="11"/>
        <v>4</v>
      </c>
    </row>
    <row r="249" ht="15.75" customHeight="1" spans="1:31">
      <c r="A249" s="125">
        <v>276</v>
      </c>
      <c r="B249" s="126"/>
      <c r="C249" s="126" t="s">
        <v>3411</v>
      </c>
      <c r="D249" s="126" t="s">
        <v>1486</v>
      </c>
      <c r="E249" s="128" t="b">
        <v>1</v>
      </c>
      <c r="F249" s="129" t="b">
        <v>1</v>
      </c>
      <c r="G249" s="129" t="b">
        <v>1</v>
      </c>
      <c r="H249" s="130" t="b">
        <v>1</v>
      </c>
      <c r="I249" s="128"/>
      <c r="J249" s="129"/>
      <c r="K249" s="129"/>
      <c r="L249" s="130"/>
      <c r="M249" s="128"/>
      <c r="N249" s="129"/>
      <c r="O249" s="129"/>
      <c r="P249" s="130"/>
      <c r="Q249" s="128"/>
      <c r="R249" s="129"/>
      <c r="S249" s="129"/>
      <c r="T249" s="130"/>
      <c r="U249" s="128"/>
      <c r="V249" s="129"/>
      <c r="W249" s="131"/>
      <c r="X249" s="129"/>
      <c r="Y249" s="130"/>
      <c r="Z249" s="128"/>
      <c r="AA249" s="129"/>
      <c r="AB249" s="131"/>
      <c r="AC249" s="129"/>
      <c r="AD249" s="130"/>
      <c r="AE249" s="132">
        <f t="shared" si="11"/>
        <v>4</v>
      </c>
    </row>
    <row r="250" ht="15.75" customHeight="1" spans="1:31">
      <c r="A250" s="133">
        <v>277</v>
      </c>
      <c r="B250" s="134"/>
      <c r="C250" s="134" t="s">
        <v>2</v>
      </c>
      <c r="D250" s="134" t="s">
        <v>1481</v>
      </c>
      <c r="E250" s="135" t="b">
        <v>1</v>
      </c>
      <c r="F250" s="136" t="b">
        <v>1</v>
      </c>
      <c r="G250" s="136" t="b">
        <v>1</v>
      </c>
      <c r="H250" s="137" t="b">
        <v>1</v>
      </c>
      <c r="I250" s="135"/>
      <c r="J250" s="136"/>
      <c r="K250" s="136"/>
      <c r="L250" s="137"/>
      <c r="M250" s="135"/>
      <c r="N250" s="136"/>
      <c r="O250" s="136"/>
      <c r="P250" s="137"/>
      <c r="Q250" s="135"/>
      <c r="R250" s="136"/>
      <c r="S250" s="136"/>
      <c r="T250" s="137"/>
      <c r="U250" s="135"/>
      <c r="V250" s="136"/>
      <c r="W250" s="138"/>
      <c r="X250" s="136"/>
      <c r="Y250" s="137"/>
      <c r="Z250" s="135"/>
      <c r="AA250" s="136"/>
      <c r="AB250" s="138"/>
      <c r="AC250" s="136"/>
      <c r="AD250" s="137"/>
      <c r="AE250" s="139">
        <f t="shared" si="11"/>
        <v>4</v>
      </c>
    </row>
    <row r="251" ht="15.75" customHeight="1" spans="1:31">
      <c r="A251" s="125">
        <v>278</v>
      </c>
      <c r="B251" s="126"/>
      <c r="C251" s="126" t="s">
        <v>2</v>
      </c>
      <c r="D251" s="126" t="s">
        <v>3635</v>
      </c>
      <c r="E251" s="128" t="b">
        <v>1</v>
      </c>
      <c r="F251" s="129" t="b">
        <v>0</v>
      </c>
      <c r="G251" s="129" t="b">
        <v>1</v>
      </c>
      <c r="H251" s="130" t="b">
        <v>0</v>
      </c>
      <c r="I251" s="128"/>
      <c r="J251" s="129"/>
      <c r="K251" s="129"/>
      <c r="L251" s="130"/>
      <c r="M251" s="128"/>
      <c r="N251" s="129"/>
      <c r="O251" s="129"/>
      <c r="P251" s="130"/>
      <c r="Q251" s="128"/>
      <c r="R251" s="129"/>
      <c r="S251" s="129"/>
      <c r="T251" s="130"/>
      <c r="U251" s="128"/>
      <c r="V251" s="129"/>
      <c r="W251" s="131"/>
      <c r="X251" s="129"/>
      <c r="Y251" s="130"/>
      <c r="Z251" s="128"/>
      <c r="AA251" s="129"/>
      <c r="AB251" s="131"/>
      <c r="AC251" s="129"/>
      <c r="AD251" s="130"/>
      <c r="AE251" s="132">
        <f t="shared" si="11"/>
        <v>2</v>
      </c>
    </row>
    <row r="252" ht="15.75" customHeight="1" spans="1:31">
      <c r="A252" s="133">
        <v>279</v>
      </c>
      <c r="C252" s="140" t="s">
        <v>3413</v>
      </c>
      <c r="D252" s="140" t="s">
        <v>3636</v>
      </c>
      <c r="E252" s="141" t="b">
        <v>1</v>
      </c>
      <c r="F252" s="149" t="b">
        <v>1</v>
      </c>
      <c r="G252" s="149" t="b">
        <v>1</v>
      </c>
      <c r="H252" s="150" t="b">
        <v>1</v>
      </c>
      <c r="I252" s="144"/>
      <c r="J252" s="142"/>
      <c r="K252" s="142"/>
      <c r="L252" s="143"/>
      <c r="M252" s="144"/>
      <c r="N252" s="142"/>
      <c r="O252" s="142"/>
      <c r="P252" s="143"/>
      <c r="Q252" s="144"/>
      <c r="R252" s="142"/>
      <c r="S252" s="142"/>
      <c r="T252" s="143"/>
      <c r="U252" s="144"/>
      <c r="V252" s="142"/>
      <c r="X252" s="142"/>
      <c r="Y252" s="143"/>
      <c r="Z252" s="144"/>
      <c r="AA252" s="142"/>
      <c r="AC252" s="142"/>
      <c r="AD252" s="143"/>
    </row>
    <row r="253" ht="15.75" customHeight="1" spans="1:31">
      <c r="A253" s="125">
        <v>280</v>
      </c>
      <c r="B253" s="126"/>
      <c r="C253" s="126" t="s">
        <v>3411</v>
      </c>
      <c r="D253" s="126" t="s">
        <v>3637</v>
      </c>
      <c r="E253" s="128" t="b">
        <v>1</v>
      </c>
      <c r="F253" s="129" t="b">
        <v>1</v>
      </c>
      <c r="G253" s="129" t="b">
        <v>1</v>
      </c>
      <c r="H253" s="130" t="b">
        <v>1</v>
      </c>
      <c r="I253" s="128"/>
      <c r="J253" s="129"/>
      <c r="K253" s="129"/>
      <c r="L253" s="130"/>
      <c r="M253" s="128"/>
      <c r="N253" s="129"/>
      <c r="O253" s="129"/>
      <c r="P253" s="130"/>
      <c r="Q253" s="128"/>
      <c r="R253" s="129"/>
      <c r="S253" s="129"/>
      <c r="T253" s="130"/>
      <c r="U253" s="128"/>
      <c r="V253" s="129"/>
      <c r="W253" s="131"/>
      <c r="X253" s="129"/>
      <c r="Y253" s="130"/>
      <c r="Z253" s="128"/>
      <c r="AA253" s="129"/>
      <c r="AB253" s="131"/>
      <c r="AC253" s="129"/>
      <c r="AD253" s="130"/>
      <c r="AE253" s="132">
        <f t="shared" ref="AE253:AE258" si="12">COUNTIF(E253:AD253,"TRUE")</f>
        <v>4</v>
      </c>
    </row>
    <row r="254" ht="15.75" customHeight="1" spans="1:31">
      <c r="A254" s="133">
        <v>281</v>
      </c>
      <c r="B254" s="134"/>
      <c r="C254" s="134" t="s">
        <v>3411</v>
      </c>
      <c r="D254" s="134" t="s">
        <v>3638</v>
      </c>
      <c r="E254" s="135" t="b">
        <v>1</v>
      </c>
      <c r="F254" s="136" t="b">
        <v>1</v>
      </c>
      <c r="G254" s="136" t="b">
        <v>1</v>
      </c>
      <c r="H254" s="137" t="b">
        <v>1</v>
      </c>
      <c r="I254" s="135"/>
      <c r="J254" s="136"/>
      <c r="K254" s="136"/>
      <c r="L254" s="137"/>
      <c r="M254" s="135"/>
      <c r="N254" s="136"/>
      <c r="O254" s="136"/>
      <c r="P254" s="137"/>
      <c r="Q254" s="135"/>
      <c r="R254" s="136"/>
      <c r="S254" s="136"/>
      <c r="T254" s="137"/>
      <c r="U254" s="135"/>
      <c r="V254" s="136"/>
      <c r="W254" s="138"/>
      <c r="X254" s="136"/>
      <c r="Y254" s="137"/>
      <c r="Z254" s="135"/>
      <c r="AA254" s="136"/>
      <c r="AB254" s="138"/>
      <c r="AC254" s="136"/>
      <c r="AD254" s="137"/>
      <c r="AE254" s="139">
        <f t="shared" si="12"/>
        <v>4</v>
      </c>
    </row>
    <row r="255" ht="15.75" customHeight="1" spans="1:31">
      <c r="A255" s="125">
        <v>282</v>
      </c>
      <c r="B255" s="126"/>
      <c r="C255" s="126" t="s">
        <v>3</v>
      </c>
      <c r="D255" s="126" t="s">
        <v>877</v>
      </c>
      <c r="E255" s="128" t="b">
        <v>1</v>
      </c>
      <c r="F255" s="129" t="b">
        <v>1</v>
      </c>
      <c r="G255" s="129" t="b">
        <v>1</v>
      </c>
      <c r="H255" s="130" t="b">
        <v>1</v>
      </c>
      <c r="I255" s="128"/>
      <c r="J255" s="129"/>
      <c r="K255" s="129"/>
      <c r="L255" s="130"/>
      <c r="M255" s="128"/>
      <c r="N255" s="129"/>
      <c r="O255" s="129"/>
      <c r="P255" s="130"/>
      <c r="Q255" s="128"/>
      <c r="R255" s="129"/>
      <c r="S255" s="129"/>
      <c r="T255" s="130"/>
      <c r="U255" s="128"/>
      <c r="V255" s="129"/>
      <c r="W255" s="131"/>
      <c r="X255" s="129"/>
      <c r="Y255" s="130"/>
      <c r="Z255" s="128"/>
      <c r="AA255" s="129"/>
      <c r="AB255" s="131"/>
      <c r="AC255" s="129"/>
      <c r="AD255" s="130"/>
      <c r="AE255" s="132">
        <f t="shared" si="12"/>
        <v>4</v>
      </c>
    </row>
    <row r="256" ht="15.75" customHeight="1" spans="1:31">
      <c r="A256" s="133">
        <v>283</v>
      </c>
      <c r="B256" s="134"/>
      <c r="C256" s="134" t="s">
        <v>2</v>
      </c>
      <c r="D256" s="134" t="s">
        <v>1892</v>
      </c>
      <c r="E256" s="135" t="b">
        <v>1</v>
      </c>
      <c r="F256" s="136" t="b">
        <v>1</v>
      </c>
      <c r="G256" s="136" t="b">
        <v>1</v>
      </c>
      <c r="H256" s="137" t="b">
        <v>1</v>
      </c>
      <c r="I256" s="135"/>
      <c r="J256" s="136"/>
      <c r="K256" s="136"/>
      <c r="L256" s="137"/>
      <c r="M256" s="135"/>
      <c r="N256" s="136"/>
      <c r="O256" s="136"/>
      <c r="P256" s="137"/>
      <c r="Q256" s="135"/>
      <c r="R256" s="136"/>
      <c r="S256" s="136"/>
      <c r="T256" s="137"/>
      <c r="U256" s="135"/>
      <c r="V256" s="136"/>
      <c r="W256" s="138"/>
      <c r="X256" s="136"/>
      <c r="Y256" s="137"/>
      <c r="Z256" s="135"/>
      <c r="AA256" s="136"/>
      <c r="AB256" s="138"/>
      <c r="AC256" s="136"/>
      <c r="AD256" s="137"/>
      <c r="AE256" s="139">
        <f t="shared" si="12"/>
        <v>4</v>
      </c>
    </row>
    <row r="257" ht="15.75" customHeight="1" spans="1:31">
      <c r="A257" s="125">
        <v>284</v>
      </c>
      <c r="B257" s="126"/>
      <c r="C257" s="126" t="s">
        <v>2</v>
      </c>
      <c r="D257" s="126" t="s">
        <v>3639</v>
      </c>
      <c r="E257" s="128" t="b">
        <v>1</v>
      </c>
      <c r="F257" s="129" t="b">
        <v>0</v>
      </c>
      <c r="G257" s="129" t="b">
        <v>1</v>
      </c>
      <c r="H257" s="130" t="b">
        <v>0</v>
      </c>
      <c r="I257" s="128"/>
      <c r="J257" s="129"/>
      <c r="K257" s="129"/>
      <c r="L257" s="130"/>
      <c r="M257" s="128"/>
      <c r="N257" s="129"/>
      <c r="O257" s="129"/>
      <c r="P257" s="130"/>
      <c r="Q257" s="128"/>
      <c r="R257" s="129"/>
      <c r="S257" s="129"/>
      <c r="T257" s="130"/>
      <c r="U257" s="128"/>
      <c r="V257" s="129"/>
      <c r="W257" s="131"/>
      <c r="X257" s="129"/>
      <c r="Y257" s="130"/>
      <c r="Z257" s="128"/>
      <c r="AA257" s="129"/>
      <c r="AB257" s="131"/>
      <c r="AC257" s="129"/>
      <c r="AD257" s="130"/>
      <c r="AE257" s="132">
        <f t="shared" si="12"/>
        <v>2</v>
      </c>
    </row>
    <row r="258" ht="15.75" customHeight="1" spans="1:31">
      <c r="A258" s="133">
        <v>286</v>
      </c>
      <c r="B258" s="134"/>
      <c r="C258" s="134" t="s">
        <v>3413</v>
      </c>
      <c r="D258" s="134" t="s">
        <v>3640</v>
      </c>
      <c r="E258" s="135" t="b">
        <v>1</v>
      </c>
      <c r="F258" s="136" t="b">
        <v>0</v>
      </c>
      <c r="G258" s="136" t="b">
        <v>1</v>
      </c>
      <c r="H258" s="137" t="b">
        <v>0</v>
      </c>
      <c r="I258" s="135"/>
      <c r="J258" s="136"/>
      <c r="K258" s="136"/>
      <c r="L258" s="137"/>
      <c r="M258" s="135"/>
      <c r="N258" s="136"/>
      <c r="O258" s="136"/>
      <c r="P258" s="137"/>
      <c r="Q258" s="135"/>
      <c r="R258" s="136"/>
      <c r="S258" s="136"/>
      <c r="T258" s="137"/>
      <c r="U258" s="135"/>
      <c r="V258" s="136"/>
      <c r="W258" s="138"/>
      <c r="X258" s="136"/>
      <c r="Y258" s="137"/>
      <c r="Z258" s="135"/>
      <c r="AA258" s="136"/>
      <c r="AB258" s="138"/>
      <c r="AC258" s="136"/>
      <c r="AD258" s="137"/>
      <c r="AE258" s="139">
        <f t="shared" si="12"/>
        <v>2</v>
      </c>
    </row>
    <row r="259" ht="15.75" customHeight="1" spans="1:31">
      <c r="A259" s="125">
        <v>287</v>
      </c>
      <c r="C259" s="127" t="s">
        <v>3413</v>
      </c>
      <c r="D259" s="127" t="s">
        <v>3641</v>
      </c>
      <c r="E259" s="145" t="b">
        <v>0</v>
      </c>
      <c r="F259" s="146" t="b">
        <v>0</v>
      </c>
      <c r="G259" s="147" t="b">
        <v>1</v>
      </c>
      <c r="H259" s="148" t="b">
        <v>0</v>
      </c>
      <c r="I259" s="145"/>
      <c r="J259" s="146"/>
      <c r="K259" s="146"/>
      <c r="L259" s="148"/>
      <c r="M259" s="145"/>
      <c r="N259" s="146"/>
      <c r="O259" s="146"/>
      <c r="P259" s="148"/>
      <c r="Q259" s="145"/>
      <c r="R259" s="146"/>
      <c r="S259" s="146"/>
      <c r="T259" s="148"/>
      <c r="U259" s="145"/>
      <c r="V259" s="146"/>
      <c r="X259" s="146"/>
      <c r="Y259" s="148"/>
      <c r="Z259" s="145"/>
      <c r="AA259" s="146"/>
      <c r="AC259" s="146"/>
      <c r="AD259" s="148"/>
    </row>
    <row r="260" ht="15.75" customHeight="1" spans="1:31">
      <c r="A260" s="133">
        <v>288</v>
      </c>
      <c r="B260" s="134"/>
      <c r="C260" s="134" t="s">
        <v>3</v>
      </c>
      <c r="D260" s="134" t="s">
        <v>3642</v>
      </c>
      <c r="E260" s="135" t="b">
        <v>1</v>
      </c>
      <c r="F260" s="136" t="b">
        <v>0</v>
      </c>
      <c r="G260" s="136" t="b">
        <v>1</v>
      </c>
      <c r="H260" s="137" t="b">
        <v>0</v>
      </c>
      <c r="I260" s="135"/>
      <c r="J260" s="136"/>
      <c r="K260" s="136"/>
      <c r="L260" s="137"/>
      <c r="M260" s="135"/>
      <c r="N260" s="136"/>
      <c r="O260" s="136"/>
      <c r="P260" s="137"/>
      <c r="Q260" s="135"/>
      <c r="R260" s="136"/>
      <c r="S260" s="136"/>
      <c r="T260" s="137"/>
      <c r="U260" s="135"/>
      <c r="V260" s="136"/>
      <c r="W260" s="138"/>
      <c r="X260" s="136"/>
      <c r="Y260" s="137"/>
      <c r="Z260" s="135"/>
      <c r="AA260" s="136"/>
      <c r="AB260" s="138"/>
      <c r="AC260" s="136"/>
      <c r="AD260" s="137"/>
      <c r="AE260" s="139">
        <f t="shared" ref="AE260:AE264" si="13">COUNTIF(E260:AD260,"TRUE")</f>
        <v>2</v>
      </c>
    </row>
    <row r="261" ht="15.75" customHeight="1" spans="1:31">
      <c r="A261" s="125">
        <v>289</v>
      </c>
      <c r="B261" s="126"/>
      <c r="C261" s="126" t="s">
        <v>3413</v>
      </c>
      <c r="D261" s="126" t="s">
        <v>3643</v>
      </c>
      <c r="E261" s="128" t="b">
        <v>1</v>
      </c>
      <c r="F261" s="129" t="b">
        <v>0</v>
      </c>
      <c r="G261" s="129" t="b">
        <v>1</v>
      </c>
      <c r="H261" s="130" t="b">
        <v>0</v>
      </c>
      <c r="I261" s="128"/>
      <c r="J261" s="129"/>
      <c r="K261" s="129"/>
      <c r="L261" s="130"/>
      <c r="M261" s="128"/>
      <c r="N261" s="129"/>
      <c r="O261" s="129"/>
      <c r="P261" s="130"/>
      <c r="Q261" s="128"/>
      <c r="R261" s="129"/>
      <c r="S261" s="129"/>
      <c r="T261" s="130"/>
      <c r="U261" s="128"/>
      <c r="V261" s="129"/>
      <c r="W261" s="131"/>
      <c r="X261" s="129"/>
      <c r="Y261" s="130"/>
      <c r="Z261" s="128"/>
      <c r="AA261" s="129"/>
      <c r="AB261" s="131"/>
      <c r="AC261" s="129"/>
      <c r="AD261" s="130"/>
      <c r="AE261" s="132">
        <f t="shared" si="13"/>
        <v>2</v>
      </c>
    </row>
    <row r="262" ht="15.75" customHeight="1" spans="1:31">
      <c r="A262" s="133">
        <v>290</v>
      </c>
      <c r="B262" s="134"/>
      <c r="C262" s="134" t="s">
        <v>3411</v>
      </c>
      <c r="D262" s="134" t="s">
        <v>3644</v>
      </c>
      <c r="E262" s="135" t="b">
        <v>0</v>
      </c>
      <c r="F262" s="136" t="b">
        <v>0</v>
      </c>
      <c r="G262" s="136" t="b">
        <v>0</v>
      </c>
      <c r="H262" s="137" t="b">
        <v>0</v>
      </c>
      <c r="I262" s="135"/>
      <c r="J262" s="136"/>
      <c r="K262" s="136"/>
      <c r="L262" s="137"/>
      <c r="M262" s="135"/>
      <c r="N262" s="136"/>
      <c r="O262" s="136"/>
      <c r="P262" s="137"/>
      <c r="Q262" s="135"/>
      <c r="R262" s="136"/>
      <c r="S262" s="136"/>
      <c r="T262" s="137"/>
      <c r="U262" s="135"/>
      <c r="V262" s="136"/>
      <c r="W262" s="138"/>
      <c r="X262" s="136"/>
      <c r="Y262" s="137"/>
      <c r="Z262" s="135"/>
      <c r="AA262" s="136"/>
      <c r="AB262" s="138"/>
      <c r="AC262" s="136"/>
      <c r="AD262" s="137"/>
      <c r="AE262" s="139">
        <f t="shared" si="13"/>
        <v>0</v>
      </c>
    </row>
    <row r="263" ht="15.75" customHeight="1" spans="1:31">
      <c r="A263" s="125">
        <v>291</v>
      </c>
      <c r="B263" s="126"/>
      <c r="C263" s="126"/>
      <c r="D263" s="126" t="s">
        <v>3645</v>
      </c>
      <c r="E263" s="128" t="b">
        <v>1</v>
      </c>
      <c r="F263" s="129" t="b">
        <v>0</v>
      </c>
      <c r="G263" s="129" t="b">
        <v>0</v>
      </c>
      <c r="H263" s="130" t="b">
        <v>0</v>
      </c>
      <c r="I263" s="128"/>
      <c r="J263" s="129"/>
      <c r="K263" s="129"/>
      <c r="L263" s="130"/>
      <c r="M263" s="128"/>
      <c r="N263" s="129"/>
      <c r="O263" s="129"/>
      <c r="P263" s="130"/>
      <c r="Q263" s="128"/>
      <c r="R263" s="129"/>
      <c r="S263" s="129"/>
      <c r="T263" s="130"/>
      <c r="U263" s="128"/>
      <c r="V263" s="129"/>
      <c r="W263" s="131"/>
      <c r="X263" s="129"/>
      <c r="Y263" s="130"/>
      <c r="Z263" s="128"/>
      <c r="AA263" s="129"/>
      <c r="AB263" s="131"/>
      <c r="AC263" s="129"/>
      <c r="AD263" s="130"/>
      <c r="AE263" s="132">
        <f t="shared" si="13"/>
        <v>1</v>
      </c>
    </row>
    <row r="264" ht="15.75" customHeight="1" spans="1:31">
      <c r="A264" s="133">
        <v>292</v>
      </c>
      <c r="B264" s="134"/>
      <c r="C264" s="134" t="s">
        <v>3413</v>
      </c>
      <c r="D264" s="134" t="s">
        <v>3646</v>
      </c>
      <c r="E264" s="135" t="b">
        <v>1</v>
      </c>
      <c r="F264" s="136" t="b">
        <v>1</v>
      </c>
      <c r="G264" s="136" t="b">
        <v>1</v>
      </c>
      <c r="H264" s="137" t="b">
        <v>1</v>
      </c>
      <c r="I264" s="135"/>
      <c r="J264" s="136"/>
      <c r="K264" s="136"/>
      <c r="L264" s="137"/>
      <c r="M264" s="135"/>
      <c r="N264" s="136"/>
      <c r="O264" s="136"/>
      <c r="P264" s="137"/>
      <c r="Q264" s="135"/>
      <c r="R264" s="136"/>
      <c r="S264" s="136"/>
      <c r="T264" s="137"/>
      <c r="U264" s="135"/>
      <c r="V264" s="136"/>
      <c r="W264" s="138"/>
      <c r="X264" s="136"/>
      <c r="Y264" s="137"/>
      <c r="Z264" s="135"/>
      <c r="AA264" s="136"/>
      <c r="AB264" s="138"/>
      <c r="AC264" s="136"/>
      <c r="AD264" s="137"/>
      <c r="AE264" s="139">
        <f t="shared" si="13"/>
        <v>4</v>
      </c>
    </row>
    <row r="265" ht="15.75" customHeight="1" spans="1:31">
      <c r="A265" s="125">
        <v>293</v>
      </c>
      <c r="D265" s="127" t="s">
        <v>3647</v>
      </c>
      <c r="E265" s="145"/>
      <c r="F265" s="146"/>
      <c r="G265" s="146"/>
      <c r="H265" s="151" t="b">
        <v>1</v>
      </c>
      <c r="I265" s="145"/>
      <c r="J265" s="146"/>
      <c r="K265" s="146"/>
      <c r="L265" s="148"/>
      <c r="M265" s="145"/>
      <c r="N265" s="146"/>
      <c r="O265" s="146"/>
      <c r="P265" s="148"/>
      <c r="Q265" s="145"/>
      <c r="R265" s="146"/>
      <c r="S265" s="146"/>
      <c r="T265" s="148"/>
      <c r="U265" s="145"/>
      <c r="V265" s="146"/>
      <c r="X265" s="146"/>
      <c r="Y265" s="148"/>
      <c r="Z265" s="145"/>
      <c r="AA265" s="146"/>
      <c r="AC265" s="146"/>
      <c r="AD265" s="148"/>
    </row>
    <row r="266" ht="15.75" customHeight="1" spans="1:31">
      <c r="A266" s="133">
        <v>294</v>
      </c>
      <c r="B266" s="134"/>
      <c r="C266" s="134" t="s">
        <v>3411</v>
      </c>
      <c r="D266" s="134" t="s">
        <v>3648</v>
      </c>
      <c r="E266" s="135" t="b">
        <v>1</v>
      </c>
      <c r="F266" s="136" t="b">
        <v>1</v>
      </c>
      <c r="G266" s="136" t="b">
        <v>0</v>
      </c>
      <c r="H266" s="137" t="b">
        <v>1</v>
      </c>
      <c r="I266" s="135"/>
      <c r="J266" s="136"/>
      <c r="K266" s="136"/>
      <c r="L266" s="137"/>
      <c r="M266" s="135"/>
      <c r="N266" s="136"/>
      <c r="O266" s="136"/>
      <c r="P266" s="137"/>
      <c r="Q266" s="135"/>
      <c r="R266" s="136"/>
      <c r="S266" s="136"/>
      <c r="T266" s="137"/>
      <c r="U266" s="135"/>
      <c r="V266" s="136"/>
      <c r="W266" s="138"/>
      <c r="X266" s="136"/>
      <c r="Y266" s="137"/>
      <c r="Z266" s="135"/>
      <c r="AA266" s="136"/>
      <c r="AB266" s="138"/>
      <c r="AC266" s="136"/>
      <c r="AD266" s="137"/>
      <c r="AE266" s="139">
        <f t="shared" ref="AE266:AE281" si="14">COUNTIF(E266:AD266,"TRUE")</f>
        <v>3</v>
      </c>
    </row>
    <row r="267" ht="15.75" customHeight="1" spans="1:31">
      <c r="A267" s="125">
        <v>296</v>
      </c>
      <c r="B267" s="126"/>
      <c r="C267" s="126" t="s">
        <v>3411</v>
      </c>
      <c r="D267" s="126" t="s">
        <v>3649</v>
      </c>
      <c r="E267" s="128" t="b">
        <v>0</v>
      </c>
      <c r="F267" s="129" t="b">
        <v>0</v>
      </c>
      <c r="G267" s="129" t="b">
        <v>1</v>
      </c>
      <c r="H267" s="130" t="b">
        <v>1</v>
      </c>
      <c r="I267" s="128"/>
      <c r="J267" s="129"/>
      <c r="K267" s="129"/>
      <c r="L267" s="130"/>
      <c r="M267" s="128"/>
      <c r="N267" s="129"/>
      <c r="O267" s="129"/>
      <c r="P267" s="130"/>
      <c r="Q267" s="128"/>
      <c r="R267" s="129"/>
      <c r="S267" s="129"/>
      <c r="T267" s="130"/>
      <c r="U267" s="128"/>
      <c r="V267" s="129"/>
      <c r="W267" s="131"/>
      <c r="X267" s="129"/>
      <c r="Y267" s="130"/>
      <c r="Z267" s="128"/>
      <c r="AA267" s="129"/>
      <c r="AB267" s="131"/>
      <c r="AC267" s="129"/>
      <c r="AD267" s="130"/>
      <c r="AE267" s="132">
        <f t="shared" si="14"/>
        <v>2</v>
      </c>
    </row>
    <row r="268" ht="15.75" customHeight="1" spans="1:31">
      <c r="A268" s="133">
        <v>297</v>
      </c>
      <c r="B268" s="134"/>
      <c r="C268" s="134" t="s">
        <v>2</v>
      </c>
      <c r="D268" s="134" t="s">
        <v>589</v>
      </c>
      <c r="E268" s="135" t="b">
        <v>1</v>
      </c>
      <c r="F268" s="136" t="b">
        <v>1</v>
      </c>
      <c r="G268" s="136" t="b">
        <v>1</v>
      </c>
      <c r="H268" s="137" t="b">
        <v>1</v>
      </c>
      <c r="I268" s="135"/>
      <c r="J268" s="136"/>
      <c r="K268" s="136"/>
      <c r="L268" s="137"/>
      <c r="M268" s="135"/>
      <c r="N268" s="136"/>
      <c r="O268" s="136"/>
      <c r="P268" s="137"/>
      <c r="Q268" s="135"/>
      <c r="R268" s="136"/>
      <c r="S268" s="136"/>
      <c r="T268" s="137"/>
      <c r="U268" s="135"/>
      <c r="V268" s="136"/>
      <c r="W268" s="138"/>
      <c r="X268" s="136"/>
      <c r="Y268" s="137"/>
      <c r="Z268" s="135"/>
      <c r="AA268" s="136"/>
      <c r="AB268" s="138"/>
      <c r="AC268" s="136"/>
      <c r="AD268" s="137"/>
      <c r="AE268" s="139">
        <f t="shared" si="14"/>
        <v>4</v>
      </c>
    </row>
    <row r="269" ht="15.75" customHeight="1" spans="1:31">
      <c r="A269" s="125">
        <v>298</v>
      </c>
      <c r="B269" s="126"/>
      <c r="C269" s="126"/>
      <c r="D269" s="127" t="s">
        <v>3650</v>
      </c>
      <c r="E269" s="128" t="b">
        <v>0</v>
      </c>
      <c r="F269" s="129" t="b">
        <v>0</v>
      </c>
      <c r="G269" s="129" t="b">
        <v>1</v>
      </c>
      <c r="H269" s="130" t="b">
        <v>0</v>
      </c>
      <c r="I269" s="128"/>
      <c r="J269" s="129"/>
      <c r="K269" s="129"/>
      <c r="L269" s="130"/>
      <c r="M269" s="128"/>
      <c r="N269" s="129"/>
      <c r="O269" s="129"/>
      <c r="P269" s="130"/>
      <c r="Q269" s="128"/>
      <c r="R269" s="129"/>
      <c r="S269" s="129"/>
      <c r="T269" s="130"/>
      <c r="U269" s="128"/>
      <c r="V269" s="129"/>
      <c r="W269" s="131"/>
      <c r="X269" s="129"/>
      <c r="Y269" s="130"/>
      <c r="Z269" s="128"/>
      <c r="AA269" s="129"/>
      <c r="AB269" s="131"/>
      <c r="AC269" s="129"/>
      <c r="AD269" s="130"/>
      <c r="AE269" s="132">
        <f t="shared" si="14"/>
        <v>1</v>
      </c>
    </row>
    <row r="270" ht="15.75" customHeight="1" spans="1:31">
      <c r="A270" s="133">
        <v>299</v>
      </c>
      <c r="B270" s="134"/>
      <c r="C270" s="134"/>
      <c r="D270" s="134" t="s">
        <v>3651</v>
      </c>
      <c r="E270" s="138" t="b">
        <v>1</v>
      </c>
      <c r="F270" s="138" t="b">
        <v>0</v>
      </c>
      <c r="G270" s="138" t="b">
        <v>0</v>
      </c>
      <c r="H270" s="138" t="b">
        <v>0</v>
      </c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  <c r="AD270" s="138"/>
      <c r="AE270" s="139">
        <f t="shared" si="14"/>
        <v>1</v>
      </c>
    </row>
    <row r="271" ht="15.75" customHeight="1" spans="1:31">
      <c r="A271" s="125">
        <v>300</v>
      </c>
      <c r="B271" s="126"/>
      <c r="C271" s="126" t="s">
        <v>3411</v>
      </c>
      <c r="D271" s="127" t="s">
        <v>3652</v>
      </c>
      <c r="E271" s="131" t="b">
        <v>0</v>
      </c>
      <c r="F271" s="131" t="b">
        <v>0</v>
      </c>
      <c r="G271" s="131" t="b">
        <v>0</v>
      </c>
      <c r="H271" s="131" t="b">
        <v>1</v>
      </c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  <c r="AA271" s="131"/>
      <c r="AB271" s="131"/>
      <c r="AC271" s="131"/>
      <c r="AD271" s="131"/>
      <c r="AE271" s="132">
        <f t="shared" si="14"/>
        <v>1</v>
      </c>
    </row>
    <row r="272" ht="15.75" customHeight="1" spans="1:31">
      <c r="A272" s="133">
        <v>301</v>
      </c>
      <c r="B272" s="134"/>
      <c r="C272" s="134" t="s">
        <v>2</v>
      </c>
      <c r="D272" s="140" t="s">
        <v>3653</v>
      </c>
      <c r="E272" s="135" t="b">
        <v>1</v>
      </c>
      <c r="F272" s="136" t="b">
        <v>1</v>
      </c>
      <c r="G272" s="136" t="b">
        <v>1</v>
      </c>
      <c r="H272" s="137" t="b">
        <v>0</v>
      </c>
      <c r="I272" s="135"/>
      <c r="J272" s="136"/>
      <c r="K272" s="136"/>
      <c r="L272" s="137"/>
      <c r="M272" s="135"/>
      <c r="N272" s="136"/>
      <c r="O272" s="136"/>
      <c r="P272" s="137"/>
      <c r="Q272" s="135"/>
      <c r="R272" s="136"/>
      <c r="S272" s="136"/>
      <c r="T272" s="137"/>
      <c r="U272" s="135"/>
      <c r="V272" s="136"/>
      <c r="W272" s="138"/>
      <c r="X272" s="136"/>
      <c r="Y272" s="137"/>
      <c r="Z272" s="135"/>
      <c r="AA272" s="136"/>
      <c r="AB272" s="138"/>
      <c r="AC272" s="136"/>
      <c r="AD272" s="137"/>
      <c r="AE272" s="139">
        <f t="shared" si="14"/>
        <v>3</v>
      </c>
    </row>
    <row r="273" ht="15.75" customHeight="1" spans="1:31">
      <c r="A273" s="125">
        <v>625</v>
      </c>
      <c r="B273" s="127" t="s">
        <v>3434</v>
      </c>
      <c r="C273" s="126"/>
      <c r="D273" s="127" t="s">
        <v>3654</v>
      </c>
      <c r="E273" s="128" t="b">
        <v>0</v>
      </c>
      <c r="F273" s="129" t="b">
        <v>0</v>
      </c>
      <c r="G273" s="129" t="b">
        <v>1</v>
      </c>
      <c r="H273" s="130" t="b">
        <v>1</v>
      </c>
      <c r="I273" s="128"/>
      <c r="J273" s="129"/>
      <c r="K273" s="129"/>
      <c r="L273" s="130"/>
      <c r="M273" s="128"/>
      <c r="N273" s="129"/>
      <c r="O273" s="129"/>
      <c r="P273" s="130"/>
      <c r="Q273" s="128"/>
      <c r="R273" s="129"/>
      <c r="S273" s="129"/>
      <c r="T273" s="130"/>
      <c r="U273" s="128"/>
      <c r="V273" s="129"/>
      <c r="W273" s="131"/>
      <c r="X273" s="129"/>
      <c r="Y273" s="130"/>
      <c r="Z273" s="128"/>
      <c r="AA273" s="129"/>
      <c r="AB273" s="131"/>
      <c r="AC273" s="129"/>
      <c r="AD273" s="130"/>
      <c r="AE273" s="132">
        <f t="shared" si="14"/>
        <v>2</v>
      </c>
    </row>
    <row r="274" ht="15.75" customHeight="1" spans="1:31">
      <c r="A274" s="133">
        <v>304</v>
      </c>
      <c r="B274" s="134"/>
      <c r="C274" s="134" t="s">
        <v>3411</v>
      </c>
      <c r="D274" s="140" t="s">
        <v>3655</v>
      </c>
      <c r="E274" s="135" t="b">
        <v>0</v>
      </c>
      <c r="F274" s="136" t="b">
        <v>0</v>
      </c>
      <c r="G274" s="136" t="b">
        <v>0</v>
      </c>
      <c r="H274" s="137" t="b">
        <v>0</v>
      </c>
      <c r="I274" s="135"/>
      <c r="J274" s="136"/>
      <c r="K274" s="136"/>
      <c r="L274" s="137"/>
      <c r="M274" s="135"/>
      <c r="N274" s="136"/>
      <c r="O274" s="136"/>
      <c r="P274" s="137"/>
      <c r="Q274" s="135"/>
      <c r="R274" s="136"/>
      <c r="S274" s="136"/>
      <c r="T274" s="137"/>
      <c r="U274" s="135"/>
      <c r="V274" s="136"/>
      <c r="W274" s="138"/>
      <c r="X274" s="136"/>
      <c r="Y274" s="137"/>
      <c r="Z274" s="135"/>
      <c r="AA274" s="136"/>
      <c r="AB274" s="138"/>
      <c r="AC274" s="136"/>
      <c r="AD274" s="137"/>
      <c r="AE274" s="139">
        <f t="shared" si="14"/>
        <v>0</v>
      </c>
    </row>
    <row r="275" ht="15.75" customHeight="1" spans="1:31">
      <c r="A275" s="125">
        <v>305</v>
      </c>
      <c r="B275" s="126"/>
      <c r="C275" s="126" t="s">
        <v>2</v>
      </c>
      <c r="D275" s="126" t="s">
        <v>3656</v>
      </c>
      <c r="E275" s="128" t="b">
        <v>0</v>
      </c>
      <c r="F275" s="129" t="b">
        <v>0</v>
      </c>
      <c r="G275" s="129" t="b">
        <v>0</v>
      </c>
      <c r="H275" s="130" t="b">
        <v>0</v>
      </c>
      <c r="I275" s="128"/>
      <c r="J275" s="129"/>
      <c r="K275" s="129"/>
      <c r="L275" s="130"/>
      <c r="M275" s="128"/>
      <c r="N275" s="129"/>
      <c r="O275" s="129"/>
      <c r="P275" s="130"/>
      <c r="Q275" s="128"/>
      <c r="R275" s="129"/>
      <c r="S275" s="129"/>
      <c r="T275" s="130"/>
      <c r="U275" s="128"/>
      <c r="V275" s="129"/>
      <c r="W275" s="131"/>
      <c r="X275" s="129"/>
      <c r="Y275" s="130"/>
      <c r="Z275" s="128"/>
      <c r="AA275" s="129"/>
      <c r="AB275" s="131"/>
      <c r="AC275" s="129"/>
      <c r="AD275" s="130"/>
      <c r="AE275" s="132">
        <f t="shared" si="14"/>
        <v>0</v>
      </c>
    </row>
    <row r="276" ht="15.75" customHeight="1" spans="1:31">
      <c r="A276" s="133">
        <v>307</v>
      </c>
      <c r="B276" s="134"/>
      <c r="C276" s="134" t="s">
        <v>2</v>
      </c>
      <c r="D276" s="134" t="s">
        <v>777</v>
      </c>
      <c r="E276" s="135" t="b">
        <v>1</v>
      </c>
      <c r="F276" s="136" t="b">
        <v>0</v>
      </c>
      <c r="G276" s="136" t="b">
        <v>1</v>
      </c>
      <c r="H276" s="137" t="b">
        <v>1</v>
      </c>
      <c r="I276" s="135"/>
      <c r="J276" s="136"/>
      <c r="K276" s="136"/>
      <c r="L276" s="137"/>
      <c r="M276" s="135"/>
      <c r="N276" s="136"/>
      <c r="O276" s="136"/>
      <c r="P276" s="137"/>
      <c r="Q276" s="135"/>
      <c r="R276" s="136"/>
      <c r="S276" s="136"/>
      <c r="T276" s="137"/>
      <c r="U276" s="135"/>
      <c r="V276" s="136"/>
      <c r="W276" s="138"/>
      <c r="X276" s="136"/>
      <c r="Y276" s="137"/>
      <c r="Z276" s="135"/>
      <c r="AA276" s="136"/>
      <c r="AB276" s="138"/>
      <c r="AC276" s="136"/>
      <c r="AD276" s="137"/>
      <c r="AE276" s="139">
        <f t="shared" si="14"/>
        <v>3</v>
      </c>
    </row>
    <row r="277" ht="15.75" customHeight="1" spans="1:31">
      <c r="A277" s="125">
        <v>311</v>
      </c>
      <c r="B277" s="126"/>
      <c r="C277" s="126" t="s">
        <v>3</v>
      </c>
      <c r="D277" s="126" t="s">
        <v>3657</v>
      </c>
      <c r="E277" s="128" t="b">
        <v>0</v>
      </c>
      <c r="F277" s="129" t="b">
        <v>0</v>
      </c>
      <c r="G277" s="129" t="b">
        <v>0</v>
      </c>
      <c r="H277" s="130" t="b">
        <v>0</v>
      </c>
      <c r="I277" s="128"/>
      <c r="J277" s="129"/>
      <c r="K277" s="129"/>
      <c r="L277" s="130"/>
      <c r="M277" s="128"/>
      <c r="N277" s="129"/>
      <c r="O277" s="129"/>
      <c r="P277" s="130"/>
      <c r="Q277" s="128"/>
      <c r="R277" s="129"/>
      <c r="S277" s="129"/>
      <c r="T277" s="130"/>
      <c r="U277" s="128"/>
      <c r="V277" s="129"/>
      <c r="W277" s="131"/>
      <c r="X277" s="129"/>
      <c r="Y277" s="130"/>
      <c r="Z277" s="128"/>
      <c r="AA277" s="129"/>
      <c r="AB277" s="131"/>
      <c r="AC277" s="129"/>
      <c r="AD277" s="130"/>
      <c r="AE277" s="132">
        <f t="shared" si="14"/>
        <v>0</v>
      </c>
    </row>
    <row r="278" ht="15.75" customHeight="1" spans="1:31">
      <c r="A278" s="133">
        <v>312</v>
      </c>
      <c r="B278" s="134"/>
      <c r="C278" s="134" t="s">
        <v>2</v>
      </c>
      <c r="D278" s="134" t="s">
        <v>3658</v>
      </c>
      <c r="E278" s="135" t="b">
        <v>1</v>
      </c>
      <c r="F278" s="136" t="b">
        <v>0</v>
      </c>
      <c r="G278" s="136" t="b">
        <v>1</v>
      </c>
      <c r="H278" s="137" t="b">
        <v>0</v>
      </c>
      <c r="I278" s="135"/>
      <c r="J278" s="136"/>
      <c r="K278" s="136"/>
      <c r="L278" s="137"/>
      <c r="M278" s="135"/>
      <c r="N278" s="136"/>
      <c r="O278" s="136"/>
      <c r="P278" s="137"/>
      <c r="Q278" s="135"/>
      <c r="R278" s="136"/>
      <c r="S278" s="136"/>
      <c r="T278" s="137"/>
      <c r="U278" s="135"/>
      <c r="V278" s="136"/>
      <c r="W278" s="138"/>
      <c r="X278" s="136"/>
      <c r="Y278" s="137"/>
      <c r="Z278" s="135"/>
      <c r="AA278" s="136"/>
      <c r="AB278" s="138"/>
      <c r="AC278" s="136"/>
      <c r="AD278" s="137"/>
      <c r="AE278" s="139">
        <f t="shared" si="14"/>
        <v>2</v>
      </c>
    </row>
    <row r="279" ht="15.75" customHeight="1" spans="1:31">
      <c r="A279" s="125">
        <v>313</v>
      </c>
      <c r="B279" s="126"/>
      <c r="D279" s="127" t="s">
        <v>3659</v>
      </c>
      <c r="E279" s="128" t="b">
        <v>0</v>
      </c>
      <c r="F279" s="129" t="b">
        <v>0</v>
      </c>
      <c r="G279" s="129" t="b">
        <v>1</v>
      </c>
      <c r="H279" s="130" t="b">
        <v>0</v>
      </c>
      <c r="I279" s="128"/>
      <c r="J279" s="129"/>
      <c r="K279" s="129"/>
      <c r="L279" s="130"/>
      <c r="M279" s="128"/>
      <c r="N279" s="129"/>
      <c r="O279" s="129"/>
      <c r="P279" s="130"/>
      <c r="Q279" s="128"/>
      <c r="R279" s="129"/>
      <c r="S279" s="129"/>
      <c r="T279" s="130"/>
      <c r="U279" s="128"/>
      <c r="V279" s="129"/>
      <c r="W279" s="131"/>
      <c r="X279" s="129"/>
      <c r="Y279" s="130"/>
      <c r="Z279" s="128"/>
      <c r="AA279" s="129"/>
      <c r="AB279" s="131"/>
      <c r="AC279" s="129"/>
      <c r="AD279" s="130"/>
      <c r="AE279" s="132">
        <f t="shared" si="14"/>
        <v>1</v>
      </c>
    </row>
    <row r="280" ht="15.75" customHeight="1" spans="1:31">
      <c r="A280" s="133">
        <v>314</v>
      </c>
      <c r="B280" s="134"/>
      <c r="D280" s="140" t="s">
        <v>3660</v>
      </c>
      <c r="E280" s="135" t="b">
        <v>1</v>
      </c>
      <c r="F280" s="136" t="b">
        <v>0</v>
      </c>
      <c r="G280" s="136" t="b">
        <v>1</v>
      </c>
      <c r="H280" s="137" t="b">
        <v>0</v>
      </c>
      <c r="I280" s="135"/>
      <c r="J280" s="136"/>
      <c r="K280" s="136"/>
      <c r="L280" s="137"/>
      <c r="M280" s="135"/>
      <c r="N280" s="136"/>
      <c r="O280" s="136"/>
      <c r="P280" s="137"/>
      <c r="Q280" s="135"/>
      <c r="R280" s="136"/>
      <c r="S280" s="136"/>
      <c r="T280" s="137"/>
      <c r="U280" s="135"/>
      <c r="V280" s="136"/>
      <c r="W280" s="138"/>
      <c r="X280" s="136"/>
      <c r="Y280" s="137"/>
      <c r="Z280" s="135"/>
      <c r="AA280" s="136"/>
      <c r="AB280" s="138"/>
      <c r="AC280" s="136"/>
      <c r="AD280" s="137"/>
      <c r="AE280" s="139">
        <f t="shared" si="14"/>
        <v>2</v>
      </c>
    </row>
    <row r="281" ht="15.75" customHeight="1" spans="1:31">
      <c r="A281" s="125">
        <v>315</v>
      </c>
      <c r="B281" s="126"/>
      <c r="C281" s="126" t="s">
        <v>3411</v>
      </c>
      <c r="D281" s="126" t="s">
        <v>3661</v>
      </c>
      <c r="E281" s="128" t="b">
        <v>0</v>
      </c>
      <c r="F281" s="129" t="b">
        <v>0</v>
      </c>
      <c r="G281" s="129" t="b">
        <v>0</v>
      </c>
      <c r="H281" s="130" t="b">
        <v>0</v>
      </c>
      <c r="I281" s="128"/>
      <c r="J281" s="129"/>
      <c r="K281" s="129"/>
      <c r="L281" s="130"/>
      <c r="M281" s="128"/>
      <c r="N281" s="129"/>
      <c r="O281" s="129"/>
      <c r="P281" s="130"/>
      <c r="Q281" s="128"/>
      <c r="R281" s="129"/>
      <c r="S281" s="129"/>
      <c r="T281" s="130"/>
      <c r="U281" s="128"/>
      <c r="V281" s="129"/>
      <c r="W281" s="131"/>
      <c r="X281" s="129"/>
      <c r="Y281" s="130"/>
      <c r="Z281" s="128"/>
      <c r="AA281" s="129"/>
      <c r="AB281" s="131"/>
      <c r="AC281" s="129"/>
      <c r="AD281" s="130"/>
      <c r="AE281" s="132">
        <f t="shared" si="14"/>
        <v>0</v>
      </c>
    </row>
    <row r="282" ht="15.75" customHeight="1" spans="1:31">
      <c r="A282" s="133">
        <v>316</v>
      </c>
      <c r="C282" s="140" t="s">
        <v>3413</v>
      </c>
      <c r="D282" s="140" t="s">
        <v>3662</v>
      </c>
      <c r="E282" s="140" t="b">
        <v>1</v>
      </c>
      <c r="F282" s="134" t="b">
        <v>0</v>
      </c>
      <c r="G282" s="140" t="b">
        <v>1</v>
      </c>
      <c r="H282" s="134" t="b">
        <v>0</v>
      </c>
    </row>
    <row r="283" ht="15.75" customHeight="1" spans="1:31">
      <c r="A283" s="125">
        <v>317</v>
      </c>
      <c r="C283" s="127" t="s">
        <v>3413</v>
      </c>
      <c r="D283" s="127" t="s">
        <v>3663</v>
      </c>
      <c r="E283" s="127" t="b">
        <v>1</v>
      </c>
      <c r="F283" s="126" t="b">
        <v>0</v>
      </c>
      <c r="G283" s="127" t="b">
        <v>0</v>
      </c>
      <c r="H283" s="126" t="b">
        <v>0</v>
      </c>
    </row>
    <row r="284" ht="15.75" customHeight="1" spans="1:31">
      <c r="A284" s="133">
        <v>318</v>
      </c>
      <c r="B284" s="134"/>
      <c r="C284" s="134" t="s">
        <v>3411</v>
      </c>
      <c r="D284" s="134" t="s">
        <v>3664</v>
      </c>
      <c r="E284" s="135" t="b">
        <v>1</v>
      </c>
      <c r="F284" s="136" t="b">
        <v>1</v>
      </c>
      <c r="G284" s="136" t="b">
        <v>1</v>
      </c>
      <c r="H284" s="137" t="b">
        <v>0</v>
      </c>
      <c r="I284" s="135"/>
      <c r="J284" s="136"/>
      <c r="K284" s="136"/>
      <c r="L284" s="137"/>
      <c r="M284" s="135"/>
      <c r="N284" s="136"/>
      <c r="O284" s="136"/>
      <c r="P284" s="137"/>
      <c r="Q284" s="135"/>
      <c r="R284" s="136"/>
      <c r="S284" s="136"/>
      <c r="T284" s="137"/>
      <c r="U284" s="135"/>
      <c r="V284" s="136"/>
      <c r="W284" s="138"/>
      <c r="X284" s="136"/>
      <c r="Y284" s="137"/>
      <c r="Z284" s="135"/>
      <c r="AA284" s="136"/>
      <c r="AB284" s="138"/>
      <c r="AC284" s="136"/>
      <c r="AD284" s="137"/>
      <c r="AE284" s="139">
        <f t="shared" ref="AE284:AE301" si="15">COUNTIF(E284:AD284,"TRUE")</f>
        <v>3</v>
      </c>
    </row>
    <row r="285" ht="15.75" customHeight="1" spans="1:31">
      <c r="A285" s="125">
        <v>319</v>
      </c>
      <c r="B285" s="126"/>
      <c r="C285" s="127" t="s">
        <v>3411</v>
      </c>
      <c r="D285" s="127" t="s">
        <v>3665</v>
      </c>
      <c r="E285" s="128" t="b">
        <v>0</v>
      </c>
      <c r="F285" s="129" t="b">
        <v>0</v>
      </c>
      <c r="G285" s="129" t="b">
        <v>1</v>
      </c>
      <c r="H285" s="130" t="b">
        <v>0</v>
      </c>
      <c r="I285" s="128"/>
      <c r="J285" s="129"/>
      <c r="K285" s="129"/>
      <c r="L285" s="130"/>
      <c r="M285" s="128"/>
      <c r="N285" s="129"/>
      <c r="O285" s="129"/>
      <c r="P285" s="130"/>
      <c r="Q285" s="128"/>
      <c r="R285" s="129"/>
      <c r="S285" s="129"/>
      <c r="T285" s="130"/>
      <c r="U285" s="128"/>
      <c r="V285" s="129"/>
      <c r="W285" s="131"/>
      <c r="X285" s="129"/>
      <c r="Y285" s="130"/>
      <c r="Z285" s="128"/>
      <c r="AA285" s="129"/>
      <c r="AB285" s="131"/>
      <c r="AC285" s="129"/>
      <c r="AD285" s="130"/>
      <c r="AE285" s="132">
        <f t="shared" si="15"/>
        <v>1</v>
      </c>
    </row>
    <row r="286" ht="15.75" customHeight="1" spans="1:31">
      <c r="A286" s="133">
        <v>320</v>
      </c>
      <c r="B286" s="134"/>
      <c r="C286" s="134" t="s">
        <v>3411</v>
      </c>
      <c r="D286" s="134" t="s">
        <v>3666</v>
      </c>
      <c r="E286" s="135" t="b">
        <v>1</v>
      </c>
      <c r="F286" s="136" t="b">
        <v>0</v>
      </c>
      <c r="G286" s="136" t="b">
        <v>1</v>
      </c>
      <c r="H286" s="137" t="b">
        <v>1</v>
      </c>
      <c r="I286" s="135"/>
      <c r="J286" s="136"/>
      <c r="K286" s="136"/>
      <c r="L286" s="137"/>
      <c r="M286" s="135"/>
      <c r="N286" s="136"/>
      <c r="O286" s="136"/>
      <c r="P286" s="137"/>
      <c r="Q286" s="135"/>
      <c r="R286" s="136"/>
      <c r="S286" s="136"/>
      <c r="T286" s="137"/>
      <c r="U286" s="135"/>
      <c r="V286" s="136"/>
      <c r="W286" s="138"/>
      <c r="X286" s="136"/>
      <c r="Y286" s="137"/>
      <c r="Z286" s="135"/>
      <c r="AA286" s="136"/>
      <c r="AB286" s="138"/>
      <c r="AC286" s="136"/>
      <c r="AD286" s="137"/>
      <c r="AE286" s="139">
        <f t="shared" si="15"/>
        <v>3</v>
      </c>
    </row>
    <row r="287" ht="15.75" customHeight="1" spans="1:31">
      <c r="A287" s="125">
        <v>321</v>
      </c>
      <c r="B287" s="126"/>
      <c r="C287" s="126" t="s">
        <v>3411</v>
      </c>
      <c r="D287" s="126" t="s">
        <v>3667</v>
      </c>
      <c r="E287" s="131" t="b">
        <v>0</v>
      </c>
      <c r="F287" s="131" t="b">
        <v>0</v>
      </c>
      <c r="G287" s="131" t="b">
        <v>0</v>
      </c>
      <c r="H287" s="131" t="b">
        <v>0</v>
      </c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  <c r="AA287" s="131"/>
      <c r="AB287" s="131"/>
      <c r="AC287" s="131"/>
      <c r="AD287" s="131"/>
      <c r="AE287" s="132">
        <f t="shared" si="15"/>
        <v>0</v>
      </c>
    </row>
    <row r="288" ht="15.75" customHeight="1" spans="1:31">
      <c r="A288" s="133">
        <v>324</v>
      </c>
      <c r="B288" s="134"/>
      <c r="C288" s="134" t="s">
        <v>2</v>
      </c>
      <c r="D288" s="134" t="s">
        <v>3668</v>
      </c>
      <c r="E288" s="138" t="b">
        <v>1</v>
      </c>
      <c r="F288" s="138" t="b">
        <v>0</v>
      </c>
      <c r="G288" s="138" t="b">
        <v>0</v>
      </c>
      <c r="H288" s="138" t="b">
        <v>1</v>
      </c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  <c r="AD288" s="138"/>
      <c r="AE288" s="139">
        <f t="shared" si="15"/>
        <v>2</v>
      </c>
    </row>
    <row r="289" ht="15.75" customHeight="1" spans="1:31">
      <c r="A289" s="125">
        <v>325</v>
      </c>
      <c r="B289" s="126"/>
      <c r="C289" s="126" t="s">
        <v>3411</v>
      </c>
      <c r="D289" s="126" t="s">
        <v>3669</v>
      </c>
      <c r="E289" s="128" t="b">
        <v>0</v>
      </c>
      <c r="F289" s="129" t="b">
        <v>0</v>
      </c>
      <c r="G289" s="129" t="b">
        <v>0</v>
      </c>
      <c r="H289" s="130" t="b">
        <v>0</v>
      </c>
      <c r="I289" s="128"/>
      <c r="J289" s="129"/>
      <c r="K289" s="129"/>
      <c r="L289" s="130"/>
      <c r="M289" s="128"/>
      <c r="N289" s="129"/>
      <c r="O289" s="129"/>
      <c r="P289" s="130"/>
      <c r="Q289" s="128"/>
      <c r="R289" s="129"/>
      <c r="S289" s="129"/>
      <c r="T289" s="130"/>
      <c r="U289" s="128"/>
      <c r="V289" s="129"/>
      <c r="W289" s="131"/>
      <c r="X289" s="129"/>
      <c r="Y289" s="130"/>
      <c r="Z289" s="128"/>
      <c r="AA289" s="129"/>
      <c r="AB289" s="131"/>
      <c r="AC289" s="129"/>
      <c r="AD289" s="130"/>
      <c r="AE289" s="132">
        <f t="shared" si="15"/>
        <v>0</v>
      </c>
    </row>
    <row r="290" ht="15.75" customHeight="1" spans="1:31">
      <c r="A290" s="133">
        <v>326</v>
      </c>
      <c r="C290" s="134" t="s">
        <v>2</v>
      </c>
      <c r="D290" s="134" t="s">
        <v>3670</v>
      </c>
      <c r="E290" s="135" t="b">
        <v>0</v>
      </c>
      <c r="F290" s="136" t="b">
        <v>0</v>
      </c>
      <c r="G290" s="136" t="b">
        <v>0</v>
      </c>
      <c r="H290" s="137" t="b">
        <v>0</v>
      </c>
      <c r="I290" s="135"/>
      <c r="J290" s="136"/>
      <c r="K290" s="136"/>
      <c r="L290" s="137"/>
      <c r="M290" s="135"/>
      <c r="N290" s="136"/>
      <c r="O290" s="136"/>
      <c r="P290" s="137"/>
      <c r="Q290" s="135"/>
      <c r="R290" s="136"/>
      <c r="S290" s="136"/>
      <c r="T290" s="137"/>
      <c r="U290" s="135"/>
      <c r="V290" s="136"/>
      <c r="W290" s="138"/>
      <c r="X290" s="136"/>
      <c r="Y290" s="137"/>
      <c r="Z290" s="135"/>
      <c r="AA290" s="136"/>
      <c r="AB290" s="138"/>
      <c r="AC290" s="136"/>
      <c r="AD290" s="137"/>
      <c r="AE290" s="139">
        <f t="shared" si="15"/>
        <v>0</v>
      </c>
    </row>
    <row r="291" ht="15.75" customHeight="1" spans="1:31">
      <c r="A291" s="125">
        <v>327</v>
      </c>
      <c r="C291" s="126"/>
      <c r="D291" s="126" t="s">
        <v>3671</v>
      </c>
      <c r="E291" s="131" t="b">
        <v>0</v>
      </c>
      <c r="F291" s="131" t="b">
        <v>1</v>
      </c>
      <c r="G291" s="131" t="b">
        <v>0</v>
      </c>
      <c r="H291" s="131" t="b">
        <v>0</v>
      </c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  <c r="AA291" s="131"/>
      <c r="AB291" s="131"/>
      <c r="AC291" s="131"/>
      <c r="AD291" s="131"/>
      <c r="AE291" s="132">
        <f t="shared" si="15"/>
        <v>1</v>
      </c>
    </row>
    <row r="292" ht="15.75" customHeight="1" spans="1:31">
      <c r="A292" s="133">
        <v>329</v>
      </c>
      <c r="C292" s="134" t="s">
        <v>2</v>
      </c>
      <c r="D292" s="134" t="s">
        <v>3672</v>
      </c>
      <c r="E292" s="135" t="b">
        <v>1</v>
      </c>
      <c r="F292" s="136" t="b">
        <v>0</v>
      </c>
      <c r="G292" s="136" t="b">
        <v>1</v>
      </c>
      <c r="H292" s="137" t="b">
        <v>1</v>
      </c>
      <c r="I292" s="135"/>
      <c r="J292" s="136"/>
      <c r="K292" s="136"/>
      <c r="L292" s="137"/>
      <c r="M292" s="135"/>
      <c r="N292" s="136"/>
      <c r="O292" s="136"/>
      <c r="P292" s="137"/>
      <c r="Q292" s="135"/>
      <c r="R292" s="136"/>
      <c r="S292" s="136"/>
      <c r="T292" s="137"/>
      <c r="U292" s="135"/>
      <c r="V292" s="136"/>
      <c r="W292" s="138"/>
      <c r="X292" s="136"/>
      <c r="Y292" s="137"/>
      <c r="Z292" s="135"/>
      <c r="AA292" s="136"/>
      <c r="AB292" s="138"/>
      <c r="AC292" s="136"/>
      <c r="AD292" s="137"/>
      <c r="AE292" s="139">
        <f t="shared" si="15"/>
        <v>3</v>
      </c>
    </row>
    <row r="293" ht="15.75" customHeight="1" spans="1:31">
      <c r="A293" s="125">
        <v>330</v>
      </c>
      <c r="B293" s="126"/>
      <c r="C293" s="126"/>
      <c r="D293" s="126" t="s">
        <v>3673</v>
      </c>
      <c r="E293" s="128" t="b">
        <v>1</v>
      </c>
      <c r="F293" s="129" t="b">
        <v>0</v>
      </c>
      <c r="G293" s="129" t="b">
        <v>1</v>
      </c>
      <c r="H293" s="130" t="b">
        <v>1</v>
      </c>
      <c r="I293" s="128"/>
      <c r="J293" s="129"/>
      <c r="K293" s="129"/>
      <c r="L293" s="130"/>
      <c r="M293" s="128"/>
      <c r="N293" s="129"/>
      <c r="O293" s="129"/>
      <c r="P293" s="130"/>
      <c r="Q293" s="128"/>
      <c r="R293" s="129"/>
      <c r="S293" s="129"/>
      <c r="T293" s="130"/>
      <c r="U293" s="128"/>
      <c r="V293" s="129"/>
      <c r="W293" s="131"/>
      <c r="X293" s="129"/>
      <c r="Y293" s="130"/>
      <c r="Z293" s="128"/>
      <c r="AA293" s="129"/>
      <c r="AB293" s="131"/>
      <c r="AC293" s="129"/>
      <c r="AD293" s="130"/>
      <c r="AE293" s="132">
        <f t="shared" si="15"/>
        <v>3</v>
      </c>
    </row>
    <row r="294" ht="15.75" customHeight="1" spans="1:31">
      <c r="A294" s="133">
        <v>331</v>
      </c>
      <c r="B294" s="134"/>
      <c r="C294" s="134" t="s">
        <v>2</v>
      </c>
      <c r="D294" s="134" t="s">
        <v>3674</v>
      </c>
      <c r="E294" s="135" t="b">
        <v>1</v>
      </c>
      <c r="F294" s="136" t="b">
        <v>0</v>
      </c>
      <c r="G294" s="136" t="b">
        <v>1</v>
      </c>
      <c r="H294" s="137" t="b">
        <v>1</v>
      </c>
      <c r="I294" s="135"/>
      <c r="J294" s="136"/>
      <c r="K294" s="136"/>
      <c r="L294" s="137"/>
      <c r="M294" s="135"/>
      <c r="N294" s="136"/>
      <c r="O294" s="136"/>
      <c r="P294" s="137"/>
      <c r="Q294" s="135"/>
      <c r="R294" s="136"/>
      <c r="S294" s="136"/>
      <c r="T294" s="137"/>
      <c r="U294" s="135"/>
      <c r="V294" s="136"/>
      <c r="W294" s="138"/>
      <c r="X294" s="136"/>
      <c r="Y294" s="137"/>
      <c r="Z294" s="135"/>
      <c r="AA294" s="136"/>
      <c r="AB294" s="138"/>
      <c r="AC294" s="136"/>
      <c r="AD294" s="137"/>
      <c r="AE294" s="139">
        <f t="shared" si="15"/>
        <v>3</v>
      </c>
    </row>
    <row r="295" ht="15.75" customHeight="1" spans="1:31">
      <c r="A295" s="125">
        <v>332</v>
      </c>
      <c r="B295" s="126"/>
      <c r="C295" s="127" t="s">
        <v>3411</v>
      </c>
      <c r="D295" s="126" t="s">
        <v>3675</v>
      </c>
      <c r="E295" s="128" t="b">
        <v>1</v>
      </c>
      <c r="F295" s="129" t="b">
        <v>0</v>
      </c>
      <c r="G295" s="129" t="b">
        <v>1</v>
      </c>
      <c r="H295" s="130" t="b">
        <v>0</v>
      </c>
      <c r="I295" s="128"/>
      <c r="J295" s="129"/>
      <c r="K295" s="129"/>
      <c r="L295" s="130"/>
      <c r="M295" s="128"/>
      <c r="N295" s="129"/>
      <c r="O295" s="129"/>
      <c r="P295" s="130"/>
      <c r="Q295" s="128"/>
      <c r="R295" s="129"/>
      <c r="S295" s="129"/>
      <c r="T295" s="130"/>
      <c r="U295" s="128"/>
      <c r="V295" s="129"/>
      <c r="W295" s="131"/>
      <c r="X295" s="129"/>
      <c r="Y295" s="130"/>
      <c r="Z295" s="128"/>
      <c r="AA295" s="129"/>
      <c r="AB295" s="131"/>
      <c r="AC295" s="129"/>
      <c r="AD295" s="130"/>
      <c r="AE295" s="132">
        <f t="shared" si="15"/>
        <v>2</v>
      </c>
    </row>
    <row r="296" ht="15.75" customHeight="1" spans="1:31">
      <c r="A296" s="133">
        <v>333</v>
      </c>
      <c r="C296" s="134" t="s">
        <v>3411</v>
      </c>
      <c r="D296" s="134" t="s">
        <v>3676</v>
      </c>
      <c r="E296" s="138" t="b">
        <v>1</v>
      </c>
      <c r="F296" s="138" t="b">
        <v>0</v>
      </c>
      <c r="G296" s="138" t="b">
        <v>0</v>
      </c>
      <c r="H296" s="138" t="b">
        <v>0</v>
      </c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  <c r="AD296" s="138"/>
      <c r="AE296" s="139">
        <f t="shared" si="15"/>
        <v>1</v>
      </c>
    </row>
    <row r="297" ht="15.75" customHeight="1" spans="1:31">
      <c r="A297" s="125">
        <v>335</v>
      </c>
      <c r="B297" s="126"/>
      <c r="C297" s="126"/>
      <c r="D297" s="126" t="s">
        <v>3677</v>
      </c>
      <c r="E297" s="128" t="b">
        <v>1</v>
      </c>
      <c r="F297" s="129" t="b">
        <v>0</v>
      </c>
      <c r="G297" s="129" t="b">
        <v>0</v>
      </c>
      <c r="H297" s="130" t="b">
        <v>0</v>
      </c>
      <c r="I297" s="128"/>
      <c r="J297" s="129"/>
      <c r="K297" s="129"/>
      <c r="L297" s="130"/>
      <c r="M297" s="128"/>
      <c r="N297" s="129"/>
      <c r="O297" s="129"/>
      <c r="P297" s="130"/>
      <c r="Q297" s="128"/>
      <c r="R297" s="129"/>
      <c r="S297" s="129"/>
      <c r="T297" s="130"/>
      <c r="U297" s="128"/>
      <c r="V297" s="129"/>
      <c r="W297" s="131"/>
      <c r="X297" s="129"/>
      <c r="Y297" s="130"/>
      <c r="Z297" s="128"/>
      <c r="AA297" s="129"/>
      <c r="AB297" s="131"/>
      <c r="AC297" s="129"/>
      <c r="AD297" s="130"/>
      <c r="AE297" s="132">
        <f t="shared" si="15"/>
        <v>1</v>
      </c>
    </row>
    <row r="298" ht="15.75" customHeight="1" spans="1:31">
      <c r="A298" s="133">
        <v>336</v>
      </c>
      <c r="B298" s="134"/>
      <c r="C298" s="140" t="s">
        <v>3411</v>
      </c>
      <c r="D298" s="134" t="s">
        <v>3678</v>
      </c>
      <c r="E298" s="135" t="b">
        <v>1</v>
      </c>
      <c r="F298" s="136" t="b">
        <v>1</v>
      </c>
      <c r="G298" s="136" t="b">
        <v>0</v>
      </c>
      <c r="H298" s="137" t="b">
        <v>0</v>
      </c>
      <c r="I298" s="135"/>
      <c r="J298" s="136"/>
      <c r="K298" s="136"/>
      <c r="L298" s="137"/>
      <c r="M298" s="135"/>
      <c r="N298" s="136"/>
      <c r="O298" s="136"/>
      <c r="P298" s="137"/>
      <c r="Q298" s="135"/>
      <c r="R298" s="136"/>
      <c r="S298" s="136"/>
      <c r="T298" s="137"/>
      <c r="U298" s="135"/>
      <c r="V298" s="136"/>
      <c r="W298" s="138"/>
      <c r="X298" s="136"/>
      <c r="Y298" s="137"/>
      <c r="Z298" s="135"/>
      <c r="AA298" s="136"/>
      <c r="AB298" s="138"/>
      <c r="AC298" s="136"/>
      <c r="AD298" s="137"/>
      <c r="AE298" s="139">
        <f t="shared" si="15"/>
        <v>2</v>
      </c>
    </row>
    <row r="299" ht="15.75" customHeight="1" spans="1:31">
      <c r="A299" s="125">
        <v>337</v>
      </c>
      <c r="B299" s="126"/>
      <c r="C299" s="126" t="s">
        <v>2</v>
      </c>
      <c r="D299" s="126" t="s">
        <v>3679</v>
      </c>
      <c r="E299" s="128" t="b">
        <v>1</v>
      </c>
      <c r="F299" s="129" t="b">
        <v>1</v>
      </c>
      <c r="G299" s="129" t="b">
        <v>1</v>
      </c>
      <c r="H299" s="130" t="b">
        <v>1</v>
      </c>
      <c r="I299" s="128"/>
      <c r="J299" s="129"/>
      <c r="K299" s="129"/>
      <c r="L299" s="130"/>
      <c r="M299" s="128"/>
      <c r="N299" s="129"/>
      <c r="O299" s="129"/>
      <c r="P299" s="130"/>
      <c r="Q299" s="128"/>
      <c r="R299" s="129"/>
      <c r="S299" s="129"/>
      <c r="T299" s="130"/>
      <c r="U299" s="128"/>
      <c r="V299" s="129"/>
      <c r="W299" s="131"/>
      <c r="X299" s="129"/>
      <c r="Y299" s="130"/>
      <c r="Z299" s="128"/>
      <c r="AA299" s="129"/>
      <c r="AB299" s="131"/>
      <c r="AC299" s="129"/>
      <c r="AD299" s="130"/>
      <c r="AE299" s="132">
        <f t="shared" si="15"/>
        <v>4</v>
      </c>
    </row>
    <row r="300" ht="15.75" customHeight="1" spans="1:31">
      <c r="A300" s="133">
        <v>338</v>
      </c>
      <c r="B300" s="134"/>
      <c r="C300" s="134"/>
      <c r="D300" s="134" t="s">
        <v>3680</v>
      </c>
      <c r="E300" s="135" t="b">
        <v>1</v>
      </c>
      <c r="F300" s="136" t="b">
        <v>0</v>
      </c>
      <c r="G300" s="136" t="b">
        <v>0</v>
      </c>
      <c r="H300" s="137" t="b">
        <v>0</v>
      </c>
      <c r="I300" s="135"/>
      <c r="J300" s="136"/>
      <c r="K300" s="136"/>
      <c r="L300" s="137"/>
      <c r="M300" s="135"/>
      <c r="N300" s="136"/>
      <c r="O300" s="136"/>
      <c r="P300" s="137"/>
      <c r="Q300" s="135"/>
      <c r="R300" s="136"/>
      <c r="S300" s="136"/>
      <c r="T300" s="137"/>
      <c r="U300" s="135"/>
      <c r="V300" s="136"/>
      <c r="W300" s="138"/>
      <c r="X300" s="136"/>
      <c r="Y300" s="137"/>
      <c r="Z300" s="135"/>
      <c r="AA300" s="136"/>
      <c r="AB300" s="138"/>
      <c r="AC300" s="136"/>
      <c r="AD300" s="137"/>
      <c r="AE300" s="139">
        <f t="shared" si="15"/>
        <v>1</v>
      </c>
    </row>
    <row r="301" ht="15.75" customHeight="1" spans="1:31">
      <c r="A301" s="125">
        <v>339</v>
      </c>
      <c r="B301" s="126"/>
      <c r="C301" s="127" t="s">
        <v>3</v>
      </c>
      <c r="D301" s="127" t="s">
        <v>3681</v>
      </c>
      <c r="E301" s="128" t="b">
        <v>1</v>
      </c>
      <c r="F301" s="129" t="b">
        <v>1</v>
      </c>
      <c r="G301" s="129" t="b">
        <v>1</v>
      </c>
      <c r="H301" s="130" t="b">
        <v>1</v>
      </c>
      <c r="I301" s="128"/>
      <c r="J301" s="129"/>
      <c r="K301" s="129"/>
      <c r="L301" s="130"/>
      <c r="M301" s="128"/>
      <c r="N301" s="129"/>
      <c r="O301" s="129"/>
      <c r="P301" s="130"/>
      <c r="Q301" s="128"/>
      <c r="R301" s="129"/>
      <c r="S301" s="129"/>
      <c r="T301" s="130"/>
      <c r="U301" s="128"/>
      <c r="V301" s="129"/>
      <c r="W301" s="131"/>
      <c r="X301" s="129"/>
      <c r="Y301" s="130"/>
      <c r="Z301" s="128"/>
      <c r="AA301" s="129"/>
      <c r="AB301" s="131"/>
      <c r="AC301" s="129"/>
      <c r="AD301" s="130"/>
      <c r="AE301" s="132">
        <f t="shared" si="15"/>
        <v>4</v>
      </c>
    </row>
    <row r="302" ht="15.75" customHeight="1" spans="1:31">
      <c r="A302" s="133">
        <v>340</v>
      </c>
      <c r="C302" s="140" t="s">
        <v>3411</v>
      </c>
      <c r="D302" s="140" t="s">
        <v>3682</v>
      </c>
      <c r="E302" s="144" t="b">
        <v>0</v>
      </c>
      <c r="F302" s="142" t="b">
        <v>0</v>
      </c>
      <c r="G302" s="149" t="b">
        <v>1</v>
      </c>
      <c r="H302" s="143" t="b">
        <v>0</v>
      </c>
      <c r="I302" s="144"/>
      <c r="J302" s="142"/>
      <c r="K302" s="142"/>
      <c r="L302" s="143"/>
      <c r="M302" s="144"/>
      <c r="N302" s="142"/>
      <c r="O302" s="142"/>
      <c r="P302" s="143"/>
      <c r="Q302" s="144"/>
      <c r="R302" s="142"/>
      <c r="S302" s="142"/>
      <c r="T302" s="143"/>
      <c r="U302" s="144"/>
      <c r="V302" s="142"/>
      <c r="X302" s="142"/>
      <c r="Y302" s="143"/>
      <c r="Z302" s="144"/>
      <c r="AA302" s="142"/>
      <c r="AC302" s="142"/>
      <c r="AD302" s="143"/>
    </row>
    <row r="303" ht="15.75" customHeight="1" spans="1:31">
      <c r="A303" s="125">
        <v>341</v>
      </c>
      <c r="C303" s="127" t="s">
        <v>2</v>
      </c>
      <c r="D303" s="127" t="s">
        <v>1928</v>
      </c>
      <c r="E303" s="145" t="b">
        <v>0</v>
      </c>
      <c r="F303" s="147" t="b">
        <v>0</v>
      </c>
      <c r="G303" s="147" t="b">
        <v>1</v>
      </c>
      <c r="H303" s="148" t="b">
        <v>0</v>
      </c>
      <c r="I303" s="145"/>
      <c r="J303" s="146"/>
      <c r="K303" s="146"/>
      <c r="L303" s="148"/>
      <c r="M303" s="145"/>
      <c r="N303" s="146"/>
      <c r="O303" s="146"/>
      <c r="P303" s="148"/>
      <c r="Q303" s="145"/>
      <c r="R303" s="146"/>
      <c r="S303" s="146"/>
      <c r="T303" s="148"/>
      <c r="U303" s="145"/>
      <c r="V303" s="146"/>
      <c r="X303" s="146"/>
      <c r="Y303" s="148"/>
      <c r="Z303" s="145"/>
      <c r="AA303" s="146"/>
      <c r="AC303" s="146"/>
      <c r="AD303" s="148"/>
    </row>
    <row r="304" ht="15.75" customHeight="1" spans="1:31">
      <c r="A304" s="133">
        <v>342</v>
      </c>
      <c r="B304" s="134"/>
      <c r="C304" s="134"/>
      <c r="D304" s="134" t="s">
        <v>3683</v>
      </c>
      <c r="E304" s="135" t="b">
        <v>1</v>
      </c>
      <c r="F304" s="136" t="b">
        <v>0</v>
      </c>
      <c r="G304" s="136" t="b">
        <v>1</v>
      </c>
      <c r="H304" s="137" t="b">
        <v>0</v>
      </c>
      <c r="I304" s="135"/>
      <c r="J304" s="136"/>
      <c r="K304" s="136"/>
      <c r="L304" s="137"/>
      <c r="M304" s="135"/>
      <c r="N304" s="136"/>
      <c r="O304" s="136"/>
      <c r="P304" s="137"/>
      <c r="Q304" s="135"/>
      <c r="R304" s="136"/>
      <c r="S304" s="136"/>
      <c r="T304" s="137"/>
      <c r="U304" s="135"/>
      <c r="V304" s="136"/>
      <c r="W304" s="138"/>
      <c r="X304" s="136"/>
      <c r="Y304" s="137"/>
      <c r="Z304" s="135"/>
      <c r="AA304" s="136"/>
      <c r="AB304" s="138"/>
      <c r="AC304" s="136"/>
      <c r="AD304" s="137"/>
      <c r="AE304" s="139">
        <f t="shared" ref="AE304:AE319" si="16">COUNTIF(E304:AD304,"TRUE")</f>
        <v>2</v>
      </c>
    </row>
    <row r="305" ht="15.75" customHeight="1" spans="1:31">
      <c r="A305" s="125">
        <v>343</v>
      </c>
      <c r="B305" s="126"/>
      <c r="C305" s="126" t="s">
        <v>3</v>
      </c>
      <c r="D305" s="126" t="s">
        <v>3684</v>
      </c>
      <c r="E305" s="128" t="b">
        <v>0</v>
      </c>
      <c r="F305" s="129" t="b">
        <v>0</v>
      </c>
      <c r="G305" s="129" t="b">
        <v>0</v>
      </c>
      <c r="H305" s="130" t="b">
        <v>0</v>
      </c>
      <c r="I305" s="128"/>
      <c r="J305" s="129"/>
      <c r="K305" s="129"/>
      <c r="L305" s="130"/>
      <c r="M305" s="128"/>
      <c r="N305" s="129"/>
      <c r="O305" s="129"/>
      <c r="P305" s="130"/>
      <c r="Q305" s="128"/>
      <c r="R305" s="129"/>
      <c r="S305" s="129"/>
      <c r="T305" s="130"/>
      <c r="U305" s="128"/>
      <c r="V305" s="129"/>
      <c r="W305" s="131"/>
      <c r="X305" s="129"/>
      <c r="Y305" s="130"/>
      <c r="Z305" s="128"/>
      <c r="AA305" s="129"/>
      <c r="AB305" s="131"/>
      <c r="AC305" s="129"/>
      <c r="AD305" s="130"/>
      <c r="AE305" s="132">
        <f t="shared" si="16"/>
        <v>0</v>
      </c>
    </row>
    <row r="306" ht="15.75" customHeight="1" spans="1:31">
      <c r="A306" s="133">
        <v>344</v>
      </c>
      <c r="B306" s="134"/>
      <c r="C306" s="134" t="s">
        <v>2</v>
      </c>
      <c r="D306" s="134" t="s">
        <v>3685</v>
      </c>
      <c r="E306" s="135" t="b">
        <v>0</v>
      </c>
      <c r="F306" s="136" t="b">
        <v>0</v>
      </c>
      <c r="G306" s="136" t="b">
        <v>0</v>
      </c>
      <c r="H306" s="137" t="b">
        <v>0</v>
      </c>
      <c r="I306" s="135"/>
      <c r="J306" s="136"/>
      <c r="K306" s="136"/>
      <c r="L306" s="137"/>
      <c r="M306" s="135"/>
      <c r="N306" s="136"/>
      <c r="O306" s="136"/>
      <c r="P306" s="137"/>
      <c r="Q306" s="135"/>
      <c r="R306" s="136"/>
      <c r="S306" s="136"/>
      <c r="T306" s="137"/>
      <c r="U306" s="135"/>
      <c r="V306" s="136"/>
      <c r="W306" s="138"/>
      <c r="X306" s="136"/>
      <c r="Y306" s="137"/>
      <c r="Z306" s="135"/>
      <c r="AA306" s="136"/>
      <c r="AB306" s="138"/>
      <c r="AC306" s="136"/>
      <c r="AD306" s="137"/>
      <c r="AE306" s="139">
        <f t="shared" si="16"/>
        <v>0</v>
      </c>
    </row>
    <row r="307" ht="15.75" customHeight="1" spans="1:31">
      <c r="A307" s="125">
        <v>345</v>
      </c>
      <c r="B307" s="126"/>
      <c r="C307" s="127" t="s">
        <v>3411</v>
      </c>
      <c r="D307" s="127" t="s">
        <v>3686</v>
      </c>
      <c r="E307" s="128" t="b">
        <v>0</v>
      </c>
      <c r="F307" s="129" t="b">
        <v>0</v>
      </c>
      <c r="G307" s="129" t="b">
        <v>1</v>
      </c>
      <c r="H307" s="130" t="b">
        <v>1</v>
      </c>
      <c r="I307" s="128"/>
      <c r="J307" s="129"/>
      <c r="K307" s="129"/>
      <c r="L307" s="130"/>
      <c r="M307" s="128"/>
      <c r="N307" s="129"/>
      <c r="O307" s="129"/>
      <c r="P307" s="130"/>
      <c r="Q307" s="128"/>
      <c r="R307" s="129"/>
      <c r="S307" s="129"/>
      <c r="T307" s="130"/>
      <c r="U307" s="128"/>
      <c r="V307" s="129"/>
      <c r="W307" s="131"/>
      <c r="X307" s="129"/>
      <c r="Y307" s="130"/>
      <c r="Z307" s="128"/>
      <c r="AA307" s="129"/>
      <c r="AB307" s="131"/>
      <c r="AC307" s="129"/>
      <c r="AD307" s="130"/>
      <c r="AE307" s="132">
        <f t="shared" si="16"/>
        <v>2</v>
      </c>
    </row>
    <row r="308" ht="15.75" customHeight="1" spans="1:31">
      <c r="A308" s="133">
        <v>620</v>
      </c>
      <c r="B308" s="134"/>
      <c r="C308" s="134" t="s">
        <v>2</v>
      </c>
      <c r="D308" s="134" t="s">
        <v>1949</v>
      </c>
      <c r="E308" s="135" t="b">
        <v>1</v>
      </c>
      <c r="F308" s="136" t="b">
        <v>1</v>
      </c>
      <c r="G308" s="136" t="b">
        <v>1</v>
      </c>
      <c r="H308" s="137" t="b">
        <v>1</v>
      </c>
      <c r="I308" s="135"/>
      <c r="J308" s="136"/>
      <c r="K308" s="136"/>
      <c r="L308" s="137"/>
      <c r="M308" s="135"/>
      <c r="N308" s="136"/>
      <c r="O308" s="136"/>
      <c r="P308" s="137"/>
      <c r="Q308" s="135"/>
      <c r="R308" s="136"/>
      <c r="S308" s="136"/>
      <c r="T308" s="137"/>
      <c r="U308" s="135"/>
      <c r="V308" s="136"/>
      <c r="W308" s="138"/>
      <c r="X308" s="136"/>
      <c r="Y308" s="137"/>
      <c r="Z308" s="135"/>
      <c r="AA308" s="136"/>
      <c r="AB308" s="138"/>
      <c r="AC308" s="136"/>
      <c r="AD308" s="137"/>
      <c r="AE308" s="139">
        <f t="shared" si="16"/>
        <v>4</v>
      </c>
    </row>
    <row r="309" ht="15.75" customHeight="1" spans="1:31">
      <c r="A309" s="125">
        <v>346</v>
      </c>
      <c r="B309" s="126"/>
      <c r="C309" s="126" t="s">
        <v>3</v>
      </c>
      <c r="D309" s="126" t="s">
        <v>3687</v>
      </c>
      <c r="E309" s="128" t="b">
        <v>0</v>
      </c>
      <c r="F309" s="129" t="b">
        <v>0</v>
      </c>
      <c r="G309" s="129" t="b">
        <v>0</v>
      </c>
      <c r="H309" s="130" t="b">
        <v>0</v>
      </c>
      <c r="I309" s="128"/>
      <c r="J309" s="129"/>
      <c r="K309" s="129"/>
      <c r="L309" s="130"/>
      <c r="M309" s="128"/>
      <c r="N309" s="129"/>
      <c r="O309" s="129"/>
      <c r="P309" s="130"/>
      <c r="Q309" s="128"/>
      <c r="R309" s="129"/>
      <c r="S309" s="129"/>
      <c r="T309" s="130"/>
      <c r="U309" s="128"/>
      <c r="V309" s="129"/>
      <c r="W309" s="131"/>
      <c r="X309" s="129"/>
      <c r="Y309" s="130"/>
      <c r="Z309" s="128"/>
      <c r="AA309" s="129"/>
      <c r="AB309" s="131"/>
      <c r="AC309" s="129"/>
      <c r="AD309" s="130"/>
      <c r="AE309" s="132">
        <f t="shared" si="16"/>
        <v>0</v>
      </c>
    </row>
    <row r="310" ht="15.75" customHeight="1" spans="1:31">
      <c r="A310" s="133">
        <v>347</v>
      </c>
      <c r="B310" s="140" t="s">
        <v>3434</v>
      </c>
      <c r="C310" s="134"/>
      <c r="D310" s="152" t="s">
        <v>3688</v>
      </c>
      <c r="E310" s="135" t="b">
        <v>0</v>
      </c>
      <c r="F310" s="136" t="b">
        <v>1</v>
      </c>
      <c r="G310" s="136" t="b">
        <v>1</v>
      </c>
      <c r="H310" s="137" t="b">
        <v>1</v>
      </c>
      <c r="I310" s="135"/>
      <c r="J310" s="136"/>
      <c r="K310" s="136"/>
      <c r="L310" s="137"/>
      <c r="M310" s="135"/>
      <c r="N310" s="136"/>
      <c r="O310" s="136"/>
      <c r="P310" s="137"/>
      <c r="Q310" s="135"/>
      <c r="R310" s="136"/>
      <c r="S310" s="136"/>
      <c r="T310" s="137"/>
      <c r="U310" s="135"/>
      <c r="V310" s="136"/>
      <c r="W310" s="138"/>
      <c r="X310" s="136"/>
      <c r="Y310" s="137"/>
      <c r="Z310" s="135"/>
      <c r="AA310" s="136"/>
      <c r="AB310" s="138"/>
      <c r="AC310" s="136"/>
      <c r="AD310" s="137"/>
      <c r="AE310" s="139">
        <f t="shared" si="16"/>
        <v>3</v>
      </c>
    </row>
    <row r="311" ht="15.75" customHeight="1" spans="1:31">
      <c r="A311" s="125">
        <v>348</v>
      </c>
      <c r="B311" s="126"/>
      <c r="C311" s="126" t="s">
        <v>3411</v>
      </c>
      <c r="D311" s="126" t="s">
        <v>3689</v>
      </c>
      <c r="E311" s="128" t="b">
        <v>1</v>
      </c>
      <c r="F311" s="129" t="b">
        <v>1</v>
      </c>
      <c r="G311" s="129" t="b">
        <v>1</v>
      </c>
      <c r="H311" s="130" t="b">
        <v>1</v>
      </c>
      <c r="I311" s="128"/>
      <c r="J311" s="129"/>
      <c r="K311" s="129"/>
      <c r="L311" s="130"/>
      <c r="M311" s="128"/>
      <c r="N311" s="129"/>
      <c r="O311" s="129"/>
      <c r="P311" s="130"/>
      <c r="Q311" s="128"/>
      <c r="R311" s="129"/>
      <c r="S311" s="129"/>
      <c r="T311" s="130"/>
      <c r="U311" s="128"/>
      <c r="V311" s="129"/>
      <c r="W311" s="131"/>
      <c r="X311" s="129"/>
      <c r="Y311" s="130"/>
      <c r="Z311" s="128"/>
      <c r="AA311" s="129"/>
      <c r="AB311" s="131"/>
      <c r="AC311" s="129"/>
      <c r="AD311" s="130"/>
      <c r="AE311" s="132">
        <f t="shared" si="16"/>
        <v>4</v>
      </c>
    </row>
    <row r="312" ht="15.75" customHeight="1" spans="1:31">
      <c r="A312" s="133">
        <v>349</v>
      </c>
      <c r="B312" s="134"/>
      <c r="C312" s="134" t="s">
        <v>3411</v>
      </c>
      <c r="D312" s="134" t="s">
        <v>3690</v>
      </c>
      <c r="E312" s="135" t="b">
        <v>1</v>
      </c>
      <c r="F312" s="136" t="b">
        <v>1</v>
      </c>
      <c r="G312" s="136" t="b">
        <v>1</v>
      </c>
      <c r="H312" s="137" t="b">
        <v>1</v>
      </c>
      <c r="I312" s="135"/>
      <c r="J312" s="136"/>
      <c r="K312" s="136"/>
      <c r="L312" s="137"/>
      <c r="M312" s="135"/>
      <c r="N312" s="136"/>
      <c r="O312" s="136"/>
      <c r="P312" s="137"/>
      <c r="Q312" s="135"/>
      <c r="R312" s="136"/>
      <c r="S312" s="136"/>
      <c r="T312" s="137"/>
      <c r="U312" s="135"/>
      <c r="V312" s="136"/>
      <c r="W312" s="138"/>
      <c r="X312" s="136"/>
      <c r="Y312" s="137"/>
      <c r="Z312" s="135"/>
      <c r="AA312" s="136"/>
      <c r="AB312" s="138"/>
      <c r="AC312" s="136"/>
      <c r="AD312" s="137"/>
      <c r="AE312" s="139">
        <f t="shared" si="16"/>
        <v>4</v>
      </c>
    </row>
    <row r="313" ht="15.75" customHeight="1" spans="1:31">
      <c r="A313" s="125">
        <v>350</v>
      </c>
      <c r="B313" s="126"/>
      <c r="C313" s="126" t="s">
        <v>2</v>
      </c>
      <c r="D313" s="126" t="s">
        <v>3691</v>
      </c>
      <c r="E313" s="128" t="b">
        <v>1</v>
      </c>
      <c r="F313" s="129" t="b">
        <v>1</v>
      </c>
      <c r="G313" s="129" t="b">
        <v>1</v>
      </c>
      <c r="H313" s="130" t="b">
        <v>1</v>
      </c>
      <c r="I313" s="128"/>
      <c r="J313" s="129"/>
      <c r="K313" s="129"/>
      <c r="L313" s="130"/>
      <c r="M313" s="128"/>
      <c r="N313" s="129"/>
      <c r="O313" s="129"/>
      <c r="P313" s="130"/>
      <c r="Q313" s="128"/>
      <c r="R313" s="129"/>
      <c r="S313" s="129"/>
      <c r="T313" s="130"/>
      <c r="U313" s="128"/>
      <c r="V313" s="129"/>
      <c r="W313" s="131"/>
      <c r="X313" s="129"/>
      <c r="Y313" s="130"/>
      <c r="Z313" s="128"/>
      <c r="AA313" s="129"/>
      <c r="AB313" s="131"/>
      <c r="AC313" s="129"/>
      <c r="AD313" s="130"/>
      <c r="AE313" s="132">
        <f t="shared" si="16"/>
        <v>4</v>
      </c>
    </row>
    <row r="314" ht="15.75" customHeight="1" spans="1:31">
      <c r="A314" s="133">
        <v>351</v>
      </c>
      <c r="B314" s="134"/>
      <c r="C314" s="140" t="s">
        <v>3</v>
      </c>
      <c r="D314" s="134" t="s">
        <v>3692</v>
      </c>
      <c r="E314" s="135" t="b">
        <v>1</v>
      </c>
      <c r="F314" s="136" t="b">
        <v>0</v>
      </c>
      <c r="G314" s="136" t="b">
        <v>1</v>
      </c>
      <c r="H314" s="137" t="b">
        <v>1</v>
      </c>
      <c r="I314" s="135"/>
      <c r="J314" s="136"/>
      <c r="K314" s="136"/>
      <c r="L314" s="137"/>
      <c r="M314" s="135"/>
      <c r="N314" s="136"/>
      <c r="O314" s="136"/>
      <c r="P314" s="137"/>
      <c r="Q314" s="135"/>
      <c r="R314" s="136"/>
      <c r="S314" s="136"/>
      <c r="T314" s="137"/>
      <c r="U314" s="135"/>
      <c r="V314" s="136"/>
      <c r="W314" s="138"/>
      <c r="X314" s="136"/>
      <c r="Y314" s="137"/>
      <c r="Z314" s="135"/>
      <c r="AA314" s="136"/>
      <c r="AB314" s="138"/>
      <c r="AC314" s="136"/>
      <c r="AD314" s="137"/>
      <c r="AE314" s="139">
        <f t="shared" si="16"/>
        <v>3</v>
      </c>
    </row>
    <row r="315" ht="15.75" customHeight="1" spans="1:31">
      <c r="A315" s="125">
        <v>352</v>
      </c>
      <c r="B315" s="126"/>
      <c r="C315" s="126" t="s">
        <v>3411</v>
      </c>
      <c r="D315" s="126" t="s">
        <v>3693</v>
      </c>
      <c r="E315" s="128" t="b">
        <v>1</v>
      </c>
      <c r="F315" s="129" t="b">
        <v>1</v>
      </c>
      <c r="G315" s="129" t="b">
        <v>1</v>
      </c>
      <c r="H315" s="130" t="b">
        <v>1</v>
      </c>
      <c r="I315" s="128"/>
      <c r="J315" s="129"/>
      <c r="K315" s="129"/>
      <c r="L315" s="130"/>
      <c r="M315" s="128"/>
      <c r="N315" s="129"/>
      <c r="O315" s="129"/>
      <c r="P315" s="130"/>
      <c r="Q315" s="128"/>
      <c r="R315" s="129"/>
      <c r="S315" s="129"/>
      <c r="T315" s="130"/>
      <c r="U315" s="128"/>
      <c r="V315" s="129"/>
      <c r="W315" s="131"/>
      <c r="X315" s="129"/>
      <c r="Y315" s="130"/>
      <c r="Z315" s="128"/>
      <c r="AA315" s="129"/>
      <c r="AB315" s="131"/>
      <c r="AC315" s="129"/>
      <c r="AD315" s="130"/>
      <c r="AE315" s="132">
        <f t="shared" si="16"/>
        <v>4</v>
      </c>
    </row>
    <row r="316" ht="15.75" customHeight="1" spans="1:31">
      <c r="A316" s="133">
        <v>353</v>
      </c>
      <c r="B316" s="134"/>
      <c r="C316" s="134" t="s">
        <v>3411</v>
      </c>
      <c r="D316" s="134" t="s">
        <v>3694</v>
      </c>
      <c r="E316" s="135" t="b">
        <v>0</v>
      </c>
      <c r="F316" s="136" t="b">
        <v>0</v>
      </c>
      <c r="G316" s="136" t="b">
        <v>0</v>
      </c>
      <c r="H316" s="137" t="b">
        <v>0</v>
      </c>
      <c r="I316" s="135"/>
      <c r="J316" s="136"/>
      <c r="K316" s="136"/>
      <c r="L316" s="137"/>
      <c r="M316" s="135"/>
      <c r="N316" s="136"/>
      <c r="O316" s="136"/>
      <c r="P316" s="137"/>
      <c r="Q316" s="135"/>
      <c r="R316" s="136"/>
      <c r="S316" s="136"/>
      <c r="T316" s="137"/>
      <c r="U316" s="135"/>
      <c r="V316" s="136"/>
      <c r="W316" s="138"/>
      <c r="X316" s="136"/>
      <c r="Y316" s="137"/>
      <c r="Z316" s="135"/>
      <c r="AA316" s="136"/>
      <c r="AB316" s="138"/>
      <c r="AC316" s="136"/>
      <c r="AD316" s="137"/>
      <c r="AE316" s="139">
        <f t="shared" si="16"/>
        <v>0</v>
      </c>
    </row>
    <row r="317" ht="15.75" customHeight="1" spans="1:31">
      <c r="A317" s="125">
        <v>354</v>
      </c>
      <c r="B317" s="126"/>
      <c r="C317" s="126" t="s">
        <v>2</v>
      </c>
      <c r="D317" s="126" t="s">
        <v>2673</v>
      </c>
      <c r="E317" s="128" t="b">
        <v>1</v>
      </c>
      <c r="F317" s="129" t="b">
        <v>0</v>
      </c>
      <c r="G317" s="129" t="b">
        <v>1</v>
      </c>
      <c r="H317" s="130" t="b">
        <v>0</v>
      </c>
      <c r="I317" s="128"/>
      <c r="J317" s="129"/>
      <c r="K317" s="129"/>
      <c r="L317" s="130"/>
      <c r="M317" s="128"/>
      <c r="N317" s="129"/>
      <c r="O317" s="129"/>
      <c r="P317" s="130"/>
      <c r="Q317" s="128"/>
      <c r="R317" s="129"/>
      <c r="S317" s="129"/>
      <c r="T317" s="130"/>
      <c r="U317" s="128"/>
      <c r="V317" s="129"/>
      <c r="W317" s="131"/>
      <c r="X317" s="129"/>
      <c r="Y317" s="130"/>
      <c r="Z317" s="128"/>
      <c r="AA317" s="129"/>
      <c r="AB317" s="131"/>
      <c r="AC317" s="129"/>
      <c r="AD317" s="130"/>
      <c r="AE317" s="132">
        <f t="shared" si="16"/>
        <v>2</v>
      </c>
    </row>
    <row r="318" ht="15.75" customHeight="1" spans="1:31">
      <c r="A318" s="133">
        <v>356</v>
      </c>
      <c r="B318" s="134"/>
      <c r="C318" s="134" t="s">
        <v>3411</v>
      </c>
      <c r="D318" s="134" t="s">
        <v>3695</v>
      </c>
      <c r="E318" s="135" t="b">
        <v>1</v>
      </c>
      <c r="F318" s="136" t="b">
        <v>0</v>
      </c>
      <c r="G318" s="136" t="b">
        <v>1</v>
      </c>
      <c r="H318" s="137" t="b">
        <v>0</v>
      </c>
      <c r="I318" s="135"/>
      <c r="J318" s="136"/>
      <c r="K318" s="136"/>
      <c r="L318" s="137"/>
      <c r="M318" s="135"/>
      <c r="N318" s="136"/>
      <c r="O318" s="136"/>
      <c r="P318" s="137"/>
      <c r="Q318" s="135"/>
      <c r="R318" s="136"/>
      <c r="S318" s="136"/>
      <c r="T318" s="137"/>
      <c r="U318" s="135"/>
      <c r="V318" s="136"/>
      <c r="W318" s="138"/>
      <c r="X318" s="136"/>
      <c r="Y318" s="137"/>
      <c r="Z318" s="135"/>
      <c r="AA318" s="136"/>
      <c r="AB318" s="138"/>
      <c r="AC318" s="136"/>
      <c r="AD318" s="137"/>
      <c r="AE318" s="139">
        <f t="shared" si="16"/>
        <v>2</v>
      </c>
    </row>
    <row r="319" ht="15.75" customHeight="1" spans="1:31">
      <c r="A319" s="125">
        <v>357</v>
      </c>
      <c r="B319" s="126"/>
      <c r="C319" s="126" t="s">
        <v>3411</v>
      </c>
      <c r="D319" s="126" t="s">
        <v>3696</v>
      </c>
      <c r="E319" s="128" t="b">
        <v>0</v>
      </c>
      <c r="F319" s="129" t="b">
        <v>0</v>
      </c>
      <c r="G319" s="129" t="b">
        <v>0</v>
      </c>
      <c r="H319" s="130" t="b">
        <v>0</v>
      </c>
      <c r="I319" s="128"/>
      <c r="J319" s="129"/>
      <c r="K319" s="129"/>
      <c r="L319" s="130"/>
      <c r="M319" s="128"/>
      <c r="N319" s="129"/>
      <c r="O319" s="129"/>
      <c r="P319" s="130"/>
      <c r="Q319" s="128"/>
      <c r="R319" s="129"/>
      <c r="S319" s="129"/>
      <c r="T319" s="130"/>
      <c r="U319" s="128"/>
      <c r="V319" s="129"/>
      <c r="W319" s="131"/>
      <c r="X319" s="129"/>
      <c r="Y319" s="130"/>
      <c r="Z319" s="128"/>
      <c r="AA319" s="129"/>
      <c r="AB319" s="131"/>
      <c r="AC319" s="129"/>
      <c r="AD319" s="130"/>
      <c r="AE319" s="132">
        <f t="shared" si="16"/>
        <v>0</v>
      </c>
    </row>
    <row r="320" ht="15.75" customHeight="1" spans="1:31">
      <c r="A320" s="133">
        <v>358</v>
      </c>
      <c r="D320" s="140" t="s">
        <v>3697</v>
      </c>
      <c r="E320" s="144"/>
      <c r="F320" s="142"/>
      <c r="G320" s="142"/>
      <c r="H320" s="150" t="b">
        <v>1</v>
      </c>
      <c r="I320" s="144"/>
      <c r="J320" s="142"/>
      <c r="K320" s="142"/>
      <c r="L320" s="143"/>
      <c r="M320" s="144"/>
      <c r="N320" s="142"/>
      <c r="O320" s="142"/>
      <c r="P320" s="143"/>
      <c r="Q320" s="144"/>
      <c r="R320" s="142"/>
      <c r="S320" s="142"/>
      <c r="T320" s="143"/>
      <c r="U320" s="144"/>
      <c r="V320" s="142"/>
      <c r="X320" s="142"/>
      <c r="Y320" s="143"/>
      <c r="Z320" s="144"/>
      <c r="AA320" s="142"/>
      <c r="AC320" s="142"/>
      <c r="AD320" s="143"/>
    </row>
    <row r="321" ht="15.75" customHeight="1" spans="1:31">
      <c r="A321" s="125">
        <v>360</v>
      </c>
      <c r="B321" s="126"/>
      <c r="C321" s="126" t="s">
        <v>2</v>
      </c>
      <c r="D321" s="126" t="s">
        <v>3698</v>
      </c>
      <c r="E321" s="128" t="b">
        <v>0</v>
      </c>
      <c r="F321" s="129" t="b">
        <v>0</v>
      </c>
      <c r="G321" s="129" t="b">
        <v>0</v>
      </c>
      <c r="H321" s="130" t="b">
        <v>0</v>
      </c>
      <c r="I321" s="128"/>
      <c r="J321" s="129"/>
      <c r="K321" s="129"/>
      <c r="L321" s="130"/>
      <c r="M321" s="128"/>
      <c r="N321" s="129"/>
      <c r="O321" s="129"/>
      <c r="P321" s="130"/>
      <c r="Q321" s="128"/>
      <c r="R321" s="129"/>
      <c r="S321" s="129"/>
      <c r="T321" s="130"/>
      <c r="U321" s="128"/>
      <c r="V321" s="129"/>
      <c r="W321" s="131"/>
      <c r="X321" s="129"/>
      <c r="Y321" s="130"/>
      <c r="Z321" s="128"/>
      <c r="AA321" s="129"/>
      <c r="AB321" s="131"/>
      <c r="AC321" s="129"/>
      <c r="AD321" s="130"/>
      <c r="AE321" s="132">
        <f t="shared" ref="AE321:AE326" si="17">COUNTIF(E321:AD321,"TRUE")</f>
        <v>0</v>
      </c>
    </row>
    <row r="322" ht="15.75" customHeight="1" spans="1:31">
      <c r="A322" s="133">
        <v>361</v>
      </c>
      <c r="B322" s="134"/>
      <c r="C322" s="134" t="s">
        <v>2</v>
      </c>
      <c r="D322" s="134" t="s">
        <v>3699</v>
      </c>
      <c r="E322" s="135" t="b">
        <v>1</v>
      </c>
      <c r="F322" s="136" t="b">
        <v>0</v>
      </c>
      <c r="G322" s="136" t="b">
        <v>1</v>
      </c>
      <c r="H322" s="137" t="b">
        <v>0</v>
      </c>
      <c r="I322" s="135"/>
      <c r="J322" s="136"/>
      <c r="K322" s="136"/>
      <c r="L322" s="137"/>
      <c r="M322" s="135"/>
      <c r="N322" s="136"/>
      <c r="O322" s="136"/>
      <c r="P322" s="137"/>
      <c r="Q322" s="135"/>
      <c r="R322" s="136"/>
      <c r="S322" s="136"/>
      <c r="T322" s="137"/>
      <c r="U322" s="135"/>
      <c r="V322" s="136"/>
      <c r="W322" s="138"/>
      <c r="X322" s="136"/>
      <c r="Y322" s="137"/>
      <c r="Z322" s="135"/>
      <c r="AA322" s="136"/>
      <c r="AB322" s="138"/>
      <c r="AC322" s="136"/>
      <c r="AD322" s="137"/>
      <c r="AE322" s="139">
        <f t="shared" si="17"/>
        <v>2</v>
      </c>
    </row>
    <row r="323" ht="15.75" customHeight="1" spans="1:31">
      <c r="A323" s="125">
        <v>362</v>
      </c>
      <c r="B323" s="126"/>
      <c r="C323" s="126"/>
      <c r="D323" s="126" t="s">
        <v>3700</v>
      </c>
      <c r="E323" s="128" t="b">
        <v>1</v>
      </c>
      <c r="F323" s="129" t="b">
        <v>0</v>
      </c>
      <c r="G323" s="129" t="b">
        <v>0</v>
      </c>
      <c r="H323" s="130" t="b">
        <v>0</v>
      </c>
      <c r="I323" s="128"/>
      <c r="J323" s="129"/>
      <c r="K323" s="129"/>
      <c r="L323" s="130"/>
      <c r="M323" s="128"/>
      <c r="N323" s="129"/>
      <c r="O323" s="129"/>
      <c r="P323" s="130"/>
      <c r="Q323" s="128"/>
      <c r="R323" s="129"/>
      <c r="S323" s="129"/>
      <c r="T323" s="130"/>
      <c r="U323" s="128"/>
      <c r="V323" s="129"/>
      <c r="W323" s="131"/>
      <c r="X323" s="129"/>
      <c r="Y323" s="130"/>
      <c r="Z323" s="128"/>
      <c r="AA323" s="129"/>
      <c r="AB323" s="131"/>
      <c r="AC323" s="129"/>
      <c r="AD323" s="130"/>
      <c r="AE323" s="132">
        <f t="shared" si="17"/>
        <v>1</v>
      </c>
    </row>
    <row r="324" ht="15.75" customHeight="1" spans="1:31">
      <c r="A324" s="133">
        <v>363</v>
      </c>
      <c r="B324" s="134"/>
      <c r="C324" s="134" t="s">
        <v>2</v>
      </c>
      <c r="D324" s="134" t="s">
        <v>3701</v>
      </c>
      <c r="E324" s="135" t="b">
        <v>0</v>
      </c>
      <c r="F324" s="136" t="b">
        <v>0</v>
      </c>
      <c r="G324" s="136" t="b">
        <v>0</v>
      </c>
      <c r="H324" s="137" t="b">
        <v>0</v>
      </c>
      <c r="I324" s="135"/>
      <c r="J324" s="136"/>
      <c r="K324" s="136"/>
      <c r="L324" s="137"/>
      <c r="M324" s="135"/>
      <c r="N324" s="136"/>
      <c r="O324" s="136"/>
      <c r="P324" s="137"/>
      <c r="Q324" s="135"/>
      <c r="R324" s="136"/>
      <c r="S324" s="136"/>
      <c r="T324" s="137"/>
      <c r="U324" s="135"/>
      <c r="V324" s="136"/>
      <c r="W324" s="138"/>
      <c r="X324" s="136"/>
      <c r="Y324" s="137"/>
      <c r="Z324" s="135"/>
      <c r="AA324" s="136"/>
      <c r="AB324" s="138"/>
      <c r="AC324" s="136"/>
      <c r="AD324" s="137"/>
      <c r="AE324" s="139">
        <f t="shared" si="17"/>
        <v>0</v>
      </c>
    </row>
    <row r="325" ht="15.75" customHeight="1" spans="1:31">
      <c r="A325" s="125">
        <v>364</v>
      </c>
      <c r="C325" s="126"/>
      <c r="D325" s="126" t="s">
        <v>3702</v>
      </c>
      <c r="E325" s="128" t="b">
        <v>1</v>
      </c>
      <c r="F325" s="129" t="b">
        <v>0</v>
      </c>
      <c r="G325" s="129" t="b">
        <v>0</v>
      </c>
      <c r="H325" s="130" t="b">
        <v>1</v>
      </c>
      <c r="I325" s="128"/>
      <c r="J325" s="129"/>
      <c r="K325" s="129"/>
      <c r="L325" s="130"/>
      <c r="M325" s="128"/>
      <c r="N325" s="129"/>
      <c r="O325" s="129"/>
      <c r="P325" s="130"/>
      <c r="Q325" s="128"/>
      <c r="R325" s="129"/>
      <c r="S325" s="129"/>
      <c r="T325" s="130"/>
      <c r="U325" s="128"/>
      <c r="V325" s="129"/>
      <c r="W325" s="131"/>
      <c r="X325" s="129"/>
      <c r="Y325" s="130"/>
      <c r="Z325" s="128"/>
      <c r="AA325" s="129"/>
      <c r="AB325" s="131"/>
      <c r="AC325" s="129"/>
      <c r="AD325" s="130"/>
      <c r="AE325" s="132">
        <f t="shared" si="17"/>
        <v>2</v>
      </c>
    </row>
    <row r="326" ht="15.75" customHeight="1" spans="1:31">
      <c r="A326" s="133">
        <v>365</v>
      </c>
      <c r="B326" s="134"/>
      <c r="C326" s="140" t="s">
        <v>3413</v>
      </c>
      <c r="D326" s="134" t="s">
        <v>3703</v>
      </c>
      <c r="E326" s="135" t="b">
        <v>1</v>
      </c>
      <c r="F326" s="136" t="b">
        <v>0</v>
      </c>
      <c r="G326" s="136" t="b">
        <v>1</v>
      </c>
      <c r="H326" s="137" t="b">
        <v>0</v>
      </c>
      <c r="I326" s="135"/>
      <c r="J326" s="136"/>
      <c r="K326" s="136"/>
      <c r="L326" s="137"/>
      <c r="M326" s="135"/>
      <c r="N326" s="136"/>
      <c r="O326" s="136"/>
      <c r="P326" s="137"/>
      <c r="Q326" s="135"/>
      <c r="R326" s="136"/>
      <c r="S326" s="136"/>
      <c r="T326" s="137"/>
      <c r="U326" s="135"/>
      <c r="V326" s="136"/>
      <c r="W326" s="138"/>
      <c r="X326" s="136"/>
      <c r="Y326" s="137"/>
      <c r="Z326" s="135"/>
      <c r="AA326" s="136"/>
      <c r="AB326" s="138"/>
      <c r="AC326" s="136"/>
      <c r="AD326" s="137"/>
      <c r="AE326" s="139">
        <f t="shared" si="17"/>
        <v>2</v>
      </c>
    </row>
    <row r="327" ht="15.75" customHeight="1" spans="1:31">
      <c r="A327" s="125">
        <v>367</v>
      </c>
      <c r="C327" s="127" t="s">
        <v>3413</v>
      </c>
      <c r="D327" s="127" t="s">
        <v>3704</v>
      </c>
      <c r="E327" s="153" t="b">
        <v>1</v>
      </c>
      <c r="F327" s="146" t="b">
        <v>0</v>
      </c>
      <c r="G327" s="147" t="b">
        <v>1</v>
      </c>
      <c r="H327" s="148" t="b">
        <v>0</v>
      </c>
      <c r="I327" s="145"/>
      <c r="J327" s="146"/>
      <c r="K327" s="146"/>
      <c r="L327" s="148"/>
      <c r="M327" s="145"/>
      <c r="N327" s="146"/>
      <c r="O327" s="146"/>
      <c r="P327" s="148"/>
      <c r="Q327" s="145"/>
      <c r="R327" s="146"/>
      <c r="S327" s="146"/>
      <c r="T327" s="148"/>
      <c r="U327" s="145"/>
      <c r="V327" s="146"/>
      <c r="X327" s="146"/>
      <c r="Y327" s="148"/>
      <c r="Z327" s="145"/>
      <c r="AA327" s="146"/>
      <c r="AC327" s="146"/>
      <c r="AD327" s="148"/>
    </row>
    <row r="328" ht="15.75" customHeight="1" spans="1:31">
      <c r="A328" s="133">
        <v>368</v>
      </c>
      <c r="C328" s="140" t="s">
        <v>3413</v>
      </c>
      <c r="D328" s="140" t="s">
        <v>3705</v>
      </c>
      <c r="E328" s="144" t="b">
        <v>0</v>
      </c>
      <c r="F328" s="142" t="b">
        <v>0</v>
      </c>
      <c r="G328" s="149" t="b">
        <v>1</v>
      </c>
      <c r="H328" s="143" t="b">
        <v>0</v>
      </c>
      <c r="I328" s="144"/>
      <c r="J328" s="142"/>
      <c r="K328" s="142"/>
      <c r="L328" s="143"/>
      <c r="M328" s="144"/>
      <c r="N328" s="142"/>
      <c r="O328" s="142"/>
      <c r="P328" s="143"/>
      <c r="Q328" s="144"/>
      <c r="R328" s="142"/>
      <c r="S328" s="142"/>
      <c r="T328" s="143"/>
      <c r="U328" s="144"/>
      <c r="V328" s="142"/>
      <c r="X328" s="142"/>
      <c r="Y328" s="143"/>
      <c r="Z328" s="144"/>
      <c r="AA328" s="142"/>
      <c r="AC328" s="142"/>
      <c r="AD328" s="143"/>
    </row>
    <row r="329" ht="15.75" customHeight="1" spans="1:31">
      <c r="A329" s="125">
        <v>369</v>
      </c>
      <c r="D329" s="127" t="s">
        <v>3706</v>
      </c>
      <c r="E329" s="145" t="b">
        <v>0</v>
      </c>
      <c r="F329" s="147" t="b">
        <v>1</v>
      </c>
      <c r="G329" s="146" t="b">
        <v>0</v>
      </c>
      <c r="H329" s="148" t="b">
        <v>0</v>
      </c>
      <c r="I329" s="145"/>
      <c r="J329" s="146"/>
      <c r="K329" s="146"/>
      <c r="L329" s="148"/>
      <c r="M329" s="145"/>
      <c r="N329" s="146"/>
      <c r="O329" s="146"/>
      <c r="P329" s="148"/>
      <c r="Q329" s="145"/>
      <c r="R329" s="146"/>
      <c r="S329" s="146"/>
      <c r="T329" s="148"/>
      <c r="U329" s="145"/>
      <c r="V329" s="146"/>
      <c r="X329" s="146"/>
      <c r="Y329" s="148"/>
      <c r="Z329" s="145"/>
      <c r="AA329" s="146"/>
      <c r="AC329" s="146"/>
      <c r="AD329" s="148"/>
    </row>
    <row r="330" ht="15.75" customHeight="1" spans="1:31">
      <c r="A330" s="133">
        <v>370</v>
      </c>
      <c r="B330" s="134"/>
      <c r="C330" s="134"/>
      <c r="D330" s="134" t="s">
        <v>3707</v>
      </c>
      <c r="E330" s="138" t="b">
        <v>0</v>
      </c>
      <c r="F330" s="138" t="b">
        <v>1</v>
      </c>
      <c r="G330" s="138" t="b">
        <v>0</v>
      </c>
      <c r="H330" s="138" t="b">
        <v>0</v>
      </c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  <c r="AD330" s="138"/>
      <c r="AE330" s="139">
        <f t="shared" ref="AE330:AE343" si="18">COUNTIF(E330:AD330,"TRUE")</f>
        <v>1</v>
      </c>
    </row>
    <row r="331" ht="15.75" customHeight="1" spans="1:31">
      <c r="A331" s="125">
        <v>371</v>
      </c>
      <c r="B331" s="127" t="s">
        <v>3708</v>
      </c>
      <c r="C331" s="126"/>
      <c r="D331" s="126" t="s">
        <v>3709</v>
      </c>
      <c r="E331" s="128" t="b">
        <v>1</v>
      </c>
      <c r="F331" s="129" t="b">
        <v>0</v>
      </c>
      <c r="G331" s="129" t="b">
        <v>0</v>
      </c>
      <c r="H331" s="130" t="b">
        <v>0</v>
      </c>
      <c r="I331" s="128"/>
      <c r="J331" s="129"/>
      <c r="K331" s="129"/>
      <c r="L331" s="130"/>
      <c r="M331" s="128"/>
      <c r="N331" s="129"/>
      <c r="O331" s="129"/>
      <c r="P331" s="130"/>
      <c r="Q331" s="128"/>
      <c r="R331" s="129"/>
      <c r="S331" s="129"/>
      <c r="T331" s="130"/>
      <c r="U331" s="128"/>
      <c r="V331" s="129"/>
      <c r="W331" s="131"/>
      <c r="X331" s="129"/>
      <c r="Y331" s="130"/>
      <c r="Z331" s="128"/>
      <c r="AA331" s="129"/>
      <c r="AB331" s="131"/>
      <c r="AC331" s="129"/>
      <c r="AD331" s="130"/>
      <c r="AE331" s="132">
        <f t="shared" si="18"/>
        <v>1</v>
      </c>
    </row>
    <row r="332" ht="15.75" customHeight="1" spans="1:31">
      <c r="A332" s="133">
        <v>373</v>
      </c>
      <c r="C332" s="134"/>
      <c r="D332" s="134" t="s">
        <v>3710</v>
      </c>
      <c r="E332" s="135" t="b">
        <v>1</v>
      </c>
      <c r="F332" s="136" t="b">
        <v>0</v>
      </c>
      <c r="G332" s="136" t="b">
        <v>0</v>
      </c>
      <c r="H332" s="137" t="b">
        <v>0</v>
      </c>
      <c r="I332" s="135"/>
      <c r="J332" s="136"/>
      <c r="K332" s="136"/>
      <c r="L332" s="137"/>
      <c r="M332" s="135"/>
      <c r="N332" s="136"/>
      <c r="O332" s="136"/>
      <c r="P332" s="137"/>
      <c r="Q332" s="135"/>
      <c r="R332" s="136"/>
      <c r="S332" s="136"/>
      <c r="T332" s="137"/>
      <c r="U332" s="135"/>
      <c r="V332" s="136"/>
      <c r="W332" s="138"/>
      <c r="X332" s="136"/>
      <c r="Y332" s="137"/>
      <c r="Z332" s="135"/>
      <c r="AA332" s="136"/>
      <c r="AB332" s="138"/>
      <c r="AC332" s="136"/>
      <c r="AD332" s="137"/>
      <c r="AE332" s="139">
        <f t="shared" si="18"/>
        <v>1</v>
      </c>
    </row>
    <row r="333" ht="15.75" customHeight="1" spans="1:31">
      <c r="A333" s="125">
        <v>374</v>
      </c>
      <c r="C333" s="126"/>
      <c r="D333" s="126" t="s">
        <v>3711</v>
      </c>
      <c r="E333" s="128" t="b">
        <v>1</v>
      </c>
      <c r="F333" s="129" t="b">
        <v>0</v>
      </c>
      <c r="G333" s="129" t="b">
        <v>0</v>
      </c>
      <c r="H333" s="130" t="b">
        <v>0</v>
      </c>
      <c r="I333" s="128"/>
      <c r="J333" s="129"/>
      <c r="K333" s="129"/>
      <c r="L333" s="130"/>
      <c r="M333" s="128"/>
      <c r="N333" s="129"/>
      <c r="O333" s="129"/>
      <c r="P333" s="130"/>
      <c r="Q333" s="128"/>
      <c r="R333" s="129"/>
      <c r="S333" s="129"/>
      <c r="T333" s="130"/>
      <c r="U333" s="128"/>
      <c r="V333" s="129"/>
      <c r="W333" s="131"/>
      <c r="X333" s="129"/>
      <c r="Y333" s="130"/>
      <c r="Z333" s="128"/>
      <c r="AA333" s="129"/>
      <c r="AB333" s="131"/>
      <c r="AC333" s="129"/>
      <c r="AD333" s="130"/>
      <c r="AE333" s="132">
        <f t="shared" si="18"/>
        <v>1</v>
      </c>
    </row>
    <row r="334" ht="15.75" customHeight="1" spans="1:31">
      <c r="A334" s="133">
        <v>375</v>
      </c>
      <c r="B334" s="134"/>
      <c r="C334" s="134" t="s">
        <v>3</v>
      </c>
      <c r="D334" s="134" t="s">
        <v>3712</v>
      </c>
      <c r="E334" s="135" t="b">
        <v>1</v>
      </c>
      <c r="F334" s="136" t="b">
        <v>0</v>
      </c>
      <c r="G334" s="136" t="b">
        <v>1</v>
      </c>
      <c r="H334" s="137" t="b">
        <v>0</v>
      </c>
      <c r="I334" s="135"/>
      <c r="J334" s="136"/>
      <c r="K334" s="136"/>
      <c r="L334" s="137"/>
      <c r="M334" s="135"/>
      <c r="N334" s="136"/>
      <c r="O334" s="136"/>
      <c r="P334" s="137"/>
      <c r="Q334" s="135"/>
      <c r="R334" s="136"/>
      <c r="S334" s="136"/>
      <c r="T334" s="137"/>
      <c r="U334" s="135"/>
      <c r="V334" s="136"/>
      <c r="W334" s="138"/>
      <c r="X334" s="136"/>
      <c r="Y334" s="137"/>
      <c r="Z334" s="135"/>
      <c r="AA334" s="136"/>
      <c r="AB334" s="138"/>
      <c r="AC334" s="136"/>
      <c r="AD334" s="137"/>
      <c r="AE334" s="139">
        <f t="shared" si="18"/>
        <v>2</v>
      </c>
    </row>
    <row r="335" ht="15.75" customHeight="1" spans="1:31">
      <c r="A335" s="125">
        <v>376</v>
      </c>
      <c r="B335" s="127" t="s">
        <v>3434</v>
      </c>
      <c r="C335" s="126"/>
      <c r="D335" s="127" t="s">
        <v>3713</v>
      </c>
      <c r="E335" s="128" t="b">
        <v>0</v>
      </c>
      <c r="F335" s="129" t="b">
        <v>0</v>
      </c>
      <c r="G335" s="129" t="b">
        <v>0</v>
      </c>
      <c r="H335" s="130" t="b">
        <v>1</v>
      </c>
      <c r="I335" s="128"/>
      <c r="J335" s="129"/>
      <c r="K335" s="129"/>
      <c r="L335" s="130"/>
      <c r="M335" s="128"/>
      <c r="N335" s="129"/>
      <c r="O335" s="129"/>
      <c r="P335" s="130"/>
      <c r="Q335" s="128"/>
      <c r="R335" s="129"/>
      <c r="S335" s="129"/>
      <c r="T335" s="130"/>
      <c r="U335" s="128"/>
      <c r="V335" s="129"/>
      <c r="W335" s="131"/>
      <c r="X335" s="129"/>
      <c r="Y335" s="130"/>
      <c r="Z335" s="128"/>
      <c r="AA335" s="129"/>
      <c r="AB335" s="131"/>
      <c r="AC335" s="129"/>
      <c r="AD335" s="130"/>
      <c r="AE335" s="132">
        <f t="shared" si="18"/>
        <v>1</v>
      </c>
    </row>
    <row r="336" ht="15.75" customHeight="1" spans="1:31">
      <c r="A336" s="133">
        <v>377</v>
      </c>
      <c r="B336" s="134"/>
      <c r="C336" s="134" t="s">
        <v>3411</v>
      </c>
      <c r="D336" s="134" t="s">
        <v>3714</v>
      </c>
      <c r="E336" s="135" t="b">
        <v>0</v>
      </c>
      <c r="F336" s="136" t="b">
        <v>0</v>
      </c>
      <c r="G336" s="136" t="b">
        <v>0</v>
      </c>
      <c r="H336" s="137" t="b">
        <v>0</v>
      </c>
      <c r="I336" s="135"/>
      <c r="J336" s="136"/>
      <c r="K336" s="136"/>
      <c r="L336" s="137"/>
      <c r="M336" s="135"/>
      <c r="N336" s="136"/>
      <c r="O336" s="136"/>
      <c r="P336" s="137"/>
      <c r="Q336" s="135"/>
      <c r="R336" s="136"/>
      <c r="S336" s="136"/>
      <c r="T336" s="137"/>
      <c r="U336" s="135"/>
      <c r="V336" s="136"/>
      <c r="W336" s="138"/>
      <c r="X336" s="136"/>
      <c r="Y336" s="137"/>
      <c r="Z336" s="135"/>
      <c r="AA336" s="136"/>
      <c r="AB336" s="138"/>
      <c r="AC336" s="136"/>
      <c r="AD336" s="137"/>
      <c r="AE336" s="139">
        <f t="shared" si="18"/>
        <v>0</v>
      </c>
    </row>
    <row r="337" ht="15.75" customHeight="1" spans="1:31">
      <c r="A337" s="125">
        <v>378</v>
      </c>
      <c r="B337" s="126"/>
      <c r="C337" s="126" t="s">
        <v>3411</v>
      </c>
      <c r="D337" s="126" t="s">
        <v>3715</v>
      </c>
      <c r="E337" s="128" t="b">
        <v>1</v>
      </c>
      <c r="F337" s="129" t="b">
        <v>1</v>
      </c>
      <c r="G337" s="129" t="b">
        <v>1</v>
      </c>
      <c r="H337" s="130" t="b">
        <v>1</v>
      </c>
      <c r="I337" s="128"/>
      <c r="J337" s="129"/>
      <c r="K337" s="129"/>
      <c r="L337" s="130"/>
      <c r="M337" s="128"/>
      <c r="N337" s="129"/>
      <c r="O337" s="129"/>
      <c r="P337" s="130"/>
      <c r="Q337" s="128"/>
      <c r="R337" s="129"/>
      <c r="S337" s="129"/>
      <c r="T337" s="130"/>
      <c r="U337" s="128"/>
      <c r="V337" s="129"/>
      <c r="W337" s="131"/>
      <c r="X337" s="129"/>
      <c r="Y337" s="130"/>
      <c r="Z337" s="128"/>
      <c r="AA337" s="129"/>
      <c r="AB337" s="131"/>
      <c r="AC337" s="129"/>
      <c r="AD337" s="130"/>
      <c r="AE337" s="132">
        <f t="shared" si="18"/>
        <v>4</v>
      </c>
    </row>
    <row r="338" ht="15.75" customHeight="1" spans="1:31">
      <c r="A338" s="133">
        <v>379</v>
      </c>
      <c r="C338" s="134" t="s">
        <v>3</v>
      </c>
      <c r="D338" s="134" t="s">
        <v>3716</v>
      </c>
      <c r="E338" s="135" t="b">
        <v>1</v>
      </c>
      <c r="F338" s="136" t="b">
        <v>0</v>
      </c>
      <c r="G338" s="136" t="b">
        <v>1</v>
      </c>
      <c r="H338" s="137" t="b">
        <v>1</v>
      </c>
      <c r="I338" s="135"/>
      <c r="J338" s="136"/>
      <c r="K338" s="136"/>
      <c r="L338" s="137"/>
      <c r="M338" s="135"/>
      <c r="N338" s="136"/>
      <c r="O338" s="136"/>
      <c r="P338" s="137"/>
      <c r="Q338" s="135"/>
      <c r="R338" s="136"/>
      <c r="S338" s="136"/>
      <c r="T338" s="137"/>
      <c r="U338" s="135"/>
      <c r="V338" s="136"/>
      <c r="W338" s="138"/>
      <c r="X338" s="136"/>
      <c r="Y338" s="137"/>
      <c r="Z338" s="135"/>
      <c r="AA338" s="136"/>
      <c r="AB338" s="138"/>
      <c r="AC338" s="136"/>
      <c r="AD338" s="137"/>
      <c r="AE338" s="139">
        <f t="shared" si="18"/>
        <v>3</v>
      </c>
    </row>
    <row r="339" ht="15.75" customHeight="1" spans="1:31">
      <c r="A339" s="125">
        <v>380</v>
      </c>
      <c r="C339" s="126" t="s">
        <v>3411</v>
      </c>
      <c r="D339" s="126" t="s">
        <v>3717</v>
      </c>
      <c r="E339" s="128" t="b">
        <v>1</v>
      </c>
      <c r="F339" s="129" t="b">
        <v>1</v>
      </c>
      <c r="G339" s="129" t="b">
        <v>1</v>
      </c>
      <c r="H339" s="130" t="b">
        <v>0</v>
      </c>
      <c r="I339" s="128"/>
      <c r="J339" s="129"/>
      <c r="K339" s="129"/>
      <c r="L339" s="130"/>
      <c r="M339" s="128"/>
      <c r="N339" s="129"/>
      <c r="O339" s="129"/>
      <c r="P339" s="130"/>
      <c r="Q339" s="128"/>
      <c r="R339" s="129"/>
      <c r="S339" s="129"/>
      <c r="T339" s="130"/>
      <c r="U339" s="128"/>
      <c r="V339" s="129"/>
      <c r="W339" s="131"/>
      <c r="X339" s="129"/>
      <c r="Y339" s="130"/>
      <c r="Z339" s="128"/>
      <c r="AA339" s="129"/>
      <c r="AB339" s="131"/>
      <c r="AC339" s="129"/>
      <c r="AD339" s="130"/>
      <c r="AE339" s="132">
        <f t="shared" si="18"/>
        <v>3</v>
      </c>
    </row>
    <row r="340" ht="15.75" customHeight="1" spans="1:31">
      <c r="A340" s="133">
        <v>381</v>
      </c>
      <c r="C340" s="134" t="s">
        <v>3411</v>
      </c>
      <c r="D340" s="140" t="s">
        <v>3718</v>
      </c>
      <c r="E340" s="135" t="b">
        <v>1</v>
      </c>
      <c r="F340" s="136" t="b">
        <v>1</v>
      </c>
      <c r="G340" s="136" t="b">
        <v>1</v>
      </c>
      <c r="H340" s="137" t="b">
        <v>1</v>
      </c>
      <c r="I340" s="135"/>
      <c r="J340" s="136"/>
      <c r="K340" s="136"/>
      <c r="L340" s="137"/>
      <c r="M340" s="135"/>
      <c r="N340" s="136"/>
      <c r="O340" s="136"/>
      <c r="P340" s="137"/>
      <c r="Q340" s="135"/>
      <c r="R340" s="136"/>
      <c r="S340" s="136"/>
      <c r="T340" s="137"/>
      <c r="U340" s="135"/>
      <c r="V340" s="136"/>
      <c r="W340" s="138"/>
      <c r="X340" s="136"/>
      <c r="Y340" s="137"/>
      <c r="Z340" s="135"/>
      <c r="AA340" s="136"/>
      <c r="AB340" s="138"/>
      <c r="AC340" s="136"/>
      <c r="AD340" s="137"/>
      <c r="AE340" s="139">
        <f t="shared" si="18"/>
        <v>4</v>
      </c>
    </row>
    <row r="341" ht="15.75" customHeight="1" spans="1:31">
      <c r="A341" s="125">
        <v>622</v>
      </c>
      <c r="C341" s="126" t="s">
        <v>3411</v>
      </c>
      <c r="D341" s="126" t="s">
        <v>3719</v>
      </c>
      <c r="E341" s="128" t="b">
        <v>1</v>
      </c>
      <c r="F341" s="129" t="b">
        <v>0</v>
      </c>
      <c r="G341" s="129" t="b">
        <v>0</v>
      </c>
      <c r="H341" s="130" t="b">
        <v>0</v>
      </c>
      <c r="I341" s="128"/>
      <c r="J341" s="129"/>
      <c r="K341" s="129"/>
      <c r="L341" s="130"/>
      <c r="M341" s="128"/>
      <c r="N341" s="129"/>
      <c r="O341" s="129"/>
      <c r="P341" s="130"/>
      <c r="Q341" s="128"/>
      <c r="R341" s="129"/>
      <c r="S341" s="129"/>
      <c r="T341" s="130"/>
      <c r="U341" s="128"/>
      <c r="V341" s="129"/>
      <c r="W341" s="131"/>
      <c r="X341" s="129"/>
      <c r="Y341" s="130"/>
      <c r="Z341" s="128"/>
      <c r="AA341" s="129"/>
      <c r="AB341" s="131"/>
      <c r="AC341" s="129"/>
      <c r="AD341" s="130"/>
      <c r="AE341" s="132">
        <f t="shared" si="18"/>
        <v>1</v>
      </c>
    </row>
    <row r="342" ht="15.75" customHeight="1" spans="1:31">
      <c r="A342" s="133">
        <v>382</v>
      </c>
      <c r="C342" s="134" t="s">
        <v>3411</v>
      </c>
      <c r="D342" s="134" t="s">
        <v>3720</v>
      </c>
      <c r="E342" s="135" t="b">
        <v>0</v>
      </c>
      <c r="F342" s="136" t="b">
        <v>0</v>
      </c>
      <c r="G342" s="136" t="b">
        <v>0</v>
      </c>
      <c r="H342" s="137" t="b">
        <v>0</v>
      </c>
      <c r="I342" s="135"/>
      <c r="J342" s="136"/>
      <c r="K342" s="136"/>
      <c r="L342" s="137"/>
      <c r="M342" s="135"/>
      <c r="N342" s="136"/>
      <c r="O342" s="136"/>
      <c r="P342" s="137"/>
      <c r="Q342" s="135"/>
      <c r="R342" s="136"/>
      <c r="S342" s="136"/>
      <c r="T342" s="137"/>
      <c r="U342" s="135"/>
      <c r="V342" s="136"/>
      <c r="W342" s="138"/>
      <c r="X342" s="136"/>
      <c r="Y342" s="137"/>
      <c r="Z342" s="135"/>
      <c r="AA342" s="136"/>
      <c r="AB342" s="138"/>
      <c r="AC342" s="136"/>
      <c r="AD342" s="137"/>
      <c r="AE342" s="139">
        <f t="shared" si="18"/>
        <v>0</v>
      </c>
    </row>
    <row r="343" ht="15.75" customHeight="1" spans="1:31">
      <c r="A343" s="125">
        <v>383</v>
      </c>
      <c r="B343" s="127" t="s">
        <v>3721</v>
      </c>
      <c r="C343" s="126" t="s">
        <v>2</v>
      </c>
      <c r="D343" s="127" t="s">
        <v>3722</v>
      </c>
      <c r="E343" s="128" t="b">
        <v>0</v>
      </c>
      <c r="F343" s="129" t="b">
        <v>0</v>
      </c>
      <c r="G343" s="129" t="b">
        <v>0</v>
      </c>
      <c r="H343" s="130" t="b">
        <v>0</v>
      </c>
      <c r="I343" s="128"/>
      <c r="J343" s="129"/>
      <c r="K343" s="129"/>
      <c r="L343" s="130"/>
      <c r="M343" s="128"/>
      <c r="N343" s="129"/>
      <c r="O343" s="129"/>
      <c r="P343" s="130"/>
      <c r="Q343" s="128"/>
      <c r="R343" s="129"/>
      <c r="S343" s="129"/>
      <c r="T343" s="130"/>
      <c r="U343" s="128"/>
      <c r="V343" s="129"/>
      <c r="W343" s="131"/>
      <c r="X343" s="129"/>
      <c r="Y343" s="130"/>
      <c r="Z343" s="128"/>
      <c r="AA343" s="129"/>
      <c r="AB343" s="131"/>
      <c r="AC343" s="129"/>
      <c r="AD343" s="130"/>
      <c r="AE343" s="132">
        <f t="shared" si="18"/>
        <v>0</v>
      </c>
    </row>
    <row r="344" ht="15.75" customHeight="1" spans="1:31">
      <c r="A344" s="133">
        <v>385</v>
      </c>
      <c r="C344" s="140" t="s">
        <v>3413</v>
      </c>
      <c r="D344" s="140" t="s">
        <v>3723</v>
      </c>
      <c r="E344" s="141" t="b">
        <v>1</v>
      </c>
      <c r="F344" s="149" t="b">
        <v>1</v>
      </c>
      <c r="G344" s="149" t="b">
        <v>1</v>
      </c>
      <c r="H344" s="143" t="b">
        <v>0</v>
      </c>
      <c r="I344" s="144"/>
      <c r="J344" s="142"/>
      <c r="K344" s="142"/>
      <c r="L344" s="143"/>
      <c r="M344" s="144"/>
      <c r="N344" s="142"/>
      <c r="O344" s="142"/>
      <c r="P344" s="143"/>
      <c r="Q344" s="144"/>
      <c r="R344" s="142"/>
      <c r="S344" s="142"/>
      <c r="T344" s="143"/>
      <c r="U344" s="144"/>
      <c r="V344" s="142"/>
      <c r="X344" s="142"/>
      <c r="Y344" s="143"/>
      <c r="Z344" s="144"/>
      <c r="AA344" s="142"/>
      <c r="AC344" s="142"/>
      <c r="AD344" s="143"/>
    </row>
    <row r="345" ht="15.75" customHeight="1" spans="1:31">
      <c r="A345" s="125">
        <v>386</v>
      </c>
      <c r="C345" s="127" t="s">
        <v>3413</v>
      </c>
      <c r="D345" s="127" t="s">
        <v>3724</v>
      </c>
      <c r="E345" s="153" t="b">
        <v>1</v>
      </c>
      <c r="F345" s="147" t="b">
        <v>1</v>
      </c>
      <c r="G345" s="147" t="b">
        <v>1</v>
      </c>
      <c r="H345" s="148" t="b">
        <v>0</v>
      </c>
      <c r="I345" s="145"/>
      <c r="J345" s="146"/>
      <c r="K345" s="146"/>
      <c r="L345" s="148"/>
      <c r="M345" s="145"/>
      <c r="N345" s="146"/>
      <c r="O345" s="146"/>
      <c r="P345" s="148"/>
      <c r="Q345" s="145"/>
      <c r="R345" s="146"/>
      <c r="S345" s="146"/>
      <c r="T345" s="148"/>
      <c r="U345" s="145"/>
      <c r="V345" s="146"/>
      <c r="X345" s="146"/>
      <c r="Y345" s="148"/>
      <c r="Z345" s="145"/>
      <c r="AA345" s="146"/>
      <c r="AC345" s="146"/>
      <c r="AD345" s="148"/>
    </row>
    <row r="346" ht="15.75" customHeight="1" spans="1:31">
      <c r="A346" s="133">
        <v>387</v>
      </c>
      <c r="B346" s="134"/>
      <c r="C346" s="134"/>
      <c r="D346" s="134" t="s">
        <v>3725</v>
      </c>
      <c r="E346" s="135" t="b">
        <v>1</v>
      </c>
      <c r="F346" s="136" t="b">
        <v>0</v>
      </c>
      <c r="G346" s="136" t="b">
        <v>1</v>
      </c>
      <c r="H346" s="137" t="b">
        <v>0</v>
      </c>
      <c r="I346" s="135"/>
      <c r="J346" s="136"/>
      <c r="K346" s="136"/>
      <c r="L346" s="137"/>
      <c r="M346" s="135"/>
      <c r="N346" s="136"/>
      <c r="O346" s="136"/>
      <c r="P346" s="137"/>
      <c r="Q346" s="135"/>
      <c r="R346" s="136"/>
      <c r="S346" s="136"/>
      <c r="T346" s="137"/>
      <c r="U346" s="135"/>
      <c r="V346" s="136"/>
      <c r="W346" s="138"/>
      <c r="X346" s="136"/>
      <c r="Y346" s="137"/>
      <c r="Z346" s="135"/>
      <c r="AA346" s="136"/>
      <c r="AB346" s="138"/>
      <c r="AC346" s="136"/>
      <c r="AD346" s="137"/>
      <c r="AE346" s="139">
        <f t="shared" ref="AE346:AE359" si="19">COUNTIF(E346:AD346,"TRUE")</f>
        <v>2</v>
      </c>
    </row>
    <row r="347" ht="15.75" customHeight="1" spans="1:31">
      <c r="A347" s="125">
        <v>388</v>
      </c>
      <c r="B347" s="126"/>
      <c r="C347" s="126"/>
      <c r="D347" s="126" t="s">
        <v>3726</v>
      </c>
      <c r="E347" s="128" t="b">
        <v>1</v>
      </c>
      <c r="F347" s="129" t="b">
        <v>1</v>
      </c>
      <c r="G347" s="129" t="b">
        <v>1</v>
      </c>
      <c r="H347" s="130" t="b">
        <v>0</v>
      </c>
      <c r="I347" s="128"/>
      <c r="J347" s="129"/>
      <c r="K347" s="129"/>
      <c r="L347" s="130"/>
      <c r="M347" s="128"/>
      <c r="N347" s="129"/>
      <c r="O347" s="129"/>
      <c r="P347" s="130"/>
      <c r="Q347" s="128"/>
      <c r="R347" s="129"/>
      <c r="S347" s="129"/>
      <c r="T347" s="130"/>
      <c r="U347" s="128"/>
      <c r="V347" s="129"/>
      <c r="W347" s="131"/>
      <c r="X347" s="129"/>
      <c r="Y347" s="130"/>
      <c r="Z347" s="128"/>
      <c r="AA347" s="129"/>
      <c r="AB347" s="131"/>
      <c r="AC347" s="129"/>
      <c r="AD347" s="130"/>
      <c r="AE347" s="132">
        <f t="shared" si="19"/>
        <v>3</v>
      </c>
    </row>
    <row r="348" ht="15.75" customHeight="1" spans="1:31">
      <c r="A348" s="133">
        <v>391</v>
      </c>
      <c r="B348" s="134"/>
      <c r="C348" s="134" t="s">
        <v>3413</v>
      </c>
      <c r="D348" s="134" t="s">
        <v>3727</v>
      </c>
      <c r="E348" s="135" t="b">
        <v>0</v>
      </c>
      <c r="F348" s="136" t="b">
        <v>0</v>
      </c>
      <c r="G348" s="136" t="b">
        <v>1</v>
      </c>
      <c r="H348" s="137" t="b">
        <v>1</v>
      </c>
      <c r="I348" s="135"/>
      <c r="J348" s="136"/>
      <c r="K348" s="136"/>
      <c r="L348" s="137"/>
      <c r="M348" s="135"/>
      <c r="N348" s="136"/>
      <c r="O348" s="136"/>
      <c r="P348" s="137"/>
      <c r="Q348" s="135"/>
      <c r="R348" s="136"/>
      <c r="S348" s="136"/>
      <c r="T348" s="137"/>
      <c r="U348" s="135"/>
      <c r="V348" s="136"/>
      <c r="W348" s="138"/>
      <c r="X348" s="136"/>
      <c r="Y348" s="137"/>
      <c r="Z348" s="135"/>
      <c r="AA348" s="136"/>
      <c r="AB348" s="138"/>
      <c r="AC348" s="136"/>
      <c r="AD348" s="137"/>
      <c r="AE348" s="139">
        <f t="shared" si="19"/>
        <v>2</v>
      </c>
    </row>
    <row r="349" ht="15.75" customHeight="1" spans="1:31">
      <c r="A349" s="125">
        <v>392</v>
      </c>
      <c r="B349" s="126"/>
      <c r="C349" s="126" t="s">
        <v>2</v>
      </c>
      <c r="D349" s="126" t="s">
        <v>3728</v>
      </c>
      <c r="E349" s="128" t="b">
        <v>0</v>
      </c>
      <c r="F349" s="129" t="b">
        <v>0</v>
      </c>
      <c r="G349" s="129" t="b">
        <v>1</v>
      </c>
      <c r="H349" s="130" t="b">
        <v>1</v>
      </c>
      <c r="I349" s="128"/>
      <c r="J349" s="129"/>
      <c r="K349" s="129"/>
      <c r="L349" s="130"/>
      <c r="M349" s="128"/>
      <c r="N349" s="129"/>
      <c r="O349" s="129"/>
      <c r="P349" s="130"/>
      <c r="Q349" s="128"/>
      <c r="R349" s="129"/>
      <c r="S349" s="129"/>
      <c r="T349" s="130"/>
      <c r="U349" s="128"/>
      <c r="V349" s="129"/>
      <c r="W349" s="131"/>
      <c r="X349" s="129"/>
      <c r="Y349" s="130"/>
      <c r="Z349" s="128"/>
      <c r="AA349" s="129"/>
      <c r="AB349" s="131"/>
      <c r="AC349" s="129"/>
      <c r="AD349" s="130"/>
      <c r="AE349" s="132">
        <f t="shared" si="19"/>
        <v>2</v>
      </c>
    </row>
    <row r="350" ht="15.75" customHeight="1" spans="1:31">
      <c r="A350" s="133">
        <v>393</v>
      </c>
      <c r="D350" s="140" t="s">
        <v>3729</v>
      </c>
      <c r="E350" s="135" t="b">
        <v>0</v>
      </c>
      <c r="F350" s="136" t="b">
        <v>0</v>
      </c>
      <c r="G350" s="136" t="b">
        <v>1</v>
      </c>
      <c r="H350" s="137" t="b">
        <v>1</v>
      </c>
      <c r="I350" s="135"/>
      <c r="J350" s="136"/>
      <c r="K350" s="136"/>
      <c r="L350" s="137"/>
      <c r="M350" s="135"/>
      <c r="N350" s="136"/>
      <c r="O350" s="136"/>
      <c r="P350" s="137"/>
      <c r="Q350" s="135"/>
      <c r="R350" s="136"/>
      <c r="S350" s="136"/>
      <c r="T350" s="137"/>
      <c r="U350" s="135"/>
      <c r="V350" s="136"/>
      <c r="W350" s="138"/>
      <c r="X350" s="136"/>
      <c r="Y350" s="137"/>
      <c r="Z350" s="135"/>
      <c r="AA350" s="136"/>
      <c r="AB350" s="138"/>
      <c r="AC350" s="136"/>
      <c r="AD350" s="137"/>
      <c r="AE350" s="139">
        <f t="shared" si="19"/>
        <v>2</v>
      </c>
    </row>
    <row r="351" ht="15.75" customHeight="1" spans="1:31">
      <c r="A351" s="125">
        <v>394</v>
      </c>
      <c r="C351" s="126" t="s">
        <v>3411</v>
      </c>
      <c r="D351" s="126" t="s">
        <v>3730</v>
      </c>
      <c r="E351" s="131" t="b">
        <v>0</v>
      </c>
      <c r="F351" s="131" t="b">
        <v>0</v>
      </c>
      <c r="G351" s="131" t="b">
        <v>0</v>
      </c>
      <c r="H351" s="131" t="b">
        <v>0</v>
      </c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  <c r="AA351" s="131"/>
      <c r="AB351" s="131"/>
      <c r="AC351" s="131"/>
      <c r="AD351" s="131"/>
      <c r="AE351" s="132">
        <f t="shared" si="19"/>
        <v>0</v>
      </c>
    </row>
    <row r="352" ht="15.75" customHeight="1" spans="1:31">
      <c r="A352" s="133">
        <v>396</v>
      </c>
      <c r="C352" s="134" t="s">
        <v>3411</v>
      </c>
      <c r="D352" s="134" t="s">
        <v>3731</v>
      </c>
      <c r="E352" s="135" t="b">
        <v>0</v>
      </c>
      <c r="F352" s="136" t="b">
        <v>0</v>
      </c>
      <c r="G352" s="136" t="b">
        <v>0</v>
      </c>
      <c r="H352" s="137" t="b">
        <v>0</v>
      </c>
      <c r="I352" s="135"/>
      <c r="J352" s="136"/>
      <c r="K352" s="136"/>
      <c r="L352" s="137"/>
      <c r="M352" s="135"/>
      <c r="N352" s="136"/>
      <c r="O352" s="136"/>
      <c r="P352" s="137"/>
      <c r="Q352" s="135"/>
      <c r="R352" s="136"/>
      <c r="S352" s="136"/>
      <c r="T352" s="137"/>
      <c r="U352" s="135"/>
      <c r="V352" s="136"/>
      <c r="W352" s="138"/>
      <c r="X352" s="136"/>
      <c r="Y352" s="137"/>
      <c r="Z352" s="135"/>
      <c r="AA352" s="136"/>
      <c r="AB352" s="138"/>
      <c r="AC352" s="136"/>
      <c r="AD352" s="137"/>
      <c r="AE352" s="139">
        <f t="shared" si="19"/>
        <v>0</v>
      </c>
    </row>
    <row r="353" ht="15.75" customHeight="1" spans="1:31">
      <c r="A353" s="125">
        <v>397</v>
      </c>
      <c r="C353" s="126" t="s">
        <v>3411</v>
      </c>
      <c r="D353" s="126" t="s">
        <v>3732</v>
      </c>
      <c r="E353" s="128" t="b">
        <v>1</v>
      </c>
      <c r="F353" s="129" t="b">
        <v>1</v>
      </c>
      <c r="G353" s="129" t="b">
        <v>1</v>
      </c>
      <c r="H353" s="130" t="b">
        <v>1</v>
      </c>
      <c r="I353" s="128"/>
      <c r="J353" s="129"/>
      <c r="K353" s="129"/>
      <c r="L353" s="130"/>
      <c r="M353" s="128"/>
      <c r="N353" s="129"/>
      <c r="O353" s="129"/>
      <c r="P353" s="130"/>
      <c r="Q353" s="128"/>
      <c r="R353" s="129"/>
      <c r="S353" s="129"/>
      <c r="T353" s="130"/>
      <c r="U353" s="128"/>
      <c r="V353" s="129"/>
      <c r="W353" s="131"/>
      <c r="X353" s="129"/>
      <c r="Y353" s="130"/>
      <c r="Z353" s="128"/>
      <c r="AA353" s="129"/>
      <c r="AB353" s="131"/>
      <c r="AC353" s="129"/>
      <c r="AD353" s="130"/>
      <c r="AE353" s="132">
        <f t="shared" si="19"/>
        <v>4</v>
      </c>
    </row>
    <row r="354" ht="15.75" customHeight="1" spans="1:31">
      <c r="A354" s="133">
        <v>398</v>
      </c>
      <c r="B354" s="134"/>
      <c r="C354" s="134" t="s">
        <v>2</v>
      </c>
      <c r="D354" s="134" t="s">
        <v>3733</v>
      </c>
      <c r="E354" s="135" t="b">
        <v>1</v>
      </c>
      <c r="F354" s="136" t="b">
        <v>1</v>
      </c>
      <c r="G354" s="136" t="b">
        <v>1</v>
      </c>
      <c r="H354" s="137" t="b">
        <v>1</v>
      </c>
      <c r="I354" s="135"/>
      <c r="J354" s="136"/>
      <c r="K354" s="136"/>
      <c r="L354" s="137"/>
      <c r="M354" s="135"/>
      <c r="N354" s="136"/>
      <c r="O354" s="136"/>
      <c r="P354" s="137"/>
      <c r="Q354" s="135"/>
      <c r="R354" s="136"/>
      <c r="S354" s="136"/>
      <c r="T354" s="137"/>
      <c r="U354" s="135"/>
      <c r="V354" s="136"/>
      <c r="W354" s="138"/>
      <c r="X354" s="136"/>
      <c r="Y354" s="137"/>
      <c r="Z354" s="135"/>
      <c r="AA354" s="136"/>
      <c r="AB354" s="138"/>
      <c r="AC354" s="136"/>
      <c r="AD354" s="137"/>
      <c r="AE354" s="139">
        <f t="shared" si="19"/>
        <v>4</v>
      </c>
    </row>
    <row r="355" ht="15.75" customHeight="1" spans="1:31">
      <c r="A355" s="125">
        <v>399</v>
      </c>
      <c r="B355" s="126"/>
      <c r="C355" s="126" t="s">
        <v>3</v>
      </c>
      <c r="D355" s="126" t="s">
        <v>1001</v>
      </c>
      <c r="E355" s="128" t="b">
        <v>1</v>
      </c>
      <c r="F355" s="129" t="b">
        <v>1</v>
      </c>
      <c r="G355" s="129" t="b">
        <v>1</v>
      </c>
      <c r="H355" s="130" t="b">
        <v>1</v>
      </c>
      <c r="I355" s="128"/>
      <c r="J355" s="129"/>
      <c r="K355" s="129"/>
      <c r="L355" s="130"/>
      <c r="M355" s="128"/>
      <c r="N355" s="129"/>
      <c r="O355" s="129"/>
      <c r="P355" s="130"/>
      <c r="Q355" s="128"/>
      <c r="R355" s="129"/>
      <c r="S355" s="129"/>
      <c r="T355" s="130"/>
      <c r="U355" s="128"/>
      <c r="V355" s="129"/>
      <c r="W355" s="131"/>
      <c r="X355" s="129"/>
      <c r="Y355" s="130"/>
      <c r="Z355" s="128"/>
      <c r="AA355" s="129"/>
      <c r="AB355" s="131"/>
      <c r="AC355" s="129"/>
      <c r="AD355" s="130"/>
      <c r="AE355" s="132">
        <f t="shared" si="19"/>
        <v>4</v>
      </c>
    </row>
    <row r="356" ht="15.75" customHeight="1" spans="1:31">
      <c r="A356" s="133">
        <v>401</v>
      </c>
      <c r="B356" s="134"/>
      <c r="C356" s="134"/>
      <c r="D356" s="134" t="s">
        <v>3734</v>
      </c>
      <c r="E356" s="135" t="b">
        <v>1</v>
      </c>
      <c r="F356" s="136" t="b">
        <v>1</v>
      </c>
      <c r="G356" s="136" t="b">
        <v>1</v>
      </c>
      <c r="H356" s="137" t="b">
        <v>1</v>
      </c>
      <c r="I356" s="135"/>
      <c r="J356" s="136"/>
      <c r="K356" s="136"/>
      <c r="L356" s="137"/>
      <c r="M356" s="135"/>
      <c r="N356" s="136"/>
      <c r="O356" s="136"/>
      <c r="P356" s="137"/>
      <c r="Q356" s="135"/>
      <c r="R356" s="136"/>
      <c r="S356" s="136"/>
      <c r="T356" s="137"/>
      <c r="U356" s="135"/>
      <c r="V356" s="136"/>
      <c r="W356" s="138"/>
      <c r="X356" s="136"/>
      <c r="Y356" s="137"/>
      <c r="Z356" s="135"/>
      <c r="AA356" s="136"/>
      <c r="AB356" s="138"/>
      <c r="AC356" s="136"/>
      <c r="AD356" s="137"/>
      <c r="AE356" s="139">
        <f t="shared" si="19"/>
        <v>4</v>
      </c>
    </row>
    <row r="357" ht="15.75" customHeight="1" spans="1:31">
      <c r="A357" s="125">
        <v>402</v>
      </c>
      <c r="B357" s="126"/>
      <c r="C357" s="126" t="s">
        <v>2</v>
      </c>
      <c r="D357" s="126" t="s">
        <v>2080</v>
      </c>
      <c r="E357" s="128" t="b">
        <v>0</v>
      </c>
      <c r="F357" s="129" t="b">
        <v>0</v>
      </c>
      <c r="G357" s="129" t="b">
        <v>0</v>
      </c>
      <c r="H357" s="130" t="b">
        <v>0</v>
      </c>
      <c r="I357" s="128"/>
      <c r="J357" s="129"/>
      <c r="K357" s="129"/>
      <c r="L357" s="130"/>
      <c r="M357" s="128"/>
      <c r="N357" s="129"/>
      <c r="O357" s="129"/>
      <c r="P357" s="130"/>
      <c r="Q357" s="128"/>
      <c r="R357" s="129"/>
      <c r="S357" s="129"/>
      <c r="T357" s="130"/>
      <c r="U357" s="128"/>
      <c r="V357" s="129"/>
      <c r="W357" s="131"/>
      <c r="X357" s="129"/>
      <c r="Y357" s="130"/>
      <c r="Z357" s="128"/>
      <c r="AA357" s="129"/>
      <c r="AB357" s="131"/>
      <c r="AC357" s="129"/>
      <c r="AD357" s="130"/>
      <c r="AE357" s="132">
        <f t="shared" si="19"/>
        <v>0</v>
      </c>
    </row>
    <row r="358" ht="15.75" customHeight="1" spans="1:31">
      <c r="A358" s="133">
        <v>403</v>
      </c>
      <c r="B358" s="134"/>
      <c r="C358" s="134" t="s">
        <v>3</v>
      </c>
      <c r="D358" s="134" t="s">
        <v>3735</v>
      </c>
      <c r="E358" s="135" t="b">
        <v>1</v>
      </c>
      <c r="F358" s="136" t="b">
        <v>1</v>
      </c>
      <c r="G358" s="136" t="b">
        <v>1</v>
      </c>
      <c r="H358" s="137" t="b">
        <v>1</v>
      </c>
      <c r="I358" s="135"/>
      <c r="J358" s="136"/>
      <c r="K358" s="136"/>
      <c r="L358" s="137"/>
      <c r="M358" s="135"/>
      <c r="N358" s="136"/>
      <c r="O358" s="136"/>
      <c r="P358" s="137"/>
      <c r="Q358" s="135"/>
      <c r="R358" s="136"/>
      <c r="S358" s="136"/>
      <c r="T358" s="137"/>
      <c r="U358" s="135"/>
      <c r="V358" s="136"/>
      <c r="W358" s="138"/>
      <c r="X358" s="136"/>
      <c r="Y358" s="137"/>
      <c r="Z358" s="135"/>
      <c r="AA358" s="136"/>
      <c r="AB358" s="138"/>
      <c r="AC358" s="136"/>
      <c r="AD358" s="137"/>
      <c r="AE358" s="139">
        <f t="shared" si="19"/>
        <v>4</v>
      </c>
    </row>
    <row r="359" ht="15.75" customHeight="1" spans="1:31">
      <c r="A359" s="125">
        <v>404</v>
      </c>
      <c r="B359" s="126"/>
      <c r="C359" s="126" t="s">
        <v>2</v>
      </c>
      <c r="D359" s="126" t="s">
        <v>708</v>
      </c>
      <c r="E359" s="128" t="b">
        <v>1</v>
      </c>
      <c r="F359" s="129" t="b">
        <v>1</v>
      </c>
      <c r="G359" s="129" t="b">
        <v>1</v>
      </c>
      <c r="H359" s="130" t="b">
        <v>1</v>
      </c>
      <c r="I359" s="128"/>
      <c r="J359" s="129"/>
      <c r="K359" s="129"/>
      <c r="L359" s="130"/>
      <c r="M359" s="128"/>
      <c r="N359" s="129"/>
      <c r="O359" s="129"/>
      <c r="P359" s="130"/>
      <c r="Q359" s="128"/>
      <c r="R359" s="129"/>
      <c r="S359" s="129"/>
      <c r="T359" s="130"/>
      <c r="U359" s="128"/>
      <c r="V359" s="129"/>
      <c r="W359" s="131"/>
      <c r="X359" s="129"/>
      <c r="Y359" s="130"/>
      <c r="Z359" s="128"/>
      <c r="AA359" s="129"/>
      <c r="AB359" s="131"/>
      <c r="AC359" s="129"/>
      <c r="AD359" s="130"/>
      <c r="AE359" s="132">
        <f t="shared" si="19"/>
        <v>4</v>
      </c>
    </row>
    <row r="360" ht="15.75" customHeight="1" spans="1:31">
      <c r="A360" s="133">
        <v>405</v>
      </c>
      <c r="C360" s="140" t="s">
        <v>3413</v>
      </c>
      <c r="D360" s="140" t="s">
        <v>3736</v>
      </c>
      <c r="E360" s="141" t="b">
        <v>1</v>
      </c>
      <c r="F360" s="142" t="b">
        <v>0</v>
      </c>
      <c r="G360" s="149" t="b">
        <v>1</v>
      </c>
      <c r="H360" s="143" t="b">
        <v>0</v>
      </c>
      <c r="I360" s="144"/>
      <c r="J360" s="142"/>
      <c r="K360" s="142"/>
      <c r="L360" s="143"/>
      <c r="M360" s="144"/>
      <c r="N360" s="142"/>
      <c r="O360" s="142"/>
      <c r="P360" s="143"/>
      <c r="Q360" s="144"/>
      <c r="R360" s="142"/>
      <c r="S360" s="142"/>
      <c r="T360" s="143"/>
      <c r="U360" s="144"/>
      <c r="V360" s="142"/>
      <c r="X360" s="142"/>
      <c r="Y360" s="143"/>
      <c r="Z360" s="144"/>
      <c r="AA360" s="142"/>
      <c r="AC360" s="142"/>
      <c r="AD360" s="143"/>
    </row>
    <row r="361" ht="15.75" customHeight="1" spans="1:31">
      <c r="A361" s="125">
        <v>406</v>
      </c>
      <c r="B361" s="126"/>
      <c r="C361" s="126"/>
      <c r="D361" s="126" t="s">
        <v>3737</v>
      </c>
      <c r="E361" s="128" t="b">
        <v>0</v>
      </c>
      <c r="F361" s="129" t="b">
        <v>1</v>
      </c>
      <c r="G361" s="129" t="b">
        <v>0</v>
      </c>
      <c r="H361" s="130" t="b">
        <v>0</v>
      </c>
      <c r="I361" s="128"/>
      <c r="J361" s="129"/>
      <c r="K361" s="129"/>
      <c r="L361" s="130"/>
      <c r="M361" s="128"/>
      <c r="N361" s="129"/>
      <c r="O361" s="129"/>
      <c r="P361" s="130"/>
      <c r="Q361" s="128"/>
      <c r="R361" s="129"/>
      <c r="S361" s="129"/>
      <c r="T361" s="130"/>
      <c r="U361" s="128"/>
      <c r="V361" s="129"/>
      <c r="W361" s="131"/>
      <c r="X361" s="129"/>
      <c r="Y361" s="130"/>
      <c r="Z361" s="128"/>
      <c r="AA361" s="129"/>
      <c r="AB361" s="131"/>
      <c r="AC361" s="129"/>
      <c r="AD361" s="130"/>
      <c r="AE361" s="132">
        <f t="shared" ref="AE361:AE375" si="20">COUNTIF(E361:AD361,"TRUE")</f>
        <v>1</v>
      </c>
    </row>
    <row r="362" ht="15.75" customHeight="1" spans="1:31">
      <c r="A362" s="133">
        <v>407</v>
      </c>
      <c r="B362" s="140" t="s">
        <v>3434</v>
      </c>
      <c r="C362" s="134"/>
      <c r="D362" s="140" t="s">
        <v>3738</v>
      </c>
      <c r="E362" s="135" t="b">
        <v>0</v>
      </c>
      <c r="F362" s="136" t="b">
        <v>1</v>
      </c>
      <c r="G362" s="136" t="b">
        <v>1</v>
      </c>
      <c r="H362" s="137" t="b">
        <v>1</v>
      </c>
      <c r="I362" s="135"/>
      <c r="J362" s="136"/>
      <c r="K362" s="136"/>
      <c r="L362" s="137"/>
      <c r="M362" s="135"/>
      <c r="N362" s="136"/>
      <c r="O362" s="136"/>
      <c r="P362" s="137"/>
      <c r="Q362" s="135"/>
      <c r="R362" s="136"/>
      <c r="S362" s="136"/>
      <c r="T362" s="137"/>
      <c r="U362" s="135"/>
      <c r="V362" s="136"/>
      <c r="W362" s="138"/>
      <c r="X362" s="136"/>
      <c r="Y362" s="137"/>
      <c r="Z362" s="135"/>
      <c r="AA362" s="136"/>
      <c r="AB362" s="138"/>
      <c r="AC362" s="136"/>
      <c r="AD362" s="137"/>
      <c r="AE362" s="139">
        <f t="shared" si="20"/>
        <v>3</v>
      </c>
    </row>
    <row r="363" ht="15.75" customHeight="1" spans="1:31">
      <c r="A363" s="125">
        <v>408</v>
      </c>
      <c r="B363" s="126"/>
      <c r="C363" s="126" t="s">
        <v>3</v>
      </c>
      <c r="D363" s="126" t="s">
        <v>1017</v>
      </c>
      <c r="E363" s="128" t="b">
        <v>1</v>
      </c>
      <c r="F363" s="129" t="b">
        <v>1</v>
      </c>
      <c r="G363" s="129" t="b">
        <v>1</v>
      </c>
      <c r="H363" s="130" t="b">
        <v>1</v>
      </c>
      <c r="I363" s="128"/>
      <c r="J363" s="129"/>
      <c r="K363" s="129"/>
      <c r="L363" s="130"/>
      <c r="M363" s="128"/>
      <c r="N363" s="129"/>
      <c r="O363" s="129"/>
      <c r="P363" s="130"/>
      <c r="Q363" s="128"/>
      <c r="R363" s="129"/>
      <c r="S363" s="129"/>
      <c r="T363" s="130"/>
      <c r="U363" s="128"/>
      <c r="V363" s="129"/>
      <c r="W363" s="131"/>
      <c r="X363" s="129"/>
      <c r="Y363" s="130"/>
      <c r="Z363" s="128"/>
      <c r="AA363" s="129"/>
      <c r="AB363" s="131"/>
      <c r="AC363" s="129"/>
      <c r="AD363" s="130"/>
      <c r="AE363" s="132">
        <f t="shared" si="20"/>
        <v>4</v>
      </c>
    </row>
    <row r="364" ht="15.75" customHeight="1" spans="1:31">
      <c r="A364" s="133">
        <v>409</v>
      </c>
      <c r="B364" s="134"/>
      <c r="D364" s="134" t="s">
        <v>1975</v>
      </c>
      <c r="E364" s="138" t="b">
        <v>1</v>
      </c>
      <c r="F364" s="138" t="b">
        <v>1</v>
      </c>
      <c r="G364" s="138" t="b">
        <v>1</v>
      </c>
      <c r="H364" s="138" t="b">
        <v>1</v>
      </c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  <c r="AE364" s="139">
        <f t="shared" si="20"/>
        <v>4</v>
      </c>
    </row>
    <row r="365" ht="15.75" customHeight="1" spans="1:31">
      <c r="A365" s="125">
        <v>410</v>
      </c>
      <c r="C365" s="126" t="s">
        <v>3413</v>
      </c>
      <c r="D365" s="126" t="s">
        <v>3739</v>
      </c>
      <c r="E365" s="128" t="b">
        <v>0</v>
      </c>
      <c r="F365" s="129" t="b">
        <v>0</v>
      </c>
      <c r="G365" s="129" t="b">
        <v>0</v>
      </c>
      <c r="H365" s="130" t="b">
        <v>0</v>
      </c>
      <c r="I365" s="128"/>
      <c r="J365" s="129"/>
      <c r="K365" s="129"/>
      <c r="L365" s="130"/>
      <c r="M365" s="128"/>
      <c r="N365" s="129"/>
      <c r="O365" s="129"/>
      <c r="P365" s="130"/>
      <c r="Q365" s="128"/>
      <c r="R365" s="129"/>
      <c r="S365" s="129"/>
      <c r="T365" s="130"/>
      <c r="U365" s="128"/>
      <c r="V365" s="129"/>
      <c r="W365" s="131"/>
      <c r="X365" s="129"/>
      <c r="Y365" s="130"/>
      <c r="Z365" s="128"/>
      <c r="AA365" s="129"/>
      <c r="AB365" s="131"/>
      <c r="AC365" s="129"/>
      <c r="AD365" s="130"/>
      <c r="AE365" s="132">
        <f t="shared" si="20"/>
        <v>0</v>
      </c>
    </row>
    <row r="366" ht="15.75" customHeight="1" spans="1:31">
      <c r="A366" s="133">
        <v>411</v>
      </c>
      <c r="B366" s="134"/>
      <c r="C366" s="134" t="s">
        <v>2</v>
      </c>
      <c r="D366" s="134" t="s">
        <v>3740</v>
      </c>
      <c r="E366" s="135" t="b">
        <v>0</v>
      </c>
      <c r="F366" s="136" t="b">
        <v>0</v>
      </c>
      <c r="G366" s="136" t="b">
        <v>0</v>
      </c>
      <c r="H366" s="137" t="b">
        <v>0</v>
      </c>
      <c r="I366" s="135"/>
      <c r="J366" s="136"/>
      <c r="K366" s="136"/>
      <c r="L366" s="137"/>
      <c r="M366" s="135"/>
      <c r="N366" s="136"/>
      <c r="O366" s="136"/>
      <c r="P366" s="137"/>
      <c r="Q366" s="135"/>
      <c r="R366" s="136"/>
      <c r="S366" s="136"/>
      <c r="T366" s="137"/>
      <c r="U366" s="135"/>
      <c r="V366" s="136"/>
      <c r="W366" s="138"/>
      <c r="X366" s="136"/>
      <c r="Y366" s="137"/>
      <c r="Z366" s="135"/>
      <c r="AA366" s="136"/>
      <c r="AB366" s="138"/>
      <c r="AC366" s="136"/>
      <c r="AD366" s="137"/>
      <c r="AE366" s="139">
        <f t="shared" si="20"/>
        <v>0</v>
      </c>
    </row>
    <row r="367" ht="15.75" customHeight="1" spans="1:31">
      <c r="A367" s="125">
        <v>412</v>
      </c>
      <c r="B367" s="126"/>
      <c r="C367" s="126" t="s">
        <v>3413</v>
      </c>
      <c r="D367" s="126" t="s">
        <v>3741</v>
      </c>
      <c r="E367" s="128" t="b">
        <v>0</v>
      </c>
      <c r="F367" s="129" t="b">
        <v>0</v>
      </c>
      <c r="G367" s="129" t="b">
        <v>0</v>
      </c>
      <c r="H367" s="130" t="b">
        <v>0</v>
      </c>
      <c r="I367" s="128"/>
      <c r="J367" s="129"/>
      <c r="K367" s="129"/>
      <c r="L367" s="130"/>
      <c r="M367" s="128"/>
      <c r="N367" s="129"/>
      <c r="O367" s="129"/>
      <c r="P367" s="130"/>
      <c r="Q367" s="128"/>
      <c r="R367" s="129"/>
      <c r="S367" s="129"/>
      <c r="T367" s="130"/>
      <c r="U367" s="128"/>
      <c r="V367" s="129"/>
      <c r="W367" s="131"/>
      <c r="X367" s="129"/>
      <c r="Y367" s="130"/>
      <c r="Z367" s="128"/>
      <c r="AA367" s="129"/>
      <c r="AB367" s="131"/>
      <c r="AC367" s="129"/>
      <c r="AD367" s="130"/>
      <c r="AE367" s="132">
        <f t="shared" si="20"/>
        <v>0</v>
      </c>
    </row>
    <row r="368" ht="15.75" customHeight="1" spans="1:31">
      <c r="A368" s="133">
        <v>414</v>
      </c>
      <c r="B368" s="134"/>
      <c r="C368" s="134" t="s">
        <v>3411</v>
      </c>
      <c r="D368" s="134" t="s">
        <v>3742</v>
      </c>
      <c r="E368" s="135" t="b">
        <v>0</v>
      </c>
      <c r="F368" s="136" t="b">
        <v>0</v>
      </c>
      <c r="G368" s="136" t="b">
        <v>0</v>
      </c>
      <c r="H368" s="137" t="b">
        <v>0</v>
      </c>
      <c r="I368" s="135"/>
      <c r="J368" s="136"/>
      <c r="K368" s="136"/>
      <c r="L368" s="137"/>
      <c r="M368" s="135"/>
      <c r="N368" s="136"/>
      <c r="O368" s="136"/>
      <c r="P368" s="137"/>
      <c r="Q368" s="135"/>
      <c r="R368" s="136"/>
      <c r="S368" s="136"/>
      <c r="T368" s="137"/>
      <c r="U368" s="135"/>
      <c r="V368" s="136"/>
      <c r="W368" s="138"/>
      <c r="X368" s="136"/>
      <c r="Y368" s="137"/>
      <c r="Z368" s="135"/>
      <c r="AA368" s="136"/>
      <c r="AB368" s="138"/>
      <c r="AC368" s="136"/>
      <c r="AD368" s="137"/>
      <c r="AE368" s="139">
        <f t="shared" si="20"/>
        <v>0</v>
      </c>
    </row>
    <row r="369" ht="15.75" customHeight="1" spans="1:31">
      <c r="A369" s="125">
        <v>416</v>
      </c>
      <c r="B369" s="126"/>
      <c r="C369" s="126"/>
      <c r="D369" s="127" t="s">
        <v>3743</v>
      </c>
      <c r="E369" s="128" t="b">
        <v>1</v>
      </c>
      <c r="F369" s="129" t="b">
        <v>0</v>
      </c>
      <c r="G369" s="129" t="b">
        <v>0</v>
      </c>
      <c r="H369" s="130" t="b">
        <v>0</v>
      </c>
      <c r="I369" s="128"/>
      <c r="J369" s="129"/>
      <c r="K369" s="129"/>
      <c r="L369" s="130"/>
      <c r="M369" s="128"/>
      <c r="N369" s="129"/>
      <c r="O369" s="129"/>
      <c r="P369" s="130"/>
      <c r="Q369" s="128"/>
      <c r="R369" s="129"/>
      <c r="S369" s="129"/>
      <c r="T369" s="130"/>
      <c r="U369" s="128"/>
      <c r="V369" s="129"/>
      <c r="W369" s="131"/>
      <c r="X369" s="129"/>
      <c r="Y369" s="130"/>
      <c r="Z369" s="128"/>
      <c r="AA369" s="129"/>
      <c r="AB369" s="131"/>
      <c r="AC369" s="129"/>
      <c r="AD369" s="130"/>
      <c r="AE369" s="132">
        <f t="shared" si="20"/>
        <v>1</v>
      </c>
    </row>
    <row r="370" ht="15.75" customHeight="1" spans="1:31">
      <c r="A370" s="133">
        <v>417</v>
      </c>
      <c r="B370" s="134"/>
      <c r="C370" s="134" t="s">
        <v>2</v>
      </c>
      <c r="D370" s="134" t="s">
        <v>3744</v>
      </c>
      <c r="E370" s="135" t="b">
        <v>1</v>
      </c>
      <c r="F370" s="136" t="b">
        <v>0</v>
      </c>
      <c r="G370" s="136" t="b">
        <v>1</v>
      </c>
      <c r="H370" s="137" t="b">
        <v>0</v>
      </c>
      <c r="I370" s="135"/>
      <c r="J370" s="136"/>
      <c r="K370" s="136"/>
      <c r="L370" s="137"/>
      <c r="M370" s="135"/>
      <c r="N370" s="136"/>
      <c r="O370" s="136"/>
      <c r="P370" s="137"/>
      <c r="Q370" s="135"/>
      <c r="R370" s="136"/>
      <c r="S370" s="136"/>
      <c r="T370" s="137"/>
      <c r="U370" s="135"/>
      <c r="V370" s="136"/>
      <c r="W370" s="138"/>
      <c r="X370" s="136"/>
      <c r="Y370" s="137"/>
      <c r="Z370" s="135"/>
      <c r="AA370" s="136"/>
      <c r="AB370" s="138"/>
      <c r="AC370" s="136"/>
      <c r="AD370" s="137"/>
      <c r="AE370" s="139">
        <f t="shared" si="20"/>
        <v>2</v>
      </c>
    </row>
    <row r="371" ht="15.75" customHeight="1" spans="1:31">
      <c r="A371" s="125">
        <v>418</v>
      </c>
      <c r="B371" s="126"/>
      <c r="C371" s="126" t="s">
        <v>3</v>
      </c>
      <c r="D371" s="126" t="s">
        <v>3745</v>
      </c>
      <c r="E371" s="128" t="b">
        <v>0</v>
      </c>
      <c r="F371" s="129" t="b">
        <v>0</v>
      </c>
      <c r="G371" s="129" t="b">
        <v>0</v>
      </c>
      <c r="H371" s="130" t="b">
        <v>0</v>
      </c>
      <c r="I371" s="128"/>
      <c r="J371" s="129"/>
      <c r="K371" s="129"/>
      <c r="L371" s="130"/>
      <c r="M371" s="128"/>
      <c r="N371" s="129"/>
      <c r="O371" s="129"/>
      <c r="P371" s="130"/>
      <c r="Q371" s="128"/>
      <c r="R371" s="129"/>
      <c r="S371" s="129"/>
      <c r="T371" s="130"/>
      <c r="U371" s="128"/>
      <c r="V371" s="129"/>
      <c r="W371" s="131"/>
      <c r="X371" s="129"/>
      <c r="Y371" s="130"/>
      <c r="Z371" s="128"/>
      <c r="AA371" s="129"/>
      <c r="AB371" s="131"/>
      <c r="AC371" s="129"/>
      <c r="AD371" s="130"/>
      <c r="AE371" s="132">
        <f t="shared" si="20"/>
        <v>0</v>
      </c>
    </row>
    <row r="372" ht="15.75" customHeight="1" spans="1:31">
      <c r="A372" s="133">
        <v>420</v>
      </c>
      <c r="B372" s="134"/>
      <c r="C372" s="134" t="s">
        <v>3</v>
      </c>
      <c r="D372" s="134" t="s">
        <v>3746</v>
      </c>
      <c r="E372" s="135" t="b">
        <v>0</v>
      </c>
      <c r="F372" s="136" t="b">
        <v>0</v>
      </c>
      <c r="G372" s="136" t="b">
        <v>0</v>
      </c>
      <c r="H372" s="137" t="b">
        <v>0</v>
      </c>
      <c r="I372" s="135"/>
      <c r="J372" s="136"/>
      <c r="K372" s="136"/>
      <c r="L372" s="137"/>
      <c r="M372" s="135"/>
      <c r="N372" s="136"/>
      <c r="O372" s="136"/>
      <c r="P372" s="137"/>
      <c r="Q372" s="135"/>
      <c r="R372" s="136"/>
      <c r="S372" s="136"/>
      <c r="T372" s="137"/>
      <c r="U372" s="135"/>
      <c r="V372" s="136"/>
      <c r="W372" s="138"/>
      <c r="X372" s="136"/>
      <c r="Y372" s="137"/>
      <c r="Z372" s="135"/>
      <c r="AA372" s="136"/>
      <c r="AB372" s="138"/>
      <c r="AC372" s="136"/>
      <c r="AD372" s="137"/>
      <c r="AE372" s="139">
        <f t="shared" si="20"/>
        <v>0</v>
      </c>
    </row>
    <row r="373" ht="15.75" customHeight="1" spans="1:31">
      <c r="A373" s="125">
        <v>421</v>
      </c>
      <c r="B373" s="126"/>
      <c r="C373" s="126" t="s">
        <v>3411</v>
      </c>
      <c r="D373" s="126" t="s">
        <v>3747</v>
      </c>
      <c r="E373" s="128" t="b">
        <v>0</v>
      </c>
      <c r="F373" s="129" t="b">
        <v>0</v>
      </c>
      <c r="G373" s="129" t="b">
        <v>0</v>
      </c>
      <c r="H373" s="130" t="b">
        <v>0</v>
      </c>
      <c r="I373" s="128"/>
      <c r="J373" s="129"/>
      <c r="K373" s="129"/>
      <c r="L373" s="130"/>
      <c r="M373" s="128"/>
      <c r="N373" s="129"/>
      <c r="O373" s="129"/>
      <c r="P373" s="130"/>
      <c r="Q373" s="128"/>
      <c r="R373" s="129"/>
      <c r="S373" s="129"/>
      <c r="T373" s="130"/>
      <c r="U373" s="128"/>
      <c r="V373" s="129"/>
      <c r="W373" s="131"/>
      <c r="X373" s="129"/>
      <c r="Y373" s="130"/>
      <c r="Z373" s="128"/>
      <c r="AA373" s="129"/>
      <c r="AB373" s="131"/>
      <c r="AC373" s="129"/>
      <c r="AD373" s="130"/>
      <c r="AE373" s="132">
        <f t="shared" si="20"/>
        <v>0</v>
      </c>
    </row>
    <row r="374" ht="15.75" customHeight="1" spans="1:31">
      <c r="A374" s="133">
        <v>422</v>
      </c>
      <c r="B374" s="134"/>
      <c r="C374" s="134" t="s">
        <v>3411</v>
      </c>
      <c r="D374" s="134" t="s">
        <v>3748</v>
      </c>
      <c r="E374" s="135" t="b">
        <v>0</v>
      </c>
      <c r="F374" s="136" t="b">
        <v>0</v>
      </c>
      <c r="G374" s="136" t="b">
        <v>0</v>
      </c>
      <c r="H374" s="137" t="b">
        <v>0</v>
      </c>
      <c r="I374" s="135"/>
      <c r="J374" s="136"/>
      <c r="K374" s="136"/>
      <c r="L374" s="137"/>
      <c r="M374" s="135"/>
      <c r="N374" s="136"/>
      <c r="O374" s="136"/>
      <c r="P374" s="137"/>
      <c r="Q374" s="135"/>
      <c r="R374" s="136"/>
      <c r="S374" s="136"/>
      <c r="T374" s="137"/>
      <c r="U374" s="135"/>
      <c r="V374" s="136"/>
      <c r="W374" s="138"/>
      <c r="X374" s="136"/>
      <c r="Y374" s="137"/>
      <c r="Z374" s="135"/>
      <c r="AA374" s="136"/>
      <c r="AB374" s="138"/>
      <c r="AC374" s="136"/>
      <c r="AD374" s="137"/>
      <c r="AE374" s="139">
        <f t="shared" si="20"/>
        <v>0</v>
      </c>
    </row>
    <row r="375" ht="15.75" customHeight="1" spans="1:31">
      <c r="A375" s="125">
        <v>423</v>
      </c>
      <c r="B375" s="126"/>
      <c r="C375" s="126"/>
      <c r="D375" s="126" t="s">
        <v>3749</v>
      </c>
      <c r="E375" s="128" t="b">
        <v>0</v>
      </c>
      <c r="F375" s="129" t="b">
        <v>1</v>
      </c>
      <c r="G375" s="129" t="b">
        <v>0</v>
      </c>
      <c r="H375" s="130" t="b">
        <v>0</v>
      </c>
      <c r="I375" s="128"/>
      <c r="J375" s="129"/>
      <c r="K375" s="129"/>
      <c r="L375" s="130"/>
      <c r="M375" s="128"/>
      <c r="N375" s="129"/>
      <c r="O375" s="129"/>
      <c r="P375" s="130"/>
      <c r="Q375" s="128"/>
      <c r="R375" s="129"/>
      <c r="S375" s="129"/>
      <c r="T375" s="130"/>
      <c r="U375" s="128"/>
      <c r="V375" s="129"/>
      <c r="W375" s="131"/>
      <c r="X375" s="129"/>
      <c r="Y375" s="130"/>
      <c r="Z375" s="128"/>
      <c r="AA375" s="129"/>
      <c r="AB375" s="131"/>
      <c r="AC375" s="129"/>
      <c r="AD375" s="130"/>
      <c r="AE375" s="132">
        <f t="shared" si="20"/>
        <v>1</v>
      </c>
    </row>
    <row r="376" ht="15.75" customHeight="1" spans="1:31">
      <c r="A376" s="133">
        <v>424</v>
      </c>
      <c r="D376" s="140" t="s">
        <v>3750</v>
      </c>
      <c r="E376" s="144" t="b">
        <v>0</v>
      </c>
      <c r="F376" s="142" t="b">
        <v>0</v>
      </c>
      <c r="G376" s="149" t="b">
        <v>1</v>
      </c>
      <c r="H376" s="143" t="b">
        <v>0</v>
      </c>
      <c r="I376" s="144"/>
      <c r="J376" s="142"/>
      <c r="K376" s="142"/>
      <c r="L376" s="143"/>
      <c r="M376" s="144"/>
      <c r="N376" s="142"/>
      <c r="O376" s="142"/>
      <c r="P376" s="143"/>
      <c r="Q376" s="144"/>
      <c r="R376" s="142"/>
      <c r="S376" s="142"/>
      <c r="T376" s="143"/>
      <c r="U376" s="144"/>
      <c r="V376" s="142"/>
      <c r="X376" s="142"/>
      <c r="Y376" s="143"/>
      <c r="Z376" s="144"/>
      <c r="AA376" s="142"/>
      <c r="AC376" s="142"/>
      <c r="AD376" s="143"/>
    </row>
    <row r="377" ht="15.75" customHeight="1" spans="1:31">
      <c r="A377" s="125">
        <v>425</v>
      </c>
      <c r="D377" s="127" t="s">
        <v>3751</v>
      </c>
      <c r="E377" s="145" t="b">
        <v>0</v>
      </c>
      <c r="F377" s="146" t="b">
        <v>0</v>
      </c>
      <c r="G377" s="147" t="b">
        <v>1</v>
      </c>
      <c r="H377" s="148" t="b">
        <v>0</v>
      </c>
      <c r="I377" s="145"/>
      <c r="J377" s="146"/>
      <c r="K377" s="146"/>
      <c r="L377" s="148"/>
      <c r="M377" s="145"/>
      <c r="N377" s="146"/>
      <c r="O377" s="146"/>
      <c r="P377" s="148"/>
      <c r="Q377" s="145"/>
      <c r="R377" s="146"/>
      <c r="S377" s="146"/>
      <c r="T377" s="148"/>
      <c r="U377" s="145"/>
      <c r="V377" s="146"/>
      <c r="X377" s="146"/>
      <c r="Y377" s="148"/>
      <c r="Z377" s="145"/>
      <c r="AA377" s="146"/>
      <c r="AC377" s="146"/>
      <c r="AD377" s="148"/>
    </row>
    <row r="378" ht="15.75" customHeight="1" spans="1:31">
      <c r="A378" s="133">
        <v>426</v>
      </c>
      <c r="D378" s="140" t="s">
        <v>3752</v>
      </c>
      <c r="E378" s="144" t="b">
        <v>0</v>
      </c>
      <c r="F378" s="142" t="b">
        <v>0</v>
      </c>
      <c r="G378" s="149" t="b">
        <v>1</v>
      </c>
      <c r="H378" s="143" t="b">
        <v>0</v>
      </c>
      <c r="I378" s="144"/>
      <c r="J378" s="142"/>
      <c r="K378" s="142"/>
      <c r="L378" s="143"/>
      <c r="M378" s="144"/>
      <c r="N378" s="142"/>
      <c r="O378" s="142"/>
      <c r="P378" s="143"/>
      <c r="Q378" s="144"/>
      <c r="R378" s="142"/>
      <c r="S378" s="142"/>
      <c r="T378" s="143"/>
      <c r="U378" s="144"/>
      <c r="V378" s="142"/>
      <c r="X378" s="142"/>
      <c r="Y378" s="143"/>
      <c r="Z378" s="144"/>
      <c r="AA378" s="142"/>
      <c r="AC378" s="142"/>
      <c r="AD378" s="143"/>
    </row>
    <row r="379" ht="15.75" customHeight="1" spans="1:31">
      <c r="A379" s="125">
        <v>427</v>
      </c>
      <c r="B379" s="127" t="s">
        <v>3753</v>
      </c>
      <c r="C379" s="126" t="s">
        <v>3</v>
      </c>
      <c r="D379" s="126" t="s">
        <v>3754</v>
      </c>
      <c r="E379" s="128" t="b">
        <v>0</v>
      </c>
      <c r="F379" s="129" t="b">
        <v>0</v>
      </c>
      <c r="G379" s="129" t="b">
        <v>0</v>
      </c>
      <c r="H379" s="130" t="b">
        <v>0</v>
      </c>
      <c r="I379" s="128"/>
      <c r="J379" s="129"/>
      <c r="K379" s="129"/>
      <c r="L379" s="130"/>
      <c r="M379" s="128"/>
      <c r="N379" s="129"/>
      <c r="O379" s="129"/>
      <c r="P379" s="130"/>
      <c r="Q379" s="128"/>
      <c r="R379" s="129"/>
      <c r="S379" s="129"/>
      <c r="T379" s="130"/>
      <c r="U379" s="128"/>
      <c r="V379" s="129"/>
      <c r="W379" s="131"/>
      <c r="X379" s="129"/>
      <c r="Y379" s="130"/>
      <c r="Z379" s="128"/>
      <c r="AA379" s="129"/>
      <c r="AB379" s="131"/>
      <c r="AC379" s="129"/>
      <c r="AD379" s="130"/>
      <c r="AE379" s="132">
        <f t="shared" ref="AE379:AE383" si="21">COUNTIF(E379:AD379,"TRUE")</f>
        <v>0</v>
      </c>
    </row>
    <row r="380" ht="15.75" customHeight="1" spans="1:31">
      <c r="A380" s="133">
        <v>428</v>
      </c>
      <c r="B380" s="140" t="s">
        <v>3753</v>
      </c>
      <c r="C380" s="134" t="s">
        <v>2</v>
      </c>
      <c r="D380" s="140" t="s">
        <v>3755</v>
      </c>
      <c r="E380" s="138" t="b">
        <v>1</v>
      </c>
      <c r="F380" s="138" t="b">
        <v>1</v>
      </c>
      <c r="G380" s="138" t="b">
        <v>1</v>
      </c>
      <c r="H380" s="138" t="b">
        <v>1</v>
      </c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38"/>
      <c r="AD380" s="138"/>
      <c r="AE380" s="139">
        <f t="shared" si="21"/>
        <v>4</v>
      </c>
    </row>
    <row r="381" ht="15.75" customHeight="1" spans="1:31">
      <c r="A381" s="125">
        <v>429</v>
      </c>
      <c r="B381" s="127" t="s">
        <v>3756</v>
      </c>
      <c r="C381" s="126" t="s">
        <v>3411</v>
      </c>
      <c r="D381" s="127" t="s">
        <v>3757</v>
      </c>
      <c r="E381" s="131" t="b">
        <v>1</v>
      </c>
      <c r="F381" s="131" t="b">
        <v>1</v>
      </c>
      <c r="G381" s="131" t="b">
        <v>1</v>
      </c>
      <c r="H381" s="131" t="b">
        <v>1</v>
      </c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  <c r="AB381" s="131"/>
      <c r="AC381" s="131"/>
      <c r="AD381" s="131"/>
      <c r="AE381" s="132">
        <f t="shared" si="21"/>
        <v>4</v>
      </c>
    </row>
    <row r="382" ht="15.75" customHeight="1" spans="1:31">
      <c r="A382" s="133">
        <v>430</v>
      </c>
      <c r="B382" s="134"/>
      <c r="C382" s="134" t="s">
        <v>3411</v>
      </c>
      <c r="D382" s="134" t="s">
        <v>3758</v>
      </c>
      <c r="E382" s="135" t="b">
        <v>0</v>
      </c>
      <c r="F382" s="136" t="b">
        <v>0</v>
      </c>
      <c r="G382" s="136" t="b">
        <v>0</v>
      </c>
      <c r="H382" s="137" t="b">
        <v>0</v>
      </c>
      <c r="I382" s="135"/>
      <c r="J382" s="136"/>
      <c r="K382" s="136"/>
      <c r="L382" s="137"/>
      <c r="M382" s="135"/>
      <c r="N382" s="136"/>
      <c r="O382" s="136"/>
      <c r="P382" s="137"/>
      <c r="Q382" s="135"/>
      <c r="R382" s="136"/>
      <c r="S382" s="136"/>
      <c r="T382" s="137"/>
      <c r="U382" s="135"/>
      <c r="V382" s="136"/>
      <c r="W382" s="138"/>
      <c r="X382" s="136"/>
      <c r="Y382" s="137"/>
      <c r="Z382" s="135"/>
      <c r="AA382" s="136"/>
      <c r="AB382" s="138"/>
      <c r="AC382" s="136"/>
      <c r="AD382" s="137"/>
      <c r="AE382" s="139">
        <f t="shared" si="21"/>
        <v>0</v>
      </c>
    </row>
    <row r="383" ht="15.75" customHeight="1" spans="1:31">
      <c r="A383" s="125">
        <v>431</v>
      </c>
      <c r="B383" s="126"/>
      <c r="C383" s="126" t="s">
        <v>2</v>
      </c>
      <c r="D383" s="126" t="s">
        <v>3759</v>
      </c>
      <c r="E383" s="128" t="b">
        <v>0</v>
      </c>
      <c r="F383" s="129" t="b">
        <v>0</v>
      </c>
      <c r="G383" s="129" t="b">
        <v>0</v>
      </c>
      <c r="H383" s="130" t="b">
        <v>0</v>
      </c>
      <c r="I383" s="128"/>
      <c r="J383" s="129"/>
      <c r="K383" s="129"/>
      <c r="L383" s="130"/>
      <c r="M383" s="128"/>
      <c r="N383" s="129"/>
      <c r="O383" s="129"/>
      <c r="P383" s="130"/>
      <c r="Q383" s="128"/>
      <c r="R383" s="129"/>
      <c r="S383" s="129"/>
      <c r="T383" s="130"/>
      <c r="U383" s="128"/>
      <c r="V383" s="129"/>
      <c r="W383" s="131"/>
      <c r="X383" s="129"/>
      <c r="Y383" s="130"/>
      <c r="Z383" s="128"/>
      <c r="AA383" s="129"/>
      <c r="AB383" s="131"/>
      <c r="AC383" s="129"/>
      <c r="AD383" s="130"/>
      <c r="AE383" s="132">
        <f t="shared" si="21"/>
        <v>0</v>
      </c>
    </row>
    <row r="384" ht="15.75" customHeight="1" spans="1:31">
      <c r="A384" s="133">
        <v>432</v>
      </c>
      <c r="D384" s="140" t="s">
        <v>3760</v>
      </c>
      <c r="E384" s="141" t="b">
        <v>1</v>
      </c>
      <c r="F384" s="149" t="b">
        <v>1</v>
      </c>
      <c r="G384" s="149" t="b">
        <v>1</v>
      </c>
      <c r="H384" s="150" t="b">
        <v>1</v>
      </c>
      <c r="I384" s="144"/>
      <c r="J384" s="142"/>
      <c r="K384" s="142"/>
      <c r="L384" s="143"/>
      <c r="M384" s="144"/>
      <c r="N384" s="142"/>
      <c r="O384" s="142"/>
      <c r="P384" s="143"/>
      <c r="Q384" s="144"/>
      <c r="R384" s="142"/>
      <c r="S384" s="142"/>
      <c r="T384" s="143"/>
      <c r="U384" s="144"/>
      <c r="V384" s="142"/>
      <c r="X384" s="142"/>
      <c r="Y384" s="143"/>
      <c r="Z384" s="144"/>
      <c r="AA384" s="142"/>
      <c r="AC384" s="142"/>
      <c r="AD384" s="143"/>
    </row>
    <row r="385" ht="15.75" customHeight="1" spans="1:31">
      <c r="A385" s="125">
        <v>433</v>
      </c>
      <c r="D385" s="127" t="s">
        <v>3761</v>
      </c>
      <c r="E385" s="153" t="b">
        <v>1</v>
      </c>
      <c r="F385" s="147" t="b">
        <v>1</v>
      </c>
      <c r="G385" s="147" t="b">
        <v>1</v>
      </c>
      <c r="H385" s="151" t="b">
        <v>1</v>
      </c>
      <c r="I385" s="145"/>
      <c r="J385" s="146"/>
      <c r="K385" s="146"/>
      <c r="L385" s="148"/>
      <c r="M385" s="145"/>
      <c r="N385" s="146"/>
      <c r="O385" s="146"/>
      <c r="P385" s="148"/>
      <c r="Q385" s="145"/>
      <c r="R385" s="146"/>
      <c r="S385" s="146"/>
      <c r="T385" s="148"/>
      <c r="U385" s="145"/>
      <c r="V385" s="146"/>
      <c r="X385" s="146"/>
      <c r="Y385" s="148"/>
      <c r="Z385" s="145"/>
      <c r="AA385" s="146"/>
      <c r="AC385" s="146"/>
      <c r="AD385" s="148"/>
    </row>
    <row r="386" ht="15.75" customHeight="1" spans="1:31">
      <c r="A386" s="133">
        <v>434</v>
      </c>
      <c r="D386" s="140" t="s">
        <v>3762</v>
      </c>
      <c r="E386" s="141" t="b">
        <v>1</v>
      </c>
      <c r="F386" s="149" t="b">
        <v>1</v>
      </c>
      <c r="G386" s="149" t="b">
        <v>1</v>
      </c>
      <c r="H386" s="150" t="b">
        <v>1</v>
      </c>
      <c r="I386" s="144"/>
      <c r="J386" s="142"/>
      <c r="K386" s="142"/>
      <c r="L386" s="143"/>
      <c r="M386" s="144"/>
      <c r="N386" s="142"/>
      <c r="O386" s="142"/>
      <c r="P386" s="143"/>
      <c r="Q386" s="144"/>
      <c r="R386" s="142"/>
      <c r="S386" s="142"/>
      <c r="T386" s="143"/>
      <c r="U386" s="144"/>
      <c r="V386" s="142"/>
      <c r="X386" s="142"/>
      <c r="Y386" s="143"/>
      <c r="Z386" s="144"/>
      <c r="AA386" s="142"/>
      <c r="AC386" s="142"/>
      <c r="AD386" s="143"/>
    </row>
    <row r="387" ht="15.75" customHeight="1" spans="1:31">
      <c r="A387" s="125">
        <v>435</v>
      </c>
      <c r="C387" s="126"/>
      <c r="D387" s="127" t="s">
        <v>1050</v>
      </c>
      <c r="E387" s="128" t="b">
        <v>1</v>
      </c>
      <c r="F387" s="129" t="b">
        <v>1</v>
      </c>
      <c r="G387" s="129" t="b">
        <v>1</v>
      </c>
      <c r="H387" s="130" t="b">
        <v>1</v>
      </c>
      <c r="I387" s="128"/>
      <c r="J387" s="129"/>
      <c r="K387" s="129"/>
      <c r="L387" s="130"/>
      <c r="M387" s="128"/>
      <c r="N387" s="129"/>
      <c r="O387" s="129"/>
      <c r="P387" s="130"/>
      <c r="Q387" s="128"/>
      <c r="R387" s="129"/>
      <c r="S387" s="129"/>
      <c r="T387" s="130"/>
      <c r="U387" s="128"/>
      <c r="V387" s="129"/>
      <c r="W387" s="131"/>
      <c r="X387" s="129"/>
      <c r="Y387" s="130"/>
      <c r="Z387" s="128"/>
      <c r="AA387" s="129"/>
      <c r="AB387" s="131"/>
      <c r="AC387" s="129"/>
      <c r="AD387" s="130"/>
      <c r="AE387" s="132">
        <f>COUNTIF(E387:AD387,"TRUE")</f>
        <v>4</v>
      </c>
    </row>
    <row r="388" ht="15.75" customHeight="1" spans="1:31">
      <c r="A388" s="133">
        <v>436</v>
      </c>
      <c r="C388" s="140" t="s">
        <v>3413</v>
      </c>
      <c r="D388" s="140" t="s">
        <v>3763</v>
      </c>
      <c r="E388" s="141" t="b">
        <v>1</v>
      </c>
      <c r="F388" s="149" t="b">
        <v>1</v>
      </c>
      <c r="G388" s="149" t="b">
        <v>1</v>
      </c>
      <c r="H388" s="150" t="b">
        <v>1</v>
      </c>
      <c r="I388" s="144"/>
      <c r="J388" s="142"/>
      <c r="K388" s="142"/>
      <c r="L388" s="143"/>
      <c r="M388" s="144"/>
      <c r="N388" s="142"/>
      <c r="O388" s="142"/>
      <c r="P388" s="143"/>
      <c r="Q388" s="144"/>
      <c r="R388" s="142"/>
      <c r="S388" s="142"/>
      <c r="T388" s="143"/>
      <c r="U388" s="144"/>
      <c r="V388" s="142"/>
      <c r="X388" s="142"/>
      <c r="Y388" s="143"/>
      <c r="Z388" s="144"/>
      <c r="AA388" s="142"/>
      <c r="AC388" s="142"/>
      <c r="AD388" s="143"/>
    </row>
    <row r="389" ht="15.75" customHeight="1" spans="1:31">
      <c r="A389" s="125">
        <v>437</v>
      </c>
      <c r="C389" s="127" t="s">
        <v>3413</v>
      </c>
      <c r="D389" s="127" t="s">
        <v>3764</v>
      </c>
      <c r="E389" s="153" t="b">
        <v>1</v>
      </c>
      <c r="F389" s="147" t="b">
        <v>1</v>
      </c>
      <c r="G389" s="147" t="b">
        <v>1</v>
      </c>
      <c r="H389" s="151" t="b">
        <v>1</v>
      </c>
      <c r="I389" s="145"/>
      <c r="J389" s="146"/>
      <c r="K389" s="146"/>
      <c r="L389" s="148"/>
      <c r="M389" s="145"/>
      <c r="N389" s="146"/>
      <c r="O389" s="146"/>
      <c r="P389" s="148"/>
      <c r="Q389" s="145"/>
      <c r="R389" s="146"/>
      <c r="S389" s="146"/>
      <c r="T389" s="148"/>
      <c r="U389" s="145"/>
      <c r="V389" s="146"/>
      <c r="X389" s="146"/>
      <c r="Y389" s="148"/>
      <c r="Z389" s="145"/>
      <c r="AA389" s="146"/>
      <c r="AC389" s="146"/>
      <c r="AD389" s="148"/>
    </row>
    <row r="390" ht="15.75" customHeight="1" spans="1:31">
      <c r="A390" s="133">
        <v>438</v>
      </c>
      <c r="D390" s="140" t="s">
        <v>3765</v>
      </c>
      <c r="E390" s="141" t="b">
        <v>1</v>
      </c>
      <c r="F390" s="149" t="b">
        <v>1</v>
      </c>
      <c r="G390" s="149" t="b">
        <v>1</v>
      </c>
      <c r="H390" s="150" t="b">
        <v>1</v>
      </c>
      <c r="I390" s="144"/>
      <c r="J390" s="142"/>
      <c r="K390" s="142"/>
      <c r="L390" s="143"/>
      <c r="M390" s="144"/>
      <c r="N390" s="142"/>
      <c r="O390" s="142"/>
      <c r="P390" s="143"/>
      <c r="Q390" s="144"/>
      <c r="R390" s="142"/>
      <c r="S390" s="142"/>
      <c r="T390" s="143"/>
      <c r="U390" s="144"/>
      <c r="V390" s="142"/>
      <c r="X390" s="142"/>
      <c r="Y390" s="143"/>
      <c r="Z390" s="144"/>
      <c r="AA390" s="142"/>
      <c r="AC390" s="142"/>
      <c r="AD390" s="143"/>
    </row>
    <row r="391" ht="15.75" customHeight="1" spans="1:31">
      <c r="A391" s="125">
        <v>439</v>
      </c>
      <c r="B391" s="126"/>
      <c r="C391" s="126" t="s">
        <v>2</v>
      </c>
      <c r="D391" s="126" t="s">
        <v>3766</v>
      </c>
      <c r="E391" s="128" t="b">
        <v>0</v>
      </c>
      <c r="F391" s="129" t="b">
        <v>0</v>
      </c>
      <c r="G391" s="129" t="b">
        <v>0</v>
      </c>
      <c r="H391" s="130" t="b">
        <v>0</v>
      </c>
      <c r="I391" s="128"/>
      <c r="J391" s="129"/>
      <c r="K391" s="129"/>
      <c r="L391" s="130"/>
      <c r="M391" s="128"/>
      <c r="N391" s="129"/>
      <c r="O391" s="129"/>
      <c r="P391" s="130"/>
      <c r="Q391" s="128"/>
      <c r="R391" s="129"/>
      <c r="S391" s="129"/>
      <c r="T391" s="130"/>
      <c r="U391" s="128"/>
      <c r="V391" s="129"/>
      <c r="W391" s="131"/>
      <c r="X391" s="129"/>
      <c r="Y391" s="130"/>
      <c r="Z391" s="128"/>
      <c r="AA391" s="129"/>
      <c r="AB391" s="131"/>
      <c r="AC391" s="129"/>
      <c r="AD391" s="130"/>
      <c r="AE391" s="132">
        <f t="shared" ref="AE391:AE392" si="22">COUNTIF(E391:AD391,"TRUE")</f>
        <v>0</v>
      </c>
    </row>
    <row r="392" ht="15.75" customHeight="1" spans="1:31">
      <c r="A392" s="133">
        <v>440</v>
      </c>
      <c r="C392" s="134" t="s">
        <v>2</v>
      </c>
      <c r="D392" s="134" t="s">
        <v>3767</v>
      </c>
      <c r="E392" s="135" t="b">
        <v>0</v>
      </c>
      <c r="F392" s="136" t="b">
        <v>0</v>
      </c>
      <c r="G392" s="136" t="b">
        <v>0</v>
      </c>
      <c r="H392" s="137" t="b">
        <v>0</v>
      </c>
      <c r="I392" s="135"/>
      <c r="J392" s="136"/>
      <c r="K392" s="136"/>
      <c r="L392" s="137"/>
      <c r="M392" s="135"/>
      <c r="N392" s="136"/>
      <c r="O392" s="136"/>
      <c r="P392" s="137"/>
      <c r="Q392" s="135"/>
      <c r="R392" s="136"/>
      <c r="S392" s="136"/>
      <c r="T392" s="137"/>
      <c r="U392" s="135"/>
      <c r="V392" s="136"/>
      <c r="W392" s="138"/>
      <c r="X392" s="136"/>
      <c r="Y392" s="137"/>
      <c r="Z392" s="135"/>
      <c r="AA392" s="136"/>
      <c r="AB392" s="138"/>
      <c r="AC392" s="136"/>
      <c r="AD392" s="137"/>
      <c r="AE392" s="139">
        <f t="shared" si="22"/>
        <v>0</v>
      </c>
    </row>
    <row r="393" ht="15.75" customHeight="1" spans="1:31">
      <c r="A393" s="125">
        <v>441</v>
      </c>
      <c r="C393" s="127" t="s">
        <v>3413</v>
      </c>
      <c r="D393" s="127" t="s">
        <v>3768</v>
      </c>
      <c r="E393" s="153" t="b">
        <v>1</v>
      </c>
      <c r="F393" s="146" t="b">
        <v>0</v>
      </c>
      <c r="G393" s="146" t="b">
        <v>0</v>
      </c>
      <c r="H393" s="148" t="b">
        <v>0</v>
      </c>
      <c r="I393" s="145"/>
      <c r="J393" s="146"/>
      <c r="K393" s="146"/>
      <c r="L393" s="148"/>
      <c r="M393" s="145"/>
      <c r="N393" s="146"/>
      <c r="O393" s="146"/>
      <c r="P393" s="148"/>
      <c r="Q393" s="145"/>
      <c r="R393" s="146"/>
      <c r="S393" s="146"/>
      <c r="T393" s="148"/>
      <c r="U393" s="145"/>
      <c r="V393" s="146"/>
      <c r="X393" s="146"/>
      <c r="Y393" s="148"/>
      <c r="Z393" s="145"/>
      <c r="AA393" s="146"/>
      <c r="AC393" s="146"/>
      <c r="AD393" s="148"/>
    </row>
    <row r="394" ht="15.75" customHeight="1" spans="1:31">
      <c r="A394" s="133">
        <v>442</v>
      </c>
      <c r="B394" s="134"/>
      <c r="C394" s="134" t="s">
        <v>3411</v>
      </c>
      <c r="D394" s="134" t="s">
        <v>3769</v>
      </c>
      <c r="E394" s="135" t="b">
        <v>0</v>
      </c>
      <c r="F394" s="136" t="b">
        <v>0</v>
      </c>
      <c r="G394" s="136" t="b">
        <v>0</v>
      </c>
      <c r="H394" s="137" t="b">
        <v>0</v>
      </c>
      <c r="I394" s="135"/>
      <c r="J394" s="136"/>
      <c r="K394" s="136"/>
      <c r="L394" s="137"/>
      <c r="M394" s="135"/>
      <c r="N394" s="136"/>
      <c r="O394" s="136"/>
      <c r="P394" s="137"/>
      <c r="Q394" s="135"/>
      <c r="R394" s="136"/>
      <c r="S394" s="136"/>
      <c r="T394" s="137"/>
      <c r="U394" s="135"/>
      <c r="V394" s="136"/>
      <c r="W394" s="138"/>
      <c r="X394" s="136"/>
      <c r="Y394" s="137"/>
      <c r="Z394" s="135"/>
      <c r="AA394" s="136"/>
      <c r="AB394" s="138"/>
      <c r="AC394" s="136"/>
      <c r="AD394" s="137"/>
      <c r="AE394" s="139">
        <f t="shared" ref="AE394:AE404" si="23">COUNTIF(E394:AD394,"TRUE")</f>
        <v>0</v>
      </c>
    </row>
    <row r="395" ht="15.75" customHeight="1" spans="1:31">
      <c r="A395" s="125">
        <v>443</v>
      </c>
      <c r="B395" s="126"/>
      <c r="C395" s="126"/>
      <c r="D395" s="126" t="s">
        <v>3770</v>
      </c>
      <c r="E395" s="128" t="b">
        <v>0</v>
      </c>
      <c r="F395" s="129" t="b">
        <v>1</v>
      </c>
      <c r="G395" s="129" t="b">
        <v>0</v>
      </c>
      <c r="H395" s="130" t="b">
        <v>0</v>
      </c>
      <c r="I395" s="128"/>
      <c r="J395" s="129"/>
      <c r="K395" s="129"/>
      <c r="L395" s="130"/>
      <c r="M395" s="128"/>
      <c r="N395" s="129"/>
      <c r="O395" s="129"/>
      <c r="P395" s="130"/>
      <c r="Q395" s="128"/>
      <c r="R395" s="129"/>
      <c r="S395" s="129"/>
      <c r="T395" s="130"/>
      <c r="U395" s="128"/>
      <c r="V395" s="129"/>
      <c r="W395" s="131"/>
      <c r="X395" s="129"/>
      <c r="Y395" s="130"/>
      <c r="Z395" s="128"/>
      <c r="AA395" s="129"/>
      <c r="AB395" s="131"/>
      <c r="AC395" s="129"/>
      <c r="AD395" s="130"/>
      <c r="AE395" s="132">
        <f t="shared" si="23"/>
        <v>1</v>
      </c>
    </row>
    <row r="396" ht="15.75" customHeight="1" spans="1:31">
      <c r="A396" s="133">
        <v>444</v>
      </c>
      <c r="B396" s="140" t="s">
        <v>3434</v>
      </c>
      <c r="C396" s="134"/>
      <c r="D396" s="140" t="s">
        <v>3771</v>
      </c>
      <c r="E396" s="135" t="b">
        <v>0</v>
      </c>
      <c r="F396" s="136" t="b">
        <v>0</v>
      </c>
      <c r="G396" s="136" t="b">
        <v>1</v>
      </c>
      <c r="H396" s="137" t="b">
        <v>1</v>
      </c>
      <c r="I396" s="135"/>
      <c r="J396" s="136"/>
      <c r="K396" s="136"/>
      <c r="L396" s="137"/>
      <c r="M396" s="135"/>
      <c r="N396" s="136"/>
      <c r="O396" s="136"/>
      <c r="P396" s="137"/>
      <c r="Q396" s="135"/>
      <c r="R396" s="136"/>
      <c r="S396" s="136"/>
      <c r="T396" s="137"/>
      <c r="U396" s="135"/>
      <c r="V396" s="136"/>
      <c r="W396" s="138"/>
      <c r="X396" s="136"/>
      <c r="Y396" s="137"/>
      <c r="Z396" s="135"/>
      <c r="AA396" s="136"/>
      <c r="AB396" s="138"/>
      <c r="AC396" s="136"/>
      <c r="AD396" s="137"/>
      <c r="AE396" s="139">
        <f t="shared" si="23"/>
        <v>2</v>
      </c>
    </row>
    <row r="397" ht="15.75" customHeight="1" spans="1:31">
      <c r="A397" s="125">
        <v>445</v>
      </c>
      <c r="B397" s="126"/>
      <c r="C397" s="126"/>
      <c r="D397" s="126" t="s">
        <v>3772</v>
      </c>
      <c r="E397" s="128" t="b">
        <v>1</v>
      </c>
      <c r="F397" s="129" t="b">
        <v>0</v>
      </c>
      <c r="G397" s="129" t="b">
        <v>0</v>
      </c>
      <c r="H397" s="130" t="b">
        <v>0</v>
      </c>
      <c r="I397" s="128"/>
      <c r="J397" s="129"/>
      <c r="K397" s="129"/>
      <c r="L397" s="130"/>
      <c r="M397" s="128"/>
      <c r="N397" s="129"/>
      <c r="O397" s="129"/>
      <c r="P397" s="130"/>
      <c r="Q397" s="128"/>
      <c r="R397" s="129"/>
      <c r="S397" s="129"/>
      <c r="T397" s="130"/>
      <c r="U397" s="128"/>
      <c r="V397" s="129"/>
      <c r="W397" s="131"/>
      <c r="X397" s="129"/>
      <c r="Y397" s="130"/>
      <c r="Z397" s="128"/>
      <c r="AA397" s="129"/>
      <c r="AB397" s="131"/>
      <c r="AC397" s="129"/>
      <c r="AD397" s="130"/>
      <c r="AE397" s="132">
        <f t="shared" si="23"/>
        <v>1</v>
      </c>
    </row>
    <row r="398" ht="15.75" customHeight="1" spans="1:31">
      <c r="A398" s="133">
        <v>446</v>
      </c>
      <c r="B398" s="134"/>
      <c r="C398" s="134" t="s">
        <v>3411</v>
      </c>
      <c r="D398" s="134" t="s">
        <v>3773</v>
      </c>
      <c r="E398" s="135" t="b">
        <v>1</v>
      </c>
      <c r="F398" s="136" t="b">
        <v>1</v>
      </c>
      <c r="G398" s="136" t="b">
        <v>1</v>
      </c>
      <c r="H398" s="137" t="b">
        <v>1</v>
      </c>
      <c r="I398" s="135"/>
      <c r="J398" s="136"/>
      <c r="K398" s="136"/>
      <c r="L398" s="137"/>
      <c r="M398" s="135"/>
      <c r="N398" s="136"/>
      <c r="O398" s="136"/>
      <c r="P398" s="137"/>
      <c r="Q398" s="135"/>
      <c r="R398" s="136"/>
      <c r="S398" s="136"/>
      <c r="T398" s="137"/>
      <c r="U398" s="135"/>
      <c r="V398" s="136"/>
      <c r="W398" s="138"/>
      <c r="X398" s="136"/>
      <c r="Y398" s="137"/>
      <c r="Z398" s="135"/>
      <c r="AA398" s="136"/>
      <c r="AB398" s="138"/>
      <c r="AC398" s="136"/>
      <c r="AD398" s="137"/>
      <c r="AE398" s="139">
        <f t="shared" si="23"/>
        <v>4</v>
      </c>
    </row>
    <row r="399" ht="15.75" customHeight="1" spans="1:31">
      <c r="A399" s="125">
        <v>447</v>
      </c>
      <c r="B399" s="126"/>
      <c r="C399" s="126" t="s">
        <v>2</v>
      </c>
      <c r="D399" s="126" t="s">
        <v>2768</v>
      </c>
      <c r="E399" s="131" t="b">
        <v>1</v>
      </c>
      <c r="F399" s="131" t="b">
        <v>1</v>
      </c>
      <c r="G399" s="131" t="b">
        <v>1</v>
      </c>
      <c r="H399" s="131" t="b">
        <v>1</v>
      </c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  <c r="AB399" s="131"/>
      <c r="AC399" s="131"/>
      <c r="AD399" s="131"/>
      <c r="AE399" s="132">
        <f t="shared" si="23"/>
        <v>4</v>
      </c>
    </row>
    <row r="400" ht="15.75" customHeight="1" spans="1:31">
      <c r="A400" s="133">
        <v>448</v>
      </c>
      <c r="B400" s="134"/>
      <c r="C400" s="134" t="s">
        <v>3</v>
      </c>
      <c r="D400" s="134" t="s">
        <v>1079</v>
      </c>
      <c r="E400" s="135" t="b">
        <v>1</v>
      </c>
      <c r="F400" s="136" t="b">
        <v>0</v>
      </c>
      <c r="G400" s="136" t="b">
        <v>1</v>
      </c>
      <c r="H400" s="137" t="b">
        <v>1</v>
      </c>
      <c r="I400" s="135"/>
      <c r="J400" s="136"/>
      <c r="K400" s="136"/>
      <c r="L400" s="137"/>
      <c r="M400" s="135"/>
      <c r="N400" s="136"/>
      <c r="O400" s="136"/>
      <c r="P400" s="137"/>
      <c r="Q400" s="135"/>
      <c r="R400" s="136"/>
      <c r="S400" s="136"/>
      <c r="T400" s="137"/>
      <c r="U400" s="135"/>
      <c r="V400" s="136"/>
      <c r="W400" s="138"/>
      <c r="X400" s="136"/>
      <c r="Y400" s="137"/>
      <c r="Z400" s="135"/>
      <c r="AA400" s="136"/>
      <c r="AB400" s="138"/>
      <c r="AC400" s="136"/>
      <c r="AD400" s="137"/>
      <c r="AE400" s="139">
        <f t="shared" si="23"/>
        <v>3</v>
      </c>
    </row>
    <row r="401" ht="15.75" customHeight="1" spans="1:31">
      <c r="A401" s="125">
        <v>449</v>
      </c>
      <c r="B401" s="126"/>
      <c r="D401" s="126" t="s">
        <v>3774</v>
      </c>
      <c r="E401" s="128" t="b">
        <v>1</v>
      </c>
      <c r="F401" s="129" t="b">
        <v>1</v>
      </c>
      <c r="G401" s="129" t="b">
        <v>1</v>
      </c>
      <c r="H401" s="130" t="b">
        <v>1</v>
      </c>
      <c r="I401" s="128"/>
      <c r="J401" s="129"/>
      <c r="K401" s="129"/>
      <c r="L401" s="130"/>
      <c r="M401" s="128"/>
      <c r="N401" s="129"/>
      <c r="O401" s="129"/>
      <c r="P401" s="130"/>
      <c r="Q401" s="128"/>
      <c r="R401" s="129"/>
      <c r="S401" s="129"/>
      <c r="T401" s="130"/>
      <c r="U401" s="128"/>
      <c r="V401" s="129"/>
      <c r="W401" s="131"/>
      <c r="X401" s="129"/>
      <c r="Y401" s="130"/>
      <c r="Z401" s="128"/>
      <c r="AA401" s="129"/>
      <c r="AB401" s="131"/>
      <c r="AC401" s="129"/>
      <c r="AD401" s="130"/>
      <c r="AE401" s="132">
        <f t="shared" si="23"/>
        <v>4</v>
      </c>
    </row>
    <row r="402" ht="15.75" customHeight="1" spans="1:31">
      <c r="A402" s="133">
        <v>615</v>
      </c>
      <c r="B402" s="134"/>
      <c r="D402" s="134" t="s">
        <v>3775</v>
      </c>
      <c r="E402" s="135" t="b">
        <v>1</v>
      </c>
      <c r="F402" s="136" t="b">
        <v>0</v>
      </c>
      <c r="G402" s="136" t="b">
        <v>1</v>
      </c>
      <c r="H402" s="137" t="b">
        <v>1</v>
      </c>
      <c r="I402" s="135"/>
      <c r="J402" s="136"/>
      <c r="K402" s="136"/>
      <c r="L402" s="137"/>
      <c r="M402" s="135"/>
      <c r="N402" s="136"/>
      <c r="O402" s="136"/>
      <c r="P402" s="137"/>
      <c r="Q402" s="135"/>
      <c r="R402" s="136"/>
      <c r="S402" s="136"/>
      <c r="T402" s="137"/>
      <c r="U402" s="135"/>
      <c r="V402" s="136"/>
      <c r="W402" s="138"/>
      <c r="X402" s="136"/>
      <c r="Y402" s="137"/>
      <c r="Z402" s="135"/>
      <c r="AA402" s="136"/>
      <c r="AB402" s="138"/>
      <c r="AC402" s="136"/>
      <c r="AD402" s="137"/>
      <c r="AE402" s="139">
        <f t="shared" si="23"/>
        <v>3</v>
      </c>
    </row>
    <row r="403" ht="15.75" customHeight="1" spans="1:31">
      <c r="A403" s="125">
        <v>450</v>
      </c>
      <c r="B403" s="126"/>
      <c r="D403" s="126" t="s">
        <v>3776</v>
      </c>
      <c r="E403" s="128" t="b">
        <v>1</v>
      </c>
      <c r="F403" s="129" t="b">
        <v>1</v>
      </c>
      <c r="G403" s="129" t="b">
        <v>0</v>
      </c>
      <c r="H403" s="130" t="b">
        <v>1</v>
      </c>
      <c r="I403" s="128"/>
      <c r="J403" s="129"/>
      <c r="K403" s="129"/>
      <c r="L403" s="130"/>
      <c r="M403" s="128"/>
      <c r="N403" s="129"/>
      <c r="O403" s="129"/>
      <c r="P403" s="130"/>
      <c r="Q403" s="128"/>
      <c r="R403" s="129"/>
      <c r="S403" s="129"/>
      <c r="T403" s="130"/>
      <c r="U403" s="128"/>
      <c r="V403" s="129"/>
      <c r="W403" s="131"/>
      <c r="X403" s="129"/>
      <c r="Y403" s="130"/>
      <c r="Z403" s="128"/>
      <c r="AA403" s="129"/>
      <c r="AB403" s="131"/>
      <c r="AC403" s="129"/>
      <c r="AD403" s="130"/>
      <c r="AE403" s="132">
        <f t="shared" si="23"/>
        <v>3</v>
      </c>
    </row>
    <row r="404" ht="15.75" customHeight="1" spans="1:31">
      <c r="A404" s="133">
        <v>451</v>
      </c>
      <c r="B404" s="134"/>
      <c r="D404" s="134" t="s">
        <v>3777</v>
      </c>
      <c r="E404" s="135" t="b">
        <v>1</v>
      </c>
      <c r="F404" s="136" t="b">
        <v>1</v>
      </c>
      <c r="G404" s="136" t="b">
        <v>1</v>
      </c>
      <c r="H404" s="137" t="b">
        <v>1</v>
      </c>
      <c r="I404" s="135"/>
      <c r="J404" s="136"/>
      <c r="K404" s="136"/>
      <c r="L404" s="137"/>
      <c r="M404" s="135"/>
      <c r="N404" s="136"/>
      <c r="O404" s="136"/>
      <c r="P404" s="137"/>
      <c r="Q404" s="135"/>
      <c r="R404" s="136"/>
      <c r="S404" s="136"/>
      <c r="T404" s="137"/>
      <c r="U404" s="135"/>
      <c r="V404" s="136"/>
      <c r="W404" s="138"/>
      <c r="X404" s="136"/>
      <c r="Y404" s="137"/>
      <c r="Z404" s="135"/>
      <c r="AA404" s="136"/>
      <c r="AB404" s="138"/>
      <c r="AC404" s="136"/>
      <c r="AD404" s="137"/>
      <c r="AE404" s="139">
        <f t="shared" si="23"/>
        <v>4</v>
      </c>
    </row>
    <row r="405" ht="15.75" customHeight="1" spans="1:31">
      <c r="A405" s="125">
        <v>452</v>
      </c>
      <c r="C405" s="127" t="s">
        <v>3413</v>
      </c>
      <c r="D405" s="127" t="s">
        <v>3778</v>
      </c>
      <c r="E405" s="153" t="b">
        <v>1</v>
      </c>
      <c r="F405" s="147" t="b">
        <v>1</v>
      </c>
      <c r="G405" s="147" t="b">
        <v>1</v>
      </c>
      <c r="H405" s="151" t="b">
        <v>1</v>
      </c>
      <c r="I405" s="145"/>
      <c r="J405" s="146"/>
      <c r="K405" s="146"/>
      <c r="L405" s="148"/>
      <c r="M405" s="145"/>
      <c r="N405" s="146"/>
      <c r="O405" s="146"/>
      <c r="P405" s="148"/>
      <c r="Q405" s="145"/>
      <c r="R405" s="146"/>
      <c r="S405" s="146"/>
      <c r="T405" s="148"/>
      <c r="U405" s="145"/>
      <c r="V405" s="146"/>
      <c r="X405" s="146"/>
      <c r="Y405" s="148"/>
      <c r="Z405" s="145"/>
      <c r="AA405" s="146"/>
      <c r="AC405" s="146"/>
      <c r="AD405" s="148"/>
    </row>
    <row r="406" ht="15.75" customHeight="1" spans="1:31">
      <c r="A406" s="133">
        <v>623</v>
      </c>
      <c r="C406" s="140" t="s">
        <v>3413</v>
      </c>
      <c r="D406" s="140" t="s">
        <v>3779</v>
      </c>
      <c r="E406" s="141" t="b">
        <v>1</v>
      </c>
      <c r="F406" s="149" t="b">
        <v>1</v>
      </c>
      <c r="G406" s="149" t="b">
        <v>1</v>
      </c>
      <c r="H406" s="150" t="b">
        <v>1</v>
      </c>
      <c r="I406" s="144"/>
      <c r="J406" s="142"/>
      <c r="K406" s="142"/>
      <c r="L406" s="143"/>
      <c r="M406" s="144"/>
      <c r="N406" s="142"/>
      <c r="O406" s="142"/>
      <c r="P406" s="143"/>
      <c r="Q406" s="144"/>
      <c r="R406" s="142"/>
      <c r="S406" s="142"/>
      <c r="T406" s="143"/>
      <c r="U406" s="144"/>
      <c r="V406" s="142"/>
      <c r="X406" s="142"/>
      <c r="Y406" s="143"/>
      <c r="Z406" s="144"/>
      <c r="AA406" s="142"/>
      <c r="AC406" s="142"/>
      <c r="AD406" s="143"/>
    </row>
    <row r="407" ht="15.75" customHeight="1" spans="1:31">
      <c r="A407" s="125">
        <v>453</v>
      </c>
      <c r="B407" s="126"/>
      <c r="C407" s="126" t="s">
        <v>3411</v>
      </c>
      <c r="D407" s="126" t="s">
        <v>3780</v>
      </c>
      <c r="E407" s="128" t="b">
        <v>1</v>
      </c>
      <c r="F407" s="129" t="b">
        <v>1</v>
      </c>
      <c r="G407" s="129" t="b">
        <v>1</v>
      </c>
      <c r="H407" s="130" t="b">
        <v>1</v>
      </c>
      <c r="I407" s="128"/>
      <c r="J407" s="129"/>
      <c r="K407" s="129"/>
      <c r="L407" s="130"/>
      <c r="M407" s="128"/>
      <c r="N407" s="129"/>
      <c r="O407" s="129"/>
      <c r="P407" s="130"/>
      <c r="Q407" s="128"/>
      <c r="R407" s="129"/>
      <c r="S407" s="129"/>
      <c r="T407" s="130"/>
      <c r="U407" s="128"/>
      <c r="V407" s="129"/>
      <c r="W407" s="131"/>
      <c r="X407" s="129"/>
      <c r="Y407" s="130"/>
      <c r="Z407" s="128"/>
      <c r="AA407" s="129"/>
      <c r="AB407" s="131"/>
      <c r="AC407" s="129"/>
      <c r="AD407" s="130"/>
      <c r="AE407" s="132">
        <f t="shared" ref="AE407:AE412" si="24">COUNTIF(E407:AD407,"TRUE")</f>
        <v>4</v>
      </c>
    </row>
    <row r="408" ht="15.75" customHeight="1" spans="1:31">
      <c r="A408" s="133">
        <v>454</v>
      </c>
      <c r="B408" s="140" t="s">
        <v>3434</v>
      </c>
      <c r="C408" s="134"/>
      <c r="D408" s="140" t="s">
        <v>3781</v>
      </c>
      <c r="E408" s="135" t="b">
        <v>0</v>
      </c>
      <c r="F408" s="136" t="b">
        <v>0</v>
      </c>
      <c r="G408" s="136" t="b">
        <v>1</v>
      </c>
      <c r="H408" s="137" t="b">
        <v>0</v>
      </c>
      <c r="I408" s="135"/>
      <c r="J408" s="136"/>
      <c r="K408" s="136"/>
      <c r="L408" s="137"/>
      <c r="M408" s="135"/>
      <c r="N408" s="136"/>
      <c r="O408" s="136"/>
      <c r="P408" s="137"/>
      <c r="Q408" s="135"/>
      <c r="R408" s="136"/>
      <c r="S408" s="136"/>
      <c r="T408" s="137"/>
      <c r="U408" s="135"/>
      <c r="V408" s="136"/>
      <c r="W408" s="138"/>
      <c r="X408" s="136"/>
      <c r="Y408" s="137"/>
      <c r="Z408" s="135"/>
      <c r="AA408" s="136"/>
      <c r="AB408" s="138"/>
      <c r="AC408" s="136"/>
      <c r="AD408" s="137"/>
      <c r="AE408" s="139">
        <f t="shared" si="24"/>
        <v>1</v>
      </c>
    </row>
    <row r="409" ht="15.75" customHeight="1" spans="1:31">
      <c r="A409" s="125">
        <v>455</v>
      </c>
      <c r="B409" s="126"/>
      <c r="C409" s="127" t="s">
        <v>3411</v>
      </c>
      <c r="D409" s="126" t="s">
        <v>3782</v>
      </c>
      <c r="E409" s="128" t="b">
        <v>0</v>
      </c>
      <c r="F409" s="129" t="b">
        <v>1</v>
      </c>
      <c r="G409" s="129" t="b">
        <v>0</v>
      </c>
      <c r="H409" s="130" t="b">
        <v>1</v>
      </c>
      <c r="I409" s="128"/>
      <c r="J409" s="129"/>
      <c r="K409" s="129"/>
      <c r="L409" s="130"/>
      <c r="M409" s="128"/>
      <c r="N409" s="129"/>
      <c r="O409" s="129"/>
      <c r="P409" s="130"/>
      <c r="Q409" s="128"/>
      <c r="R409" s="129"/>
      <c r="S409" s="129"/>
      <c r="T409" s="130"/>
      <c r="U409" s="128"/>
      <c r="V409" s="129"/>
      <c r="W409" s="131"/>
      <c r="X409" s="129"/>
      <c r="Y409" s="130"/>
      <c r="Z409" s="128"/>
      <c r="AA409" s="129"/>
      <c r="AB409" s="131"/>
      <c r="AC409" s="129"/>
      <c r="AD409" s="130"/>
      <c r="AE409" s="132">
        <f t="shared" si="24"/>
        <v>2</v>
      </c>
    </row>
    <row r="410" ht="15.75" customHeight="1" spans="1:31">
      <c r="A410" s="133">
        <v>456</v>
      </c>
      <c r="B410" s="134"/>
      <c r="C410" s="134" t="s">
        <v>3411</v>
      </c>
      <c r="D410" s="134" t="s">
        <v>3783</v>
      </c>
      <c r="E410" s="135" t="b">
        <v>0</v>
      </c>
      <c r="F410" s="136" t="b">
        <v>1</v>
      </c>
      <c r="G410" s="136" t="b">
        <v>0</v>
      </c>
      <c r="H410" s="137" t="b">
        <v>1</v>
      </c>
      <c r="I410" s="135"/>
      <c r="J410" s="136"/>
      <c r="K410" s="136"/>
      <c r="L410" s="137"/>
      <c r="M410" s="135"/>
      <c r="N410" s="136"/>
      <c r="O410" s="136"/>
      <c r="P410" s="137"/>
      <c r="Q410" s="135"/>
      <c r="R410" s="136"/>
      <c r="S410" s="136"/>
      <c r="T410" s="137"/>
      <c r="U410" s="135"/>
      <c r="V410" s="136"/>
      <c r="W410" s="138"/>
      <c r="X410" s="136"/>
      <c r="Y410" s="137"/>
      <c r="Z410" s="135"/>
      <c r="AA410" s="136"/>
      <c r="AB410" s="138"/>
      <c r="AC410" s="136"/>
      <c r="AD410" s="137"/>
      <c r="AE410" s="139">
        <f t="shared" si="24"/>
        <v>2</v>
      </c>
    </row>
    <row r="411" ht="15.75" customHeight="1" spans="1:31">
      <c r="A411" s="125">
        <v>457</v>
      </c>
      <c r="B411" s="126"/>
      <c r="D411" s="127" t="s">
        <v>1557</v>
      </c>
      <c r="E411" s="128" t="b">
        <v>0</v>
      </c>
      <c r="F411" s="129" t="b">
        <v>0</v>
      </c>
      <c r="G411" s="129" t="b">
        <v>0</v>
      </c>
      <c r="H411" s="130" t="b">
        <v>0</v>
      </c>
      <c r="I411" s="128"/>
      <c r="J411" s="129"/>
      <c r="K411" s="129"/>
      <c r="L411" s="130"/>
      <c r="M411" s="128"/>
      <c r="N411" s="129"/>
      <c r="O411" s="129"/>
      <c r="P411" s="130"/>
      <c r="Q411" s="128"/>
      <c r="R411" s="129"/>
      <c r="S411" s="129"/>
      <c r="T411" s="130"/>
      <c r="U411" s="128"/>
      <c r="V411" s="129"/>
      <c r="W411" s="131"/>
      <c r="X411" s="129"/>
      <c r="Y411" s="130"/>
      <c r="Z411" s="128"/>
      <c r="AA411" s="129"/>
      <c r="AB411" s="131"/>
      <c r="AC411" s="129"/>
      <c r="AD411" s="130"/>
      <c r="AE411" s="132">
        <f t="shared" si="24"/>
        <v>0</v>
      </c>
    </row>
    <row r="412" ht="15.75" customHeight="1" spans="1:31">
      <c r="A412" s="133">
        <v>458</v>
      </c>
      <c r="B412" s="134"/>
      <c r="C412" s="134" t="s">
        <v>3411</v>
      </c>
      <c r="D412" s="134" t="s">
        <v>3784</v>
      </c>
      <c r="E412" s="135" t="b">
        <v>1</v>
      </c>
      <c r="F412" s="136" t="b">
        <v>0</v>
      </c>
      <c r="G412" s="136" t="b">
        <v>1</v>
      </c>
      <c r="H412" s="137" t="b">
        <v>1</v>
      </c>
      <c r="I412" s="135"/>
      <c r="J412" s="136"/>
      <c r="K412" s="136"/>
      <c r="L412" s="137"/>
      <c r="M412" s="135"/>
      <c r="N412" s="136"/>
      <c r="O412" s="136"/>
      <c r="P412" s="137"/>
      <c r="Q412" s="135"/>
      <c r="R412" s="136"/>
      <c r="S412" s="136"/>
      <c r="T412" s="137"/>
      <c r="U412" s="135"/>
      <c r="V412" s="136"/>
      <c r="W412" s="138"/>
      <c r="X412" s="136"/>
      <c r="Y412" s="137"/>
      <c r="Z412" s="135"/>
      <c r="AA412" s="136"/>
      <c r="AB412" s="138"/>
      <c r="AC412" s="136"/>
      <c r="AD412" s="137"/>
      <c r="AE412" s="139">
        <f t="shared" si="24"/>
        <v>3</v>
      </c>
    </row>
    <row r="413" ht="15.75" customHeight="1" spans="1:31">
      <c r="A413" s="125">
        <v>459</v>
      </c>
      <c r="B413" s="127" t="s">
        <v>3785</v>
      </c>
      <c r="C413" s="127" t="s">
        <v>2</v>
      </c>
      <c r="D413" s="127" t="s">
        <v>3786</v>
      </c>
      <c r="E413" s="153" t="b">
        <v>1</v>
      </c>
      <c r="F413" s="146" t="b">
        <v>0</v>
      </c>
      <c r="G413" s="146" t="b">
        <v>0</v>
      </c>
      <c r="H413" s="148" t="b">
        <v>0</v>
      </c>
      <c r="I413" s="145"/>
      <c r="J413" s="146"/>
      <c r="K413" s="146"/>
      <c r="L413" s="148"/>
      <c r="M413" s="145"/>
      <c r="N413" s="146"/>
      <c r="O413" s="146"/>
      <c r="P413" s="148"/>
      <c r="Q413" s="145"/>
      <c r="R413" s="146"/>
      <c r="S413" s="146"/>
      <c r="T413" s="148"/>
      <c r="U413" s="145"/>
      <c r="V413" s="146"/>
      <c r="X413" s="146"/>
      <c r="Y413" s="148"/>
      <c r="Z413" s="145"/>
      <c r="AA413" s="146"/>
      <c r="AC413" s="146"/>
      <c r="AD413" s="148"/>
    </row>
    <row r="414" ht="15.75" customHeight="1" spans="1:31">
      <c r="A414" s="133">
        <v>460</v>
      </c>
      <c r="C414" s="140" t="s">
        <v>3411</v>
      </c>
      <c r="D414" s="140" t="s">
        <v>3787</v>
      </c>
      <c r="E414" s="141" t="b">
        <v>1</v>
      </c>
      <c r="F414" s="142" t="b">
        <v>0</v>
      </c>
      <c r="G414" s="142" t="b">
        <v>0</v>
      </c>
      <c r="H414" s="143" t="b">
        <v>0</v>
      </c>
      <c r="I414" s="144"/>
      <c r="J414" s="142"/>
      <c r="K414" s="142"/>
      <c r="L414" s="143"/>
      <c r="M414" s="144"/>
      <c r="N414" s="142"/>
      <c r="O414" s="142"/>
      <c r="P414" s="143"/>
      <c r="Q414" s="144"/>
      <c r="R414" s="142"/>
      <c r="S414" s="142"/>
      <c r="T414" s="143"/>
      <c r="U414" s="144"/>
      <c r="V414" s="142"/>
      <c r="X414" s="142"/>
      <c r="Y414" s="143"/>
      <c r="Z414" s="144"/>
      <c r="AA414" s="142"/>
      <c r="AC414" s="142"/>
      <c r="AD414" s="143"/>
    </row>
    <row r="415" ht="15.75" customHeight="1" spans="1:31">
      <c r="A415" s="125">
        <v>461</v>
      </c>
      <c r="C415" s="127" t="s">
        <v>3</v>
      </c>
      <c r="D415" s="126" t="s">
        <v>3788</v>
      </c>
      <c r="E415" s="128" t="b">
        <v>1</v>
      </c>
      <c r="F415" s="129" t="b">
        <v>0</v>
      </c>
      <c r="G415" s="129" t="b">
        <v>0</v>
      </c>
      <c r="H415" s="130" t="b">
        <v>0</v>
      </c>
      <c r="I415" s="128"/>
      <c r="J415" s="129"/>
      <c r="K415" s="129"/>
      <c r="L415" s="130"/>
      <c r="M415" s="128"/>
      <c r="N415" s="129"/>
      <c r="O415" s="129"/>
      <c r="P415" s="130"/>
      <c r="Q415" s="128"/>
      <c r="R415" s="129"/>
      <c r="S415" s="129"/>
      <c r="T415" s="130"/>
      <c r="U415" s="128"/>
      <c r="V415" s="129"/>
      <c r="W415" s="131"/>
      <c r="X415" s="129"/>
      <c r="Y415" s="130"/>
      <c r="Z415" s="128"/>
      <c r="AA415" s="129"/>
      <c r="AB415" s="131"/>
      <c r="AC415" s="129"/>
      <c r="AD415" s="130"/>
      <c r="AE415" s="132">
        <f t="shared" ref="AE415:AE439" si="25">COUNTIF(E415:AD415,"TRUE")</f>
        <v>1</v>
      </c>
    </row>
    <row r="416" ht="15.75" customHeight="1" spans="1:31">
      <c r="A416" s="133">
        <v>462</v>
      </c>
      <c r="C416" s="134"/>
      <c r="D416" s="134" t="s">
        <v>3789</v>
      </c>
      <c r="E416" s="135" t="b">
        <v>1</v>
      </c>
      <c r="F416" s="136" t="b">
        <v>0</v>
      </c>
      <c r="G416" s="136" t="b">
        <v>1</v>
      </c>
      <c r="H416" s="137" t="b">
        <v>0</v>
      </c>
      <c r="I416" s="135"/>
      <c r="J416" s="136"/>
      <c r="K416" s="136"/>
      <c r="L416" s="137"/>
      <c r="M416" s="135"/>
      <c r="N416" s="136"/>
      <c r="O416" s="136"/>
      <c r="P416" s="137"/>
      <c r="Q416" s="135"/>
      <c r="R416" s="136"/>
      <c r="S416" s="136"/>
      <c r="T416" s="137"/>
      <c r="U416" s="135"/>
      <c r="V416" s="136"/>
      <c r="W416" s="138"/>
      <c r="X416" s="136"/>
      <c r="Y416" s="137"/>
      <c r="Z416" s="135"/>
      <c r="AA416" s="136"/>
      <c r="AB416" s="138"/>
      <c r="AC416" s="136"/>
      <c r="AD416" s="137"/>
      <c r="AE416" s="139">
        <f t="shared" si="25"/>
        <v>2</v>
      </c>
    </row>
    <row r="417" ht="15.75" customHeight="1" spans="1:31">
      <c r="A417" s="125">
        <v>463</v>
      </c>
      <c r="B417" s="126"/>
      <c r="C417" s="126" t="s">
        <v>3411</v>
      </c>
      <c r="D417" s="126" t="s">
        <v>3790</v>
      </c>
      <c r="E417" s="128" t="b">
        <v>1</v>
      </c>
      <c r="F417" s="129" t="b">
        <v>0</v>
      </c>
      <c r="G417" s="129" t="b">
        <v>1</v>
      </c>
      <c r="H417" s="130" t="b">
        <v>1</v>
      </c>
      <c r="I417" s="128"/>
      <c r="J417" s="129"/>
      <c r="K417" s="129"/>
      <c r="L417" s="130"/>
      <c r="M417" s="128"/>
      <c r="N417" s="129"/>
      <c r="O417" s="129"/>
      <c r="P417" s="130"/>
      <c r="Q417" s="128"/>
      <c r="R417" s="129"/>
      <c r="S417" s="129"/>
      <c r="T417" s="130"/>
      <c r="U417" s="128"/>
      <c r="V417" s="129"/>
      <c r="W417" s="131"/>
      <c r="X417" s="129"/>
      <c r="Y417" s="130"/>
      <c r="Z417" s="128"/>
      <c r="AA417" s="129"/>
      <c r="AB417" s="131"/>
      <c r="AC417" s="129"/>
      <c r="AD417" s="130"/>
      <c r="AE417" s="132">
        <f t="shared" si="25"/>
        <v>3</v>
      </c>
    </row>
    <row r="418" ht="15.75" customHeight="1" spans="1:31">
      <c r="A418" s="133">
        <v>464</v>
      </c>
      <c r="B418" s="134"/>
      <c r="C418" s="134"/>
      <c r="D418" s="134" t="s">
        <v>3791</v>
      </c>
      <c r="E418" s="135" t="b">
        <v>1</v>
      </c>
      <c r="F418" s="136" t="b">
        <v>0</v>
      </c>
      <c r="G418" s="136" t="b">
        <v>0</v>
      </c>
      <c r="H418" s="137" t="b">
        <v>0</v>
      </c>
      <c r="I418" s="135"/>
      <c r="J418" s="136"/>
      <c r="K418" s="136"/>
      <c r="L418" s="137"/>
      <c r="M418" s="135"/>
      <c r="N418" s="136"/>
      <c r="O418" s="136"/>
      <c r="P418" s="137"/>
      <c r="Q418" s="135"/>
      <c r="R418" s="136"/>
      <c r="S418" s="136"/>
      <c r="T418" s="137"/>
      <c r="U418" s="135"/>
      <c r="V418" s="136"/>
      <c r="W418" s="138"/>
      <c r="X418" s="136"/>
      <c r="Y418" s="137"/>
      <c r="Z418" s="135"/>
      <c r="AA418" s="136"/>
      <c r="AB418" s="138"/>
      <c r="AC418" s="136"/>
      <c r="AD418" s="137"/>
      <c r="AE418" s="139">
        <f t="shared" si="25"/>
        <v>1</v>
      </c>
    </row>
    <row r="419" ht="15.75" customHeight="1" spans="1:31">
      <c r="A419" s="125">
        <v>465</v>
      </c>
      <c r="B419" s="126"/>
      <c r="C419" s="126"/>
      <c r="D419" s="126" t="s">
        <v>3792</v>
      </c>
      <c r="E419" s="128" t="b">
        <v>1</v>
      </c>
      <c r="F419" s="129" t="b">
        <v>0</v>
      </c>
      <c r="G419" s="129" t="b">
        <v>0</v>
      </c>
      <c r="H419" s="130" t="b">
        <v>0</v>
      </c>
      <c r="I419" s="128"/>
      <c r="J419" s="129"/>
      <c r="K419" s="129"/>
      <c r="L419" s="130"/>
      <c r="M419" s="128"/>
      <c r="N419" s="129"/>
      <c r="O419" s="129"/>
      <c r="P419" s="130"/>
      <c r="Q419" s="128"/>
      <c r="R419" s="129"/>
      <c r="S419" s="129"/>
      <c r="T419" s="130"/>
      <c r="U419" s="128"/>
      <c r="V419" s="129"/>
      <c r="W419" s="131"/>
      <c r="X419" s="129"/>
      <c r="Y419" s="130"/>
      <c r="Z419" s="128"/>
      <c r="AA419" s="129"/>
      <c r="AB419" s="131"/>
      <c r="AC419" s="129"/>
      <c r="AD419" s="130"/>
      <c r="AE419" s="132">
        <f t="shared" si="25"/>
        <v>1</v>
      </c>
    </row>
    <row r="420" ht="15.75" customHeight="1" spans="1:31">
      <c r="A420" s="133">
        <v>466</v>
      </c>
      <c r="B420" s="134"/>
      <c r="D420" s="134" t="s">
        <v>3793</v>
      </c>
      <c r="E420" s="135" t="b">
        <v>0</v>
      </c>
      <c r="F420" s="136" t="b">
        <v>0</v>
      </c>
      <c r="G420" s="136" t="b">
        <v>0</v>
      </c>
      <c r="H420" s="137" t="b">
        <v>0</v>
      </c>
      <c r="I420" s="135"/>
      <c r="J420" s="136"/>
      <c r="K420" s="136"/>
      <c r="L420" s="137"/>
      <c r="M420" s="135"/>
      <c r="N420" s="136"/>
      <c r="O420" s="136"/>
      <c r="P420" s="137"/>
      <c r="Q420" s="135"/>
      <c r="R420" s="136"/>
      <c r="S420" s="136"/>
      <c r="T420" s="137"/>
      <c r="U420" s="135"/>
      <c r="V420" s="136"/>
      <c r="W420" s="138"/>
      <c r="X420" s="136"/>
      <c r="Y420" s="137"/>
      <c r="Z420" s="135"/>
      <c r="AA420" s="136"/>
      <c r="AB420" s="138"/>
      <c r="AC420" s="136"/>
      <c r="AD420" s="137"/>
      <c r="AE420" s="139">
        <f t="shared" si="25"/>
        <v>0</v>
      </c>
    </row>
    <row r="421" ht="15.75" customHeight="1" spans="1:31">
      <c r="A421" s="125">
        <v>467</v>
      </c>
      <c r="B421" s="126"/>
      <c r="C421" s="126" t="s">
        <v>2</v>
      </c>
      <c r="D421" s="126" t="s">
        <v>3794</v>
      </c>
      <c r="E421" s="128" t="b">
        <v>0</v>
      </c>
      <c r="F421" s="129" t="b">
        <v>0</v>
      </c>
      <c r="G421" s="129" t="b">
        <v>0</v>
      </c>
      <c r="H421" s="130" t="b">
        <v>0</v>
      </c>
      <c r="I421" s="128"/>
      <c r="J421" s="129"/>
      <c r="K421" s="129"/>
      <c r="L421" s="130"/>
      <c r="M421" s="128"/>
      <c r="N421" s="129"/>
      <c r="O421" s="129"/>
      <c r="P421" s="130"/>
      <c r="Q421" s="128"/>
      <c r="R421" s="129"/>
      <c r="S421" s="129"/>
      <c r="T421" s="130"/>
      <c r="U421" s="128"/>
      <c r="V421" s="129"/>
      <c r="W421" s="131"/>
      <c r="X421" s="129"/>
      <c r="Y421" s="130"/>
      <c r="Z421" s="128"/>
      <c r="AA421" s="129"/>
      <c r="AB421" s="131"/>
      <c r="AC421" s="129"/>
      <c r="AD421" s="130"/>
      <c r="AE421" s="132">
        <f t="shared" si="25"/>
        <v>0</v>
      </c>
    </row>
    <row r="422" ht="15.75" customHeight="1" spans="1:31">
      <c r="A422" s="133">
        <v>468</v>
      </c>
      <c r="B422" s="134"/>
      <c r="C422" s="134" t="s">
        <v>3411</v>
      </c>
      <c r="D422" s="134" t="s">
        <v>3795</v>
      </c>
      <c r="E422" s="138" t="b">
        <v>0</v>
      </c>
      <c r="F422" s="138" t="b">
        <v>0</v>
      </c>
      <c r="G422" s="138" t="b">
        <v>0</v>
      </c>
      <c r="H422" s="138" t="b">
        <v>0</v>
      </c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38"/>
      <c r="AD422" s="138"/>
      <c r="AE422" s="139">
        <f t="shared" si="25"/>
        <v>0</v>
      </c>
    </row>
    <row r="423" ht="15.75" customHeight="1" spans="1:31">
      <c r="A423" s="125">
        <v>469</v>
      </c>
      <c r="B423" s="126"/>
      <c r="C423" s="126" t="s">
        <v>2</v>
      </c>
      <c r="D423" s="126" t="s">
        <v>3796</v>
      </c>
      <c r="E423" s="128" t="b">
        <v>1</v>
      </c>
      <c r="F423" s="129" t="b">
        <v>1</v>
      </c>
      <c r="G423" s="129" t="b">
        <v>1</v>
      </c>
      <c r="H423" s="130" t="b">
        <v>0</v>
      </c>
      <c r="I423" s="128"/>
      <c r="J423" s="129"/>
      <c r="K423" s="129"/>
      <c r="L423" s="130"/>
      <c r="M423" s="128"/>
      <c r="N423" s="129"/>
      <c r="O423" s="129"/>
      <c r="P423" s="130"/>
      <c r="Q423" s="128"/>
      <c r="R423" s="129"/>
      <c r="S423" s="129"/>
      <c r="T423" s="130"/>
      <c r="U423" s="128"/>
      <c r="V423" s="129"/>
      <c r="W423" s="131"/>
      <c r="X423" s="129"/>
      <c r="Y423" s="130"/>
      <c r="Z423" s="128"/>
      <c r="AA423" s="129"/>
      <c r="AB423" s="131"/>
      <c r="AC423" s="129"/>
      <c r="AD423" s="130"/>
      <c r="AE423" s="132">
        <f t="shared" si="25"/>
        <v>3</v>
      </c>
    </row>
    <row r="424" ht="15.75" customHeight="1" spans="1:31">
      <c r="A424" s="133">
        <v>470</v>
      </c>
      <c r="B424" s="134"/>
      <c r="C424" s="134" t="s">
        <v>2</v>
      </c>
      <c r="D424" s="134" t="s">
        <v>3797</v>
      </c>
      <c r="E424" s="135" t="b">
        <v>0</v>
      </c>
      <c r="F424" s="136" t="b">
        <v>0</v>
      </c>
      <c r="G424" s="136" t="b">
        <v>0</v>
      </c>
      <c r="H424" s="137" t="b">
        <v>0</v>
      </c>
      <c r="I424" s="135"/>
      <c r="J424" s="136"/>
      <c r="K424" s="136"/>
      <c r="L424" s="137"/>
      <c r="M424" s="135"/>
      <c r="N424" s="136"/>
      <c r="O424" s="136"/>
      <c r="P424" s="137"/>
      <c r="Q424" s="135"/>
      <c r="R424" s="136"/>
      <c r="S424" s="136"/>
      <c r="T424" s="137"/>
      <c r="U424" s="135"/>
      <c r="V424" s="136"/>
      <c r="W424" s="138"/>
      <c r="X424" s="136"/>
      <c r="Y424" s="137"/>
      <c r="Z424" s="135"/>
      <c r="AA424" s="136"/>
      <c r="AB424" s="138"/>
      <c r="AC424" s="136"/>
      <c r="AD424" s="137"/>
      <c r="AE424" s="139">
        <f t="shared" si="25"/>
        <v>0</v>
      </c>
    </row>
    <row r="425" ht="15.75" customHeight="1" spans="1:31">
      <c r="A425" s="125">
        <v>471</v>
      </c>
      <c r="B425" s="127" t="s">
        <v>3434</v>
      </c>
      <c r="C425" s="126"/>
      <c r="D425" s="152" t="s">
        <v>3798</v>
      </c>
      <c r="E425" s="128" t="b">
        <v>0</v>
      </c>
      <c r="F425" s="129" t="b">
        <v>0</v>
      </c>
      <c r="G425" s="129" t="b">
        <v>0</v>
      </c>
      <c r="H425" s="130" t="b">
        <v>0</v>
      </c>
      <c r="I425" s="128"/>
      <c r="J425" s="129"/>
      <c r="K425" s="129"/>
      <c r="L425" s="130"/>
      <c r="M425" s="128"/>
      <c r="N425" s="129"/>
      <c r="O425" s="129"/>
      <c r="P425" s="130"/>
      <c r="Q425" s="128"/>
      <c r="R425" s="129"/>
      <c r="S425" s="129"/>
      <c r="T425" s="130"/>
      <c r="U425" s="128"/>
      <c r="V425" s="129"/>
      <c r="W425" s="131"/>
      <c r="X425" s="129"/>
      <c r="Y425" s="130"/>
      <c r="Z425" s="128"/>
      <c r="AA425" s="129"/>
      <c r="AB425" s="131"/>
      <c r="AC425" s="129"/>
      <c r="AD425" s="130"/>
      <c r="AE425" s="132">
        <f t="shared" si="25"/>
        <v>0</v>
      </c>
    </row>
    <row r="426" ht="15.75" customHeight="1" spans="1:31">
      <c r="A426" s="133">
        <v>472</v>
      </c>
      <c r="B426" s="134"/>
      <c r="C426" s="134" t="s">
        <v>3411</v>
      </c>
      <c r="D426" s="134" t="s">
        <v>3799</v>
      </c>
      <c r="E426" s="135" t="b">
        <v>1</v>
      </c>
      <c r="F426" s="136" t="b">
        <v>0</v>
      </c>
      <c r="G426" s="136" t="b">
        <v>0</v>
      </c>
      <c r="H426" s="137" t="b">
        <v>0</v>
      </c>
      <c r="I426" s="135"/>
      <c r="J426" s="136"/>
      <c r="K426" s="136"/>
      <c r="L426" s="137"/>
      <c r="M426" s="135"/>
      <c r="N426" s="136"/>
      <c r="O426" s="136"/>
      <c r="P426" s="137"/>
      <c r="Q426" s="135"/>
      <c r="R426" s="136"/>
      <c r="S426" s="136"/>
      <c r="T426" s="137"/>
      <c r="U426" s="135"/>
      <c r="V426" s="136"/>
      <c r="W426" s="138"/>
      <c r="X426" s="136"/>
      <c r="Y426" s="137"/>
      <c r="Z426" s="135"/>
      <c r="AA426" s="136"/>
      <c r="AB426" s="138"/>
      <c r="AC426" s="136"/>
      <c r="AD426" s="137"/>
      <c r="AE426" s="139">
        <f t="shared" si="25"/>
        <v>1</v>
      </c>
    </row>
    <row r="427" ht="15.75" customHeight="1" spans="1:31">
      <c r="A427" s="125">
        <v>474</v>
      </c>
      <c r="B427" s="126"/>
      <c r="C427" s="126" t="s">
        <v>2</v>
      </c>
      <c r="D427" s="126" t="s">
        <v>3800</v>
      </c>
      <c r="E427" s="128" t="b">
        <v>1</v>
      </c>
      <c r="F427" s="129" t="b">
        <v>1</v>
      </c>
      <c r="G427" s="129" t="b">
        <v>0</v>
      </c>
      <c r="H427" s="130" t="b">
        <v>0</v>
      </c>
      <c r="I427" s="128"/>
      <c r="J427" s="129"/>
      <c r="K427" s="129"/>
      <c r="L427" s="130"/>
      <c r="M427" s="128"/>
      <c r="N427" s="129"/>
      <c r="O427" s="129"/>
      <c r="P427" s="130"/>
      <c r="Q427" s="128"/>
      <c r="R427" s="129"/>
      <c r="S427" s="129"/>
      <c r="T427" s="130"/>
      <c r="U427" s="128"/>
      <c r="V427" s="129"/>
      <c r="W427" s="131"/>
      <c r="X427" s="129"/>
      <c r="Y427" s="130"/>
      <c r="Z427" s="128"/>
      <c r="AA427" s="129"/>
      <c r="AB427" s="131"/>
      <c r="AC427" s="129"/>
      <c r="AD427" s="130"/>
      <c r="AE427" s="132">
        <f t="shared" si="25"/>
        <v>2</v>
      </c>
    </row>
    <row r="428" ht="15.75" customHeight="1" spans="1:31">
      <c r="A428" s="133">
        <v>475</v>
      </c>
      <c r="B428" s="134"/>
      <c r="D428" s="140" t="s">
        <v>3801</v>
      </c>
      <c r="E428" s="135" t="b">
        <v>0</v>
      </c>
      <c r="F428" s="136" t="b">
        <v>1</v>
      </c>
      <c r="G428" s="136" t="b">
        <v>0</v>
      </c>
      <c r="H428" s="137" t="b">
        <v>0</v>
      </c>
      <c r="I428" s="135"/>
      <c r="J428" s="136"/>
      <c r="K428" s="136"/>
      <c r="L428" s="137"/>
      <c r="M428" s="135"/>
      <c r="N428" s="136"/>
      <c r="O428" s="136"/>
      <c r="P428" s="137"/>
      <c r="Q428" s="135"/>
      <c r="R428" s="136"/>
      <c r="S428" s="136"/>
      <c r="T428" s="137"/>
      <c r="U428" s="135"/>
      <c r="V428" s="136"/>
      <c r="W428" s="138"/>
      <c r="X428" s="136"/>
      <c r="Y428" s="137"/>
      <c r="Z428" s="135"/>
      <c r="AA428" s="136"/>
      <c r="AB428" s="138"/>
      <c r="AC428" s="136"/>
      <c r="AD428" s="137"/>
      <c r="AE428" s="139">
        <f t="shared" si="25"/>
        <v>1</v>
      </c>
    </row>
    <row r="429" ht="15.75" customHeight="1" spans="1:31">
      <c r="A429" s="125">
        <v>476</v>
      </c>
      <c r="C429" s="126" t="s">
        <v>3411</v>
      </c>
      <c r="D429" s="126" t="s">
        <v>3802</v>
      </c>
      <c r="E429" s="128" t="b">
        <v>0</v>
      </c>
      <c r="F429" s="129" t="b">
        <v>0</v>
      </c>
      <c r="G429" s="129" t="b">
        <v>0</v>
      </c>
      <c r="H429" s="130" t="b">
        <v>0</v>
      </c>
      <c r="I429" s="128"/>
      <c r="J429" s="129"/>
      <c r="K429" s="129"/>
      <c r="L429" s="130"/>
      <c r="M429" s="128"/>
      <c r="N429" s="129"/>
      <c r="O429" s="129"/>
      <c r="P429" s="130"/>
      <c r="Q429" s="128"/>
      <c r="R429" s="129"/>
      <c r="S429" s="129"/>
      <c r="T429" s="130"/>
      <c r="U429" s="128"/>
      <c r="V429" s="129"/>
      <c r="W429" s="131"/>
      <c r="X429" s="129"/>
      <c r="Y429" s="130"/>
      <c r="Z429" s="128"/>
      <c r="AA429" s="129"/>
      <c r="AB429" s="131"/>
      <c r="AC429" s="129"/>
      <c r="AD429" s="130"/>
      <c r="AE429" s="132">
        <f t="shared" si="25"/>
        <v>0</v>
      </c>
    </row>
    <row r="430" ht="15.75" customHeight="1" spans="1:31">
      <c r="A430" s="133">
        <v>477</v>
      </c>
      <c r="B430" s="134"/>
      <c r="C430" s="134" t="s">
        <v>3</v>
      </c>
      <c r="D430" s="134" t="s">
        <v>1124</v>
      </c>
      <c r="E430" s="138" t="b">
        <v>1</v>
      </c>
      <c r="F430" s="138" t="b">
        <v>1</v>
      </c>
      <c r="G430" s="138" t="b">
        <v>1</v>
      </c>
      <c r="H430" s="138" t="b">
        <v>0</v>
      </c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38"/>
      <c r="AD430" s="138"/>
      <c r="AE430" s="139">
        <f t="shared" si="25"/>
        <v>3</v>
      </c>
    </row>
    <row r="431" ht="15.75" customHeight="1" spans="1:31">
      <c r="A431" s="125">
        <v>618</v>
      </c>
      <c r="B431" s="126"/>
      <c r="C431" s="126" t="s">
        <v>2</v>
      </c>
      <c r="D431" s="126" t="s">
        <v>3803</v>
      </c>
      <c r="E431" s="128" t="b">
        <v>1</v>
      </c>
      <c r="F431" s="129" t="b">
        <v>1</v>
      </c>
      <c r="G431" s="129" t="b">
        <v>1</v>
      </c>
      <c r="H431" s="130" t="b">
        <v>0</v>
      </c>
      <c r="I431" s="128"/>
      <c r="J431" s="129"/>
      <c r="K431" s="129"/>
      <c r="L431" s="130"/>
      <c r="M431" s="128"/>
      <c r="N431" s="129"/>
      <c r="O431" s="129"/>
      <c r="P431" s="130"/>
      <c r="Q431" s="128"/>
      <c r="R431" s="129"/>
      <c r="S431" s="129"/>
      <c r="T431" s="130"/>
      <c r="U431" s="128"/>
      <c r="V431" s="129"/>
      <c r="W431" s="131"/>
      <c r="X431" s="129"/>
      <c r="Y431" s="130"/>
      <c r="Z431" s="128"/>
      <c r="AA431" s="129"/>
      <c r="AB431" s="131"/>
      <c r="AC431" s="129"/>
      <c r="AD431" s="131"/>
      <c r="AE431" s="132">
        <f t="shared" si="25"/>
        <v>3</v>
      </c>
    </row>
    <row r="432" ht="15.75" customHeight="1" spans="1:31">
      <c r="A432" s="133">
        <v>480</v>
      </c>
      <c r="B432" s="134"/>
      <c r="D432" s="134" t="s">
        <v>3804</v>
      </c>
      <c r="E432" s="135" t="b">
        <v>1</v>
      </c>
      <c r="F432" s="136" t="b">
        <v>1</v>
      </c>
      <c r="G432" s="136" t="b">
        <v>1</v>
      </c>
      <c r="H432" s="137" t="b">
        <v>1</v>
      </c>
      <c r="I432" s="135"/>
      <c r="J432" s="136"/>
      <c r="K432" s="136"/>
      <c r="L432" s="137"/>
      <c r="M432" s="135"/>
      <c r="N432" s="136"/>
      <c r="O432" s="136"/>
      <c r="P432" s="137"/>
      <c r="Q432" s="135"/>
      <c r="R432" s="136"/>
      <c r="S432" s="136"/>
      <c r="T432" s="137"/>
      <c r="U432" s="135"/>
      <c r="V432" s="136"/>
      <c r="W432" s="138"/>
      <c r="X432" s="136"/>
      <c r="Y432" s="137"/>
      <c r="Z432" s="135"/>
      <c r="AA432" s="136"/>
      <c r="AB432" s="138"/>
      <c r="AC432" s="136"/>
      <c r="AD432" s="138"/>
      <c r="AE432" s="139">
        <f t="shared" si="25"/>
        <v>4</v>
      </c>
    </row>
    <row r="433" ht="15.75" customHeight="1" spans="1:31">
      <c r="A433" s="125">
        <v>481</v>
      </c>
      <c r="C433" s="126" t="s">
        <v>3411</v>
      </c>
      <c r="D433" s="126" t="s">
        <v>3805</v>
      </c>
      <c r="E433" s="131" t="b">
        <v>1</v>
      </c>
      <c r="F433" s="131" t="b">
        <v>1</v>
      </c>
      <c r="G433" s="131" t="b">
        <v>1</v>
      </c>
      <c r="H433" s="131" t="b">
        <v>0</v>
      </c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  <c r="AB433" s="131"/>
      <c r="AC433" s="131"/>
      <c r="AD433" s="131"/>
      <c r="AE433" s="132">
        <f t="shared" si="25"/>
        <v>3</v>
      </c>
    </row>
    <row r="434" ht="15.75" customHeight="1" spans="1:31">
      <c r="A434" s="133">
        <v>483</v>
      </c>
      <c r="B434" s="134"/>
      <c r="C434" s="134" t="s">
        <v>3411</v>
      </c>
      <c r="D434" s="134" t="s">
        <v>3806</v>
      </c>
      <c r="E434" s="135" t="b">
        <v>0</v>
      </c>
      <c r="F434" s="136" t="b">
        <v>0</v>
      </c>
      <c r="G434" s="136" t="b">
        <v>0</v>
      </c>
      <c r="H434" s="137" t="b">
        <v>0</v>
      </c>
      <c r="I434" s="135"/>
      <c r="J434" s="136"/>
      <c r="K434" s="136"/>
      <c r="L434" s="137"/>
      <c r="M434" s="135"/>
      <c r="N434" s="136"/>
      <c r="O434" s="136"/>
      <c r="P434" s="137"/>
      <c r="Q434" s="135"/>
      <c r="R434" s="136"/>
      <c r="S434" s="136"/>
      <c r="T434" s="137"/>
      <c r="U434" s="135"/>
      <c r="V434" s="136"/>
      <c r="W434" s="138"/>
      <c r="X434" s="136"/>
      <c r="Y434" s="137"/>
      <c r="Z434" s="135"/>
      <c r="AA434" s="136"/>
      <c r="AB434" s="138"/>
      <c r="AC434" s="136"/>
      <c r="AD434" s="138"/>
      <c r="AE434" s="139">
        <f t="shared" si="25"/>
        <v>0</v>
      </c>
    </row>
    <row r="435" ht="15.75" customHeight="1" spans="1:31">
      <c r="A435" s="125">
        <v>485</v>
      </c>
      <c r="B435" s="126"/>
      <c r="C435" s="126" t="s">
        <v>2</v>
      </c>
      <c r="D435" s="126" t="s">
        <v>3807</v>
      </c>
      <c r="E435" s="128" t="b">
        <v>1</v>
      </c>
      <c r="F435" s="129" t="b">
        <v>1</v>
      </c>
      <c r="G435" s="129" t="b">
        <v>1</v>
      </c>
      <c r="H435" s="130" t="b">
        <v>0</v>
      </c>
      <c r="I435" s="128"/>
      <c r="J435" s="129"/>
      <c r="K435" s="129"/>
      <c r="L435" s="130"/>
      <c r="M435" s="128"/>
      <c r="N435" s="129"/>
      <c r="O435" s="129"/>
      <c r="P435" s="130"/>
      <c r="Q435" s="128"/>
      <c r="R435" s="129"/>
      <c r="S435" s="129"/>
      <c r="T435" s="130"/>
      <c r="U435" s="128"/>
      <c r="V435" s="129"/>
      <c r="W435" s="131"/>
      <c r="X435" s="129"/>
      <c r="Y435" s="130"/>
      <c r="Z435" s="128"/>
      <c r="AA435" s="129"/>
      <c r="AB435" s="131"/>
      <c r="AC435" s="129"/>
      <c r="AD435" s="131"/>
      <c r="AE435" s="132">
        <f t="shared" si="25"/>
        <v>3</v>
      </c>
    </row>
    <row r="436" ht="15.75" customHeight="1" spans="1:31">
      <c r="A436" s="133">
        <v>486</v>
      </c>
      <c r="B436" s="134"/>
      <c r="C436" s="134" t="s">
        <v>2</v>
      </c>
      <c r="D436" s="134" t="s">
        <v>3808</v>
      </c>
      <c r="E436" s="135" t="b">
        <v>1</v>
      </c>
      <c r="F436" s="136" t="b">
        <v>1</v>
      </c>
      <c r="G436" s="136" t="b">
        <v>1</v>
      </c>
      <c r="H436" s="137" t="b">
        <v>1</v>
      </c>
      <c r="I436" s="135"/>
      <c r="J436" s="136"/>
      <c r="K436" s="136"/>
      <c r="L436" s="137"/>
      <c r="M436" s="135"/>
      <c r="N436" s="136"/>
      <c r="O436" s="136"/>
      <c r="P436" s="137"/>
      <c r="Q436" s="135"/>
      <c r="R436" s="136"/>
      <c r="S436" s="136"/>
      <c r="T436" s="137"/>
      <c r="U436" s="135"/>
      <c r="V436" s="136"/>
      <c r="W436" s="138"/>
      <c r="X436" s="136"/>
      <c r="Y436" s="137"/>
      <c r="Z436" s="135"/>
      <c r="AA436" s="136"/>
      <c r="AB436" s="138"/>
      <c r="AC436" s="136"/>
      <c r="AD436" s="138"/>
      <c r="AE436" s="139">
        <f t="shared" si="25"/>
        <v>4</v>
      </c>
    </row>
    <row r="437" ht="15.75" customHeight="1" spans="1:31">
      <c r="A437" s="125">
        <v>487</v>
      </c>
      <c r="B437" s="126"/>
      <c r="C437" s="126" t="s">
        <v>2</v>
      </c>
      <c r="D437" s="126" t="s">
        <v>3809</v>
      </c>
      <c r="E437" s="128" t="b">
        <v>0</v>
      </c>
      <c r="F437" s="129" t="b">
        <v>0</v>
      </c>
      <c r="G437" s="129" t="b">
        <v>0</v>
      </c>
      <c r="H437" s="130" t="b">
        <v>0</v>
      </c>
      <c r="I437" s="128"/>
      <c r="J437" s="129"/>
      <c r="K437" s="129"/>
      <c r="L437" s="130"/>
      <c r="M437" s="128"/>
      <c r="N437" s="129"/>
      <c r="O437" s="129"/>
      <c r="P437" s="130"/>
      <c r="Q437" s="128"/>
      <c r="R437" s="129"/>
      <c r="S437" s="129"/>
      <c r="T437" s="130"/>
      <c r="U437" s="128"/>
      <c r="V437" s="129"/>
      <c r="W437" s="131"/>
      <c r="X437" s="129"/>
      <c r="Y437" s="130"/>
      <c r="Z437" s="128"/>
      <c r="AA437" s="129"/>
      <c r="AB437" s="131"/>
      <c r="AC437" s="129"/>
      <c r="AD437" s="131"/>
      <c r="AE437" s="132">
        <f t="shared" si="25"/>
        <v>0</v>
      </c>
    </row>
    <row r="438" ht="15.75" customHeight="1" spans="1:31">
      <c r="A438" s="133">
        <v>488</v>
      </c>
      <c r="B438" s="134"/>
      <c r="C438" s="134" t="s">
        <v>3411</v>
      </c>
      <c r="D438" s="134" t="s">
        <v>3810</v>
      </c>
      <c r="E438" s="135" t="b">
        <v>0</v>
      </c>
      <c r="F438" s="136" t="b">
        <v>1</v>
      </c>
      <c r="G438" s="136" t="b">
        <v>0</v>
      </c>
      <c r="H438" s="137" t="b">
        <v>0</v>
      </c>
      <c r="I438" s="135"/>
      <c r="J438" s="136"/>
      <c r="K438" s="136"/>
      <c r="L438" s="137"/>
      <c r="M438" s="135"/>
      <c r="N438" s="136"/>
      <c r="O438" s="136"/>
      <c r="P438" s="137"/>
      <c r="Q438" s="135"/>
      <c r="R438" s="136"/>
      <c r="S438" s="136"/>
      <c r="T438" s="137"/>
      <c r="U438" s="135"/>
      <c r="V438" s="136"/>
      <c r="W438" s="138"/>
      <c r="X438" s="136"/>
      <c r="Y438" s="137"/>
      <c r="Z438" s="135"/>
      <c r="AA438" s="136"/>
      <c r="AB438" s="138"/>
      <c r="AC438" s="136"/>
      <c r="AD438" s="138"/>
      <c r="AE438" s="139">
        <f t="shared" si="25"/>
        <v>1</v>
      </c>
    </row>
    <row r="439" ht="15.75" customHeight="1" spans="1:31">
      <c r="A439" s="125">
        <v>489</v>
      </c>
      <c r="B439" s="126"/>
      <c r="C439" s="126" t="s">
        <v>3411</v>
      </c>
      <c r="D439" s="126" t="s">
        <v>3811</v>
      </c>
      <c r="E439" s="128" t="b">
        <v>1</v>
      </c>
      <c r="F439" s="129" t="b">
        <v>1</v>
      </c>
      <c r="G439" s="129" t="b">
        <v>1</v>
      </c>
      <c r="H439" s="130" t="b">
        <v>1</v>
      </c>
      <c r="I439" s="128"/>
      <c r="J439" s="129"/>
      <c r="K439" s="129"/>
      <c r="L439" s="130"/>
      <c r="M439" s="128"/>
      <c r="N439" s="129"/>
      <c r="O439" s="129"/>
      <c r="P439" s="130"/>
      <c r="Q439" s="128"/>
      <c r="R439" s="129"/>
      <c r="S439" s="129"/>
      <c r="T439" s="130"/>
      <c r="U439" s="128"/>
      <c r="V439" s="129"/>
      <c r="W439" s="131"/>
      <c r="X439" s="129"/>
      <c r="Y439" s="130"/>
      <c r="Z439" s="128"/>
      <c r="AA439" s="129"/>
      <c r="AB439" s="131"/>
      <c r="AC439" s="129"/>
      <c r="AD439" s="131"/>
      <c r="AE439" s="132">
        <f t="shared" si="25"/>
        <v>4</v>
      </c>
    </row>
    <row r="440" ht="15.75" customHeight="1" spans="1:31">
      <c r="A440" s="133">
        <v>490</v>
      </c>
      <c r="D440" s="140" t="s">
        <v>3812</v>
      </c>
      <c r="E440" s="144"/>
      <c r="F440" s="142"/>
      <c r="G440" s="142"/>
      <c r="H440" s="150" t="b">
        <v>1</v>
      </c>
      <c r="I440" s="144"/>
      <c r="J440" s="142"/>
      <c r="K440" s="142"/>
      <c r="L440" s="143"/>
      <c r="M440" s="144"/>
      <c r="N440" s="142"/>
      <c r="O440" s="142"/>
      <c r="P440" s="143"/>
      <c r="Q440" s="144"/>
      <c r="R440" s="142"/>
      <c r="S440" s="142"/>
      <c r="T440" s="143"/>
      <c r="U440" s="144"/>
      <c r="V440" s="142"/>
      <c r="X440" s="142"/>
      <c r="Y440" s="143"/>
      <c r="Z440" s="144"/>
      <c r="AA440" s="142"/>
      <c r="AC440" s="142"/>
    </row>
    <row r="441" ht="15.75" customHeight="1" spans="1:31">
      <c r="A441" s="125">
        <v>491</v>
      </c>
      <c r="B441" s="126"/>
      <c r="C441" s="126" t="s">
        <v>3411</v>
      </c>
      <c r="D441" s="126" t="s">
        <v>3813</v>
      </c>
      <c r="E441" s="128" t="b">
        <v>0</v>
      </c>
      <c r="F441" s="129" t="b">
        <v>0</v>
      </c>
      <c r="G441" s="129" t="b">
        <v>0</v>
      </c>
      <c r="H441" s="130" t="b">
        <v>0</v>
      </c>
      <c r="I441" s="128"/>
      <c r="J441" s="129"/>
      <c r="K441" s="129"/>
      <c r="L441" s="130"/>
      <c r="M441" s="128"/>
      <c r="N441" s="129"/>
      <c r="O441" s="129"/>
      <c r="P441" s="130"/>
      <c r="Q441" s="128"/>
      <c r="R441" s="129"/>
      <c r="S441" s="129"/>
      <c r="T441" s="130"/>
      <c r="U441" s="128"/>
      <c r="V441" s="129"/>
      <c r="W441" s="131"/>
      <c r="X441" s="129"/>
      <c r="Y441" s="130"/>
      <c r="Z441" s="128"/>
      <c r="AA441" s="129"/>
      <c r="AB441" s="131"/>
      <c r="AC441" s="129"/>
      <c r="AD441" s="131"/>
      <c r="AE441" s="132">
        <f t="shared" ref="AE441:AE446" si="26">COUNTIF(E441:AD441,"TRUE")</f>
        <v>0</v>
      </c>
    </row>
    <row r="442" ht="15.75" customHeight="1" spans="1:31">
      <c r="A442" s="133">
        <v>492</v>
      </c>
      <c r="B442" s="134"/>
      <c r="C442" s="134"/>
      <c r="D442" s="134" t="s">
        <v>3814</v>
      </c>
      <c r="E442" s="135" t="b">
        <v>0</v>
      </c>
      <c r="F442" s="136" t="b">
        <v>1</v>
      </c>
      <c r="G442" s="136" t="b">
        <v>0</v>
      </c>
      <c r="H442" s="137" t="b">
        <v>1</v>
      </c>
      <c r="I442" s="135"/>
      <c r="J442" s="136"/>
      <c r="K442" s="136"/>
      <c r="L442" s="137"/>
      <c r="M442" s="135"/>
      <c r="N442" s="136"/>
      <c r="O442" s="136"/>
      <c r="P442" s="137"/>
      <c r="Q442" s="135"/>
      <c r="R442" s="136"/>
      <c r="S442" s="136"/>
      <c r="T442" s="137"/>
      <c r="U442" s="135"/>
      <c r="V442" s="136"/>
      <c r="W442" s="138"/>
      <c r="X442" s="136"/>
      <c r="Y442" s="137"/>
      <c r="Z442" s="135"/>
      <c r="AA442" s="136"/>
      <c r="AB442" s="138"/>
      <c r="AC442" s="136"/>
      <c r="AD442" s="138"/>
      <c r="AE442" s="139">
        <f t="shared" si="26"/>
        <v>2</v>
      </c>
    </row>
    <row r="443" ht="15.75" customHeight="1" spans="1:31">
      <c r="A443" s="125">
        <v>493</v>
      </c>
      <c r="B443" s="126"/>
      <c r="C443" s="126" t="s">
        <v>3411</v>
      </c>
      <c r="D443" s="126" t="s">
        <v>3815</v>
      </c>
      <c r="E443" s="128" t="b">
        <v>1</v>
      </c>
      <c r="F443" s="129" t="b">
        <v>0</v>
      </c>
      <c r="G443" s="129" t="b">
        <v>0</v>
      </c>
      <c r="H443" s="130" t="b">
        <v>1</v>
      </c>
      <c r="I443" s="128"/>
      <c r="J443" s="129"/>
      <c r="K443" s="129"/>
      <c r="L443" s="130"/>
      <c r="M443" s="128"/>
      <c r="N443" s="129"/>
      <c r="O443" s="129"/>
      <c r="P443" s="130"/>
      <c r="Q443" s="128"/>
      <c r="R443" s="129"/>
      <c r="S443" s="129"/>
      <c r="T443" s="130"/>
      <c r="U443" s="128"/>
      <c r="V443" s="129"/>
      <c r="W443" s="131"/>
      <c r="X443" s="129"/>
      <c r="Y443" s="130"/>
      <c r="Z443" s="128"/>
      <c r="AA443" s="129"/>
      <c r="AB443" s="131"/>
      <c r="AC443" s="129"/>
      <c r="AD443" s="131"/>
      <c r="AE443" s="132">
        <f t="shared" si="26"/>
        <v>2</v>
      </c>
    </row>
    <row r="444" ht="15.75" customHeight="1" spans="1:31">
      <c r="A444" s="133">
        <v>494</v>
      </c>
      <c r="B444" s="134"/>
      <c r="C444" s="134" t="s">
        <v>2</v>
      </c>
      <c r="D444" s="134" t="s">
        <v>3816</v>
      </c>
      <c r="E444" s="135" t="b">
        <v>0</v>
      </c>
      <c r="F444" s="136" t="b">
        <v>0</v>
      </c>
      <c r="G444" s="136" t="b">
        <v>0</v>
      </c>
      <c r="H444" s="137" t="b">
        <v>1</v>
      </c>
      <c r="I444" s="135"/>
      <c r="J444" s="136"/>
      <c r="K444" s="136"/>
      <c r="L444" s="137"/>
      <c r="M444" s="135"/>
      <c r="N444" s="136"/>
      <c r="O444" s="136"/>
      <c r="P444" s="137"/>
      <c r="Q444" s="135"/>
      <c r="R444" s="136"/>
      <c r="S444" s="136"/>
      <c r="T444" s="137"/>
      <c r="U444" s="135"/>
      <c r="V444" s="136"/>
      <c r="W444" s="138"/>
      <c r="X444" s="136"/>
      <c r="Y444" s="137"/>
      <c r="Z444" s="135"/>
      <c r="AA444" s="136"/>
      <c r="AB444" s="138"/>
      <c r="AC444" s="136"/>
      <c r="AD444" s="138"/>
      <c r="AE444" s="139">
        <f t="shared" si="26"/>
        <v>1</v>
      </c>
    </row>
    <row r="445" ht="15.75" customHeight="1" spans="1:31">
      <c r="A445" s="125">
        <v>495</v>
      </c>
      <c r="B445" s="126"/>
      <c r="C445" s="126" t="s">
        <v>2</v>
      </c>
      <c r="D445" s="126" t="s">
        <v>3817</v>
      </c>
      <c r="E445" s="128" t="b">
        <v>1</v>
      </c>
      <c r="F445" s="129" t="b">
        <v>1</v>
      </c>
      <c r="G445" s="129" t="b">
        <v>0</v>
      </c>
      <c r="H445" s="130" t="b">
        <v>1</v>
      </c>
      <c r="I445" s="128"/>
      <c r="J445" s="129"/>
      <c r="K445" s="129"/>
      <c r="L445" s="130"/>
      <c r="M445" s="128"/>
      <c r="N445" s="129"/>
      <c r="O445" s="129"/>
      <c r="P445" s="130"/>
      <c r="Q445" s="128"/>
      <c r="R445" s="129"/>
      <c r="S445" s="129"/>
      <c r="T445" s="130"/>
      <c r="U445" s="128"/>
      <c r="V445" s="129"/>
      <c r="W445" s="131"/>
      <c r="X445" s="129"/>
      <c r="Y445" s="130"/>
      <c r="Z445" s="128"/>
      <c r="AA445" s="129"/>
      <c r="AB445" s="131"/>
      <c r="AC445" s="129"/>
      <c r="AD445" s="131"/>
      <c r="AE445" s="132">
        <f t="shared" si="26"/>
        <v>3</v>
      </c>
    </row>
    <row r="446" ht="15.75" customHeight="1" spans="1:31">
      <c r="A446" s="133">
        <v>496</v>
      </c>
      <c r="B446" s="134"/>
      <c r="C446" s="134" t="s">
        <v>3411</v>
      </c>
      <c r="D446" s="134" t="s">
        <v>3818</v>
      </c>
      <c r="E446" s="135" t="b">
        <v>0</v>
      </c>
      <c r="F446" s="136" t="b">
        <v>0</v>
      </c>
      <c r="G446" s="136" t="b">
        <v>0</v>
      </c>
      <c r="H446" s="137" t="b">
        <v>0</v>
      </c>
      <c r="I446" s="135"/>
      <c r="J446" s="136"/>
      <c r="K446" s="136"/>
      <c r="L446" s="137"/>
      <c r="M446" s="135"/>
      <c r="N446" s="136"/>
      <c r="O446" s="136"/>
      <c r="P446" s="137"/>
      <c r="Q446" s="135"/>
      <c r="R446" s="136"/>
      <c r="S446" s="136"/>
      <c r="T446" s="137"/>
      <c r="U446" s="135"/>
      <c r="V446" s="136"/>
      <c r="W446" s="138"/>
      <c r="X446" s="136"/>
      <c r="Y446" s="137"/>
      <c r="Z446" s="135"/>
      <c r="AA446" s="136"/>
      <c r="AB446" s="138"/>
      <c r="AC446" s="136"/>
      <c r="AD446" s="138"/>
      <c r="AE446" s="139">
        <f t="shared" si="26"/>
        <v>0</v>
      </c>
    </row>
    <row r="447" ht="15.75" customHeight="1" spans="1:31">
      <c r="A447" s="125">
        <v>497</v>
      </c>
      <c r="D447" s="127" t="s">
        <v>3819</v>
      </c>
      <c r="E447" s="153" t="b">
        <v>1</v>
      </c>
      <c r="F447" s="146" t="b">
        <v>0</v>
      </c>
      <c r="G447" s="146" t="b">
        <v>0</v>
      </c>
      <c r="H447" s="148" t="b">
        <v>0</v>
      </c>
      <c r="I447" s="145"/>
      <c r="J447" s="146"/>
      <c r="K447" s="146"/>
      <c r="L447" s="148"/>
      <c r="M447" s="145"/>
      <c r="N447" s="146"/>
      <c r="O447" s="146"/>
      <c r="P447" s="148"/>
      <c r="Q447" s="145"/>
      <c r="R447" s="146"/>
      <c r="S447" s="146"/>
      <c r="T447" s="148"/>
      <c r="U447" s="145"/>
      <c r="V447" s="146"/>
      <c r="X447" s="146"/>
      <c r="Y447" s="148"/>
      <c r="Z447" s="145"/>
      <c r="AA447" s="146"/>
      <c r="AC447" s="146"/>
    </row>
    <row r="448" ht="15.75" customHeight="1" spans="1:31">
      <c r="A448" s="133">
        <v>498</v>
      </c>
      <c r="D448" s="140" t="s">
        <v>3820</v>
      </c>
      <c r="E448" s="144"/>
      <c r="F448" s="142"/>
      <c r="G448" s="149" t="b">
        <v>1</v>
      </c>
      <c r="H448" s="143" t="b">
        <v>0</v>
      </c>
      <c r="I448" s="144"/>
      <c r="J448" s="142"/>
      <c r="K448" s="142"/>
      <c r="L448" s="143"/>
      <c r="M448" s="144"/>
      <c r="N448" s="142"/>
      <c r="O448" s="142"/>
      <c r="P448" s="143"/>
      <c r="Q448" s="144"/>
      <c r="R448" s="142"/>
      <c r="S448" s="142"/>
      <c r="T448" s="143"/>
      <c r="U448" s="144"/>
      <c r="V448" s="142"/>
      <c r="X448" s="142"/>
      <c r="Y448" s="143"/>
      <c r="Z448" s="144"/>
      <c r="AA448" s="142"/>
      <c r="AC448" s="142"/>
    </row>
    <row r="449" ht="15.75" customHeight="1" spans="1:31">
      <c r="A449" s="125">
        <v>499</v>
      </c>
      <c r="B449" s="126"/>
      <c r="C449" s="126" t="s">
        <v>2</v>
      </c>
      <c r="D449" s="126" t="s">
        <v>3821</v>
      </c>
      <c r="E449" s="128" t="b">
        <v>0</v>
      </c>
      <c r="F449" s="129" t="b">
        <v>1</v>
      </c>
      <c r="G449" s="129" t="b">
        <v>1</v>
      </c>
      <c r="H449" s="130" t="b">
        <v>1</v>
      </c>
      <c r="I449" s="128"/>
      <c r="J449" s="129"/>
      <c r="K449" s="129"/>
      <c r="L449" s="130"/>
      <c r="M449" s="128"/>
      <c r="N449" s="129"/>
      <c r="O449" s="129"/>
      <c r="P449" s="130"/>
      <c r="Q449" s="128"/>
      <c r="R449" s="129"/>
      <c r="S449" s="129"/>
      <c r="T449" s="130"/>
      <c r="U449" s="128"/>
      <c r="V449" s="129"/>
      <c r="W449" s="131"/>
      <c r="X449" s="129"/>
      <c r="Y449" s="130"/>
      <c r="Z449" s="128"/>
      <c r="AA449" s="129"/>
      <c r="AB449" s="131"/>
      <c r="AC449" s="129"/>
      <c r="AD449" s="131"/>
      <c r="AE449" s="132">
        <f>COUNTIF(E449:AD449,"TRUE")</f>
        <v>3</v>
      </c>
    </row>
    <row r="450" ht="15.75" customHeight="1" spans="1:31">
      <c r="A450" s="133">
        <v>500</v>
      </c>
      <c r="C450" s="140" t="s">
        <v>3</v>
      </c>
      <c r="D450" s="140" t="s">
        <v>3822</v>
      </c>
      <c r="E450" s="144" t="b">
        <v>0</v>
      </c>
      <c r="F450" s="142" t="b">
        <v>0</v>
      </c>
      <c r="G450" s="142" t="b">
        <v>0</v>
      </c>
      <c r="H450" s="143" t="b">
        <v>0</v>
      </c>
      <c r="I450" s="144"/>
      <c r="J450" s="142"/>
      <c r="K450" s="142"/>
      <c r="L450" s="143"/>
      <c r="M450" s="144"/>
      <c r="N450" s="142"/>
      <c r="O450" s="142"/>
      <c r="P450" s="143"/>
      <c r="Q450" s="144"/>
      <c r="R450" s="142"/>
      <c r="S450" s="142"/>
      <c r="T450" s="143"/>
      <c r="U450" s="144"/>
      <c r="V450" s="142"/>
      <c r="X450" s="142"/>
      <c r="Y450" s="143"/>
      <c r="Z450" s="144"/>
      <c r="AA450" s="142"/>
      <c r="AC450" s="142"/>
    </row>
    <row r="451" ht="15.75" customHeight="1" spans="1:31">
      <c r="A451" s="125">
        <v>501</v>
      </c>
      <c r="B451" s="126"/>
      <c r="C451" s="126" t="s">
        <v>2</v>
      </c>
      <c r="D451" s="126" t="s">
        <v>3823</v>
      </c>
      <c r="E451" s="128" t="b">
        <v>0</v>
      </c>
      <c r="F451" s="129" t="b">
        <v>0</v>
      </c>
      <c r="G451" s="129" t="b">
        <v>0</v>
      </c>
      <c r="H451" s="130" t="b">
        <v>0</v>
      </c>
      <c r="I451" s="128"/>
      <c r="J451" s="129"/>
      <c r="K451" s="129"/>
      <c r="L451" s="130"/>
      <c r="M451" s="128"/>
      <c r="N451" s="129"/>
      <c r="O451" s="129"/>
      <c r="P451" s="130"/>
      <c r="Q451" s="128"/>
      <c r="R451" s="129"/>
      <c r="S451" s="129"/>
      <c r="T451" s="130"/>
      <c r="U451" s="128"/>
      <c r="V451" s="129"/>
      <c r="W451" s="131"/>
      <c r="X451" s="129"/>
      <c r="Y451" s="130"/>
      <c r="Z451" s="128"/>
      <c r="AA451" s="129"/>
      <c r="AB451" s="131"/>
      <c r="AC451" s="129"/>
      <c r="AD451" s="131"/>
      <c r="AE451" s="132">
        <f t="shared" ref="AE451:AE456" si="27">COUNTIF(E451:AD451,"TRUE")</f>
        <v>0</v>
      </c>
    </row>
    <row r="452" ht="15.75" customHeight="1" spans="1:31">
      <c r="A452" s="133">
        <v>502</v>
      </c>
      <c r="B452" s="134"/>
      <c r="C452" s="134" t="s">
        <v>3411</v>
      </c>
      <c r="D452" s="134" t="s">
        <v>3824</v>
      </c>
      <c r="E452" s="135" t="b">
        <v>1</v>
      </c>
      <c r="F452" s="136" t="b">
        <v>1</v>
      </c>
      <c r="G452" s="136" t="b">
        <v>1</v>
      </c>
      <c r="H452" s="137" t="b">
        <v>1</v>
      </c>
      <c r="I452" s="135"/>
      <c r="J452" s="136"/>
      <c r="K452" s="136"/>
      <c r="L452" s="137"/>
      <c r="M452" s="135"/>
      <c r="N452" s="136"/>
      <c r="O452" s="136"/>
      <c r="P452" s="137"/>
      <c r="Q452" s="135"/>
      <c r="R452" s="136"/>
      <c r="S452" s="136"/>
      <c r="T452" s="137"/>
      <c r="U452" s="135"/>
      <c r="V452" s="136"/>
      <c r="W452" s="138"/>
      <c r="X452" s="136"/>
      <c r="Y452" s="137"/>
      <c r="Z452" s="135"/>
      <c r="AA452" s="136"/>
      <c r="AB452" s="138"/>
      <c r="AC452" s="136"/>
      <c r="AD452" s="138"/>
      <c r="AE452" s="139">
        <f t="shared" si="27"/>
        <v>4</v>
      </c>
    </row>
    <row r="453" ht="15.75" customHeight="1" spans="1:31">
      <c r="A453" s="125">
        <v>503</v>
      </c>
      <c r="B453" s="126"/>
      <c r="C453" s="126" t="s">
        <v>3</v>
      </c>
      <c r="D453" s="126" t="s">
        <v>1201</v>
      </c>
      <c r="E453" s="128" t="b">
        <v>1</v>
      </c>
      <c r="F453" s="129" t="b">
        <v>0</v>
      </c>
      <c r="G453" s="129" t="b">
        <v>1</v>
      </c>
      <c r="H453" s="130" t="b">
        <v>1</v>
      </c>
      <c r="I453" s="128"/>
      <c r="J453" s="129"/>
      <c r="K453" s="129"/>
      <c r="L453" s="130"/>
      <c r="M453" s="128"/>
      <c r="N453" s="129"/>
      <c r="O453" s="129"/>
      <c r="P453" s="130"/>
      <c r="Q453" s="128"/>
      <c r="R453" s="129"/>
      <c r="S453" s="129"/>
      <c r="T453" s="130"/>
      <c r="U453" s="128"/>
      <c r="V453" s="129"/>
      <c r="W453" s="131"/>
      <c r="X453" s="129"/>
      <c r="Y453" s="130"/>
      <c r="Z453" s="128"/>
      <c r="AA453" s="129"/>
      <c r="AB453" s="131"/>
      <c r="AC453" s="129"/>
      <c r="AD453" s="131"/>
      <c r="AE453" s="132">
        <f t="shared" si="27"/>
        <v>3</v>
      </c>
    </row>
    <row r="454" ht="15.75" customHeight="1" spans="1:31">
      <c r="A454" s="133">
        <v>504</v>
      </c>
      <c r="B454" s="134"/>
      <c r="C454" s="134" t="s">
        <v>2</v>
      </c>
      <c r="D454" s="134" t="s">
        <v>2023</v>
      </c>
      <c r="E454" s="135" t="b">
        <v>1</v>
      </c>
      <c r="F454" s="136" t="b">
        <v>0</v>
      </c>
      <c r="G454" s="136" t="b">
        <v>1</v>
      </c>
      <c r="H454" s="137" t="b">
        <v>1</v>
      </c>
      <c r="I454" s="135"/>
      <c r="J454" s="136"/>
      <c r="K454" s="136"/>
      <c r="L454" s="137"/>
      <c r="M454" s="135"/>
      <c r="N454" s="136"/>
      <c r="O454" s="136"/>
      <c r="P454" s="137"/>
      <c r="Q454" s="135"/>
      <c r="R454" s="136"/>
      <c r="S454" s="136"/>
      <c r="T454" s="137"/>
      <c r="U454" s="135"/>
      <c r="V454" s="136"/>
      <c r="W454" s="138"/>
      <c r="X454" s="136"/>
      <c r="Y454" s="137"/>
      <c r="Z454" s="135"/>
      <c r="AA454" s="136"/>
      <c r="AB454" s="138"/>
      <c r="AC454" s="136"/>
      <c r="AD454" s="138"/>
      <c r="AE454" s="139">
        <f t="shared" si="27"/>
        <v>3</v>
      </c>
    </row>
    <row r="455" ht="15.75" customHeight="1" spans="1:31">
      <c r="A455" s="125">
        <v>505</v>
      </c>
      <c r="B455" s="126"/>
      <c r="C455" s="126" t="s">
        <v>3411</v>
      </c>
      <c r="D455" s="126" t="s">
        <v>3825</v>
      </c>
      <c r="E455" s="128" t="b">
        <v>0</v>
      </c>
      <c r="F455" s="129" t="b">
        <v>0</v>
      </c>
      <c r="G455" s="129" t="b">
        <v>0</v>
      </c>
      <c r="H455" s="130" t="b">
        <v>0</v>
      </c>
      <c r="I455" s="128"/>
      <c r="J455" s="129"/>
      <c r="K455" s="129"/>
      <c r="L455" s="130"/>
      <c r="M455" s="128"/>
      <c r="N455" s="129"/>
      <c r="O455" s="129"/>
      <c r="P455" s="130"/>
      <c r="Q455" s="128"/>
      <c r="R455" s="129"/>
      <c r="S455" s="129"/>
      <c r="T455" s="130"/>
      <c r="U455" s="128"/>
      <c r="V455" s="129"/>
      <c r="W455" s="131"/>
      <c r="X455" s="129"/>
      <c r="Y455" s="130"/>
      <c r="Z455" s="128"/>
      <c r="AA455" s="129"/>
      <c r="AB455" s="131"/>
      <c r="AC455" s="129"/>
      <c r="AD455" s="131"/>
      <c r="AE455" s="132">
        <f t="shared" si="27"/>
        <v>0</v>
      </c>
    </row>
    <row r="456" ht="15.75" customHeight="1" spans="1:31">
      <c r="A456" s="133">
        <v>506</v>
      </c>
      <c r="B456" s="134"/>
      <c r="C456" s="134" t="s">
        <v>3411</v>
      </c>
      <c r="D456" s="134" t="s">
        <v>3826</v>
      </c>
      <c r="E456" s="135" t="b">
        <v>0</v>
      </c>
      <c r="F456" s="136" t="b">
        <v>1</v>
      </c>
      <c r="G456" s="136" t="b">
        <v>1</v>
      </c>
      <c r="H456" s="137" t="b">
        <v>1</v>
      </c>
      <c r="I456" s="135"/>
      <c r="J456" s="136"/>
      <c r="K456" s="136"/>
      <c r="L456" s="137"/>
      <c r="M456" s="135"/>
      <c r="N456" s="136"/>
      <c r="O456" s="136"/>
      <c r="P456" s="137"/>
      <c r="Q456" s="135"/>
      <c r="R456" s="136"/>
      <c r="S456" s="136"/>
      <c r="T456" s="137"/>
      <c r="U456" s="135"/>
      <c r="V456" s="136"/>
      <c r="W456" s="138"/>
      <c r="X456" s="136"/>
      <c r="Y456" s="137"/>
      <c r="Z456" s="135"/>
      <c r="AA456" s="136"/>
      <c r="AB456" s="138"/>
      <c r="AC456" s="136"/>
      <c r="AD456" s="138"/>
      <c r="AE456" s="139">
        <f t="shared" si="27"/>
        <v>3</v>
      </c>
    </row>
    <row r="457" ht="15.75" customHeight="1" spans="1:31">
      <c r="A457" s="125">
        <v>507</v>
      </c>
      <c r="C457" s="127" t="s">
        <v>3413</v>
      </c>
      <c r="D457" s="127" t="s">
        <v>3827</v>
      </c>
      <c r="E457" s="153" t="b">
        <v>1</v>
      </c>
      <c r="F457" s="147" t="b">
        <v>1</v>
      </c>
      <c r="G457" s="147" t="b">
        <v>1</v>
      </c>
      <c r="H457" s="151" t="b">
        <v>1</v>
      </c>
      <c r="I457" s="145"/>
      <c r="J457" s="146"/>
      <c r="K457" s="146"/>
      <c r="L457" s="148"/>
      <c r="M457" s="145"/>
      <c r="N457" s="146"/>
      <c r="O457" s="146"/>
      <c r="P457" s="148"/>
      <c r="Q457" s="145"/>
      <c r="R457" s="146"/>
      <c r="S457" s="146"/>
      <c r="T457" s="148"/>
      <c r="U457" s="145"/>
      <c r="V457" s="146"/>
      <c r="X457" s="146"/>
      <c r="Y457" s="148"/>
      <c r="Z457" s="145"/>
      <c r="AA457" s="146"/>
      <c r="AC457" s="146"/>
    </row>
    <row r="458" ht="15.75" customHeight="1" spans="1:31">
      <c r="A458" s="133">
        <v>508</v>
      </c>
      <c r="B458" s="134"/>
      <c r="C458" s="134"/>
      <c r="D458" s="134" t="s">
        <v>3828</v>
      </c>
      <c r="E458" s="135" t="b">
        <v>1</v>
      </c>
      <c r="F458" s="136" t="b">
        <v>0</v>
      </c>
      <c r="G458" s="136" t="b">
        <v>1</v>
      </c>
      <c r="H458" s="137" t="b">
        <v>0</v>
      </c>
      <c r="I458" s="135"/>
      <c r="J458" s="136"/>
      <c r="K458" s="136"/>
      <c r="L458" s="137"/>
      <c r="M458" s="135"/>
      <c r="N458" s="136"/>
      <c r="O458" s="136"/>
      <c r="P458" s="137"/>
      <c r="Q458" s="135"/>
      <c r="R458" s="136"/>
      <c r="S458" s="136"/>
      <c r="T458" s="137"/>
      <c r="U458" s="135"/>
      <c r="V458" s="136"/>
      <c r="W458" s="138"/>
      <c r="X458" s="136"/>
      <c r="Y458" s="137"/>
      <c r="Z458" s="135"/>
      <c r="AA458" s="136"/>
      <c r="AB458" s="138"/>
      <c r="AC458" s="136"/>
      <c r="AD458" s="138"/>
      <c r="AE458" s="139">
        <f t="shared" ref="AE458:AE462" si="28">COUNTIF(E458:AD458,"TRUE")</f>
        <v>2</v>
      </c>
    </row>
    <row r="459" ht="15.75" customHeight="1" spans="1:31">
      <c r="A459" s="125">
        <v>509</v>
      </c>
      <c r="B459" s="126"/>
      <c r="C459" s="126" t="s">
        <v>2</v>
      </c>
      <c r="D459" s="126" t="s">
        <v>2839</v>
      </c>
      <c r="E459" s="128" t="b">
        <v>0</v>
      </c>
      <c r="F459" s="129" t="b">
        <v>0</v>
      </c>
      <c r="G459" s="129" t="b">
        <v>1</v>
      </c>
      <c r="H459" s="130"/>
      <c r="I459" s="128"/>
      <c r="J459" s="129"/>
      <c r="K459" s="129"/>
      <c r="L459" s="130"/>
      <c r="M459" s="128"/>
      <c r="N459" s="129"/>
      <c r="O459" s="129"/>
      <c r="P459" s="130"/>
      <c r="Q459" s="128"/>
      <c r="R459" s="129"/>
      <c r="S459" s="129"/>
      <c r="T459" s="130"/>
      <c r="U459" s="128"/>
      <c r="V459" s="129"/>
      <c r="W459" s="131"/>
      <c r="X459" s="129"/>
      <c r="Y459" s="130"/>
      <c r="Z459" s="128"/>
      <c r="AA459" s="129"/>
      <c r="AB459" s="131"/>
      <c r="AC459" s="129"/>
      <c r="AD459" s="131"/>
      <c r="AE459" s="132">
        <f t="shared" si="28"/>
        <v>1</v>
      </c>
    </row>
    <row r="460" ht="15.75" customHeight="1" spans="1:31">
      <c r="A460" s="133">
        <v>510</v>
      </c>
      <c r="B460" s="134"/>
      <c r="C460" s="134"/>
      <c r="D460" s="140" t="s">
        <v>3829</v>
      </c>
      <c r="E460" s="135" t="b">
        <v>1</v>
      </c>
      <c r="F460" s="136" t="b">
        <v>0</v>
      </c>
      <c r="G460" s="136" t="b">
        <v>0</v>
      </c>
      <c r="H460" s="137" t="b">
        <v>0</v>
      </c>
      <c r="I460" s="135"/>
      <c r="J460" s="136"/>
      <c r="K460" s="136"/>
      <c r="L460" s="137"/>
      <c r="M460" s="135"/>
      <c r="N460" s="136"/>
      <c r="O460" s="136"/>
      <c r="P460" s="137"/>
      <c r="Q460" s="135"/>
      <c r="R460" s="136"/>
      <c r="S460" s="136"/>
      <c r="T460" s="137"/>
      <c r="U460" s="135"/>
      <c r="V460" s="136"/>
      <c r="W460" s="138"/>
      <c r="X460" s="136"/>
      <c r="Y460" s="137"/>
      <c r="Z460" s="135"/>
      <c r="AA460" s="136"/>
      <c r="AB460" s="138"/>
      <c r="AC460" s="136"/>
      <c r="AD460" s="138"/>
      <c r="AE460" s="139">
        <f t="shared" si="28"/>
        <v>1</v>
      </c>
    </row>
    <row r="461" ht="15.75" customHeight="1" spans="1:31">
      <c r="A461" s="125">
        <v>511</v>
      </c>
      <c r="B461" s="126"/>
      <c r="C461" s="126" t="s">
        <v>3411</v>
      </c>
      <c r="D461" s="126" t="s">
        <v>3830</v>
      </c>
      <c r="E461" s="128" t="b">
        <v>0</v>
      </c>
      <c r="F461" s="129" t="b">
        <v>0</v>
      </c>
      <c r="G461" s="129" t="b">
        <v>0</v>
      </c>
      <c r="H461" s="130" t="b">
        <v>0</v>
      </c>
      <c r="I461" s="128"/>
      <c r="J461" s="129"/>
      <c r="K461" s="129"/>
      <c r="L461" s="130"/>
      <c r="M461" s="128"/>
      <c r="N461" s="129"/>
      <c r="O461" s="129"/>
      <c r="P461" s="130"/>
      <c r="Q461" s="128"/>
      <c r="R461" s="129"/>
      <c r="S461" s="129"/>
      <c r="T461" s="130"/>
      <c r="U461" s="128"/>
      <c r="V461" s="129"/>
      <c r="W461" s="131"/>
      <c r="X461" s="129"/>
      <c r="Y461" s="130"/>
      <c r="Z461" s="128"/>
      <c r="AA461" s="129"/>
      <c r="AB461" s="131"/>
      <c r="AC461" s="129"/>
      <c r="AD461" s="131"/>
      <c r="AE461" s="132">
        <f t="shared" si="28"/>
        <v>0</v>
      </c>
    </row>
    <row r="462" ht="15.75" customHeight="1" spans="1:31">
      <c r="A462" s="133">
        <v>512</v>
      </c>
      <c r="B462" s="134"/>
      <c r="C462" s="134" t="s">
        <v>2</v>
      </c>
      <c r="D462" s="134" t="s">
        <v>3831</v>
      </c>
      <c r="E462" s="138" t="b">
        <v>0</v>
      </c>
      <c r="F462" s="138" t="b">
        <v>0</v>
      </c>
      <c r="G462" s="138" t="b">
        <v>0</v>
      </c>
      <c r="H462" s="138" t="b">
        <v>0</v>
      </c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  <c r="AD462" s="138"/>
      <c r="AE462" s="139">
        <f t="shared" si="28"/>
        <v>0</v>
      </c>
    </row>
    <row r="463" ht="15.75" customHeight="1" spans="1:31">
      <c r="A463" s="125">
        <v>513</v>
      </c>
      <c r="C463" s="127" t="s">
        <v>3413</v>
      </c>
      <c r="D463" s="127" t="s">
        <v>3832</v>
      </c>
      <c r="E463" s="153" t="b">
        <v>1</v>
      </c>
      <c r="F463" s="146" t="b">
        <v>0</v>
      </c>
      <c r="G463" s="146" t="b">
        <v>0</v>
      </c>
      <c r="H463" s="148" t="b">
        <v>0</v>
      </c>
      <c r="I463" s="145"/>
      <c r="J463" s="146"/>
      <c r="K463" s="146"/>
      <c r="L463" s="148"/>
      <c r="M463" s="145"/>
      <c r="N463" s="146"/>
      <c r="O463" s="146"/>
      <c r="P463" s="148"/>
      <c r="Q463" s="145"/>
      <c r="R463" s="146"/>
      <c r="S463" s="146"/>
      <c r="T463" s="148"/>
      <c r="U463" s="145"/>
      <c r="V463" s="146"/>
      <c r="X463" s="146"/>
      <c r="Y463" s="148"/>
      <c r="Z463" s="145"/>
      <c r="AA463" s="146"/>
      <c r="AC463" s="146"/>
    </row>
    <row r="464" ht="15.75" customHeight="1" spans="1:31">
      <c r="A464" s="133">
        <v>514</v>
      </c>
      <c r="B464" s="134"/>
      <c r="C464" s="134" t="s">
        <v>2</v>
      </c>
      <c r="D464" s="134" t="s">
        <v>3833</v>
      </c>
      <c r="E464" s="135" t="b">
        <v>1</v>
      </c>
      <c r="F464" s="136" t="b">
        <v>0</v>
      </c>
      <c r="G464" s="136" t="b">
        <v>0</v>
      </c>
      <c r="H464" s="137" t="b">
        <v>0</v>
      </c>
      <c r="I464" s="135"/>
      <c r="J464" s="136"/>
      <c r="K464" s="136"/>
      <c r="L464" s="137"/>
      <c r="M464" s="135"/>
      <c r="N464" s="136"/>
      <c r="O464" s="136"/>
      <c r="P464" s="137"/>
      <c r="Q464" s="135"/>
      <c r="R464" s="136"/>
      <c r="S464" s="136"/>
      <c r="T464" s="137"/>
      <c r="U464" s="135"/>
      <c r="V464" s="136"/>
      <c r="W464" s="138"/>
      <c r="X464" s="136"/>
      <c r="Y464" s="137"/>
      <c r="Z464" s="135"/>
      <c r="AA464" s="136"/>
      <c r="AB464" s="138"/>
      <c r="AC464" s="136"/>
      <c r="AD464" s="138"/>
      <c r="AE464" s="139">
        <f>COUNTIF(E464:AD464,"TRUE")</f>
        <v>1</v>
      </c>
    </row>
    <row r="465" ht="15.75" customHeight="1" spans="1:31">
      <c r="A465" s="125">
        <v>515</v>
      </c>
      <c r="C465" s="127" t="s">
        <v>3413</v>
      </c>
      <c r="D465" s="127" t="s">
        <v>3834</v>
      </c>
      <c r="E465" s="153" t="b">
        <v>1</v>
      </c>
      <c r="F465" s="146" t="b">
        <v>0</v>
      </c>
      <c r="G465" s="146" t="b">
        <v>0</v>
      </c>
      <c r="H465" s="148" t="b">
        <v>0</v>
      </c>
      <c r="I465" s="145"/>
      <c r="J465" s="146"/>
      <c r="K465" s="146"/>
      <c r="L465" s="148"/>
      <c r="M465" s="145"/>
      <c r="N465" s="146"/>
      <c r="O465" s="146"/>
      <c r="P465" s="148"/>
      <c r="Q465" s="145"/>
      <c r="R465" s="146"/>
      <c r="S465" s="146"/>
      <c r="T465" s="148"/>
      <c r="U465" s="145"/>
      <c r="V465" s="146"/>
      <c r="X465" s="146"/>
      <c r="Y465" s="148"/>
      <c r="Z465" s="145"/>
      <c r="AA465" s="146"/>
      <c r="AC465" s="146"/>
    </row>
    <row r="466" ht="15.75" customHeight="1" spans="1:31">
      <c r="A466" s="133">
        <v>516</v>
      </c>
      <c r="B466" s="134"/>
      <c r="C466" s="134" t="s">
        <v>2</v>
      </c>
      <c r="D466" s="134" t="s">
        <v>3835</v>
      </c>
      <c r="E466" s="135" t="b">
        <v>1</v>
      </c>
      <c r="F466" s="136" t="b">
        <v>1</v>
      </c>
      <c r="G466" s="136" t="b">
        <v>1</v>
      </c>
      <c r="H466" s="137" t="b">
        <v>1</v>
      </c>
      <c r="I466" s="135"/>
      <c r="J466" s="136"/>
      <c r="K466" s="136"/>
      <c r="L466" s="137"/>
      <c r="M466" s="135"/>
      <c r="N466" s="136"/>
      <c r="O466" s="136"/>
      <c r="P466" s="137"/>
      <c r="Q466" s="135"/>
      <c r="R466" s="136"/>
      <c r="S466" s="136"/>
      <c r="T466" s="137"/>
      <c r="U466" s="135"/>
      <c r="V466" s="136"/>
      <c r="W466" s="138"/>
      <c r="X466" s="136"/>
      <c r="Y466" s="137"/>
      <c r="Z466" s="135"/>
      <c r="AA466" s="136"/>
      <c r="AB466" s="138"/>
      <c r="AC466" s="136"/>
      <c r="AD466" s="138"/>
      <c r="AE466" s="139">
        <f t="shared" ref="AE466:AE480" si="29">COUNTIF(E466:AD466,"TRUE")</f>
        <v>4</v>
      </c>
    </row>
    <row r="467" ht="15.75" customHeight="1" spans="1:31">
      <c r="A467" s="125">
        <v>517</v>
      </c>
      <c r="B467" s="126"/>
      <c r="C467" s="126" t="s">
        <v>3411</v>
      </c>
      <c r="D467" s="126" t="s">
        <v>3836</v>
      </c>
      <c r="E467" s="128" t="b">
        <v>1</v>
      </c>
      <c r="F467" s="129" t="b">
        <v>1</v>
      </c>
      <c r="G467" s="129" t="b">
        <v>1</v>
      </c>
      <c r="H467" s="130" t="b">
        <v>1</v>
      </c>
      <c r="I467" s="128"/>
      <c r="J467" s="129"/>
      <c r="K467" s="129"/>
      <c r="L467" s="130"/>
      <c r="M467" s="128"/>
      <c r="N467" s="129"/>
      <c r="O467" s="129"/>
      <c r="P467" s="130"/>
      <c r="Q467" s="128"/>
      <c r="R467" s="129"/>
      <c r="S467" s="129"/>
      <c r="T467" s="130"/>
      <c r="U467" s="128"/>
      <c r="V467" s="129"/>
      <c r="W467" s="131"/>
      <c r="X467" s="129"/>
      <c r="Y467" s="130"/>
      <c r="Z467" s="128"/>
      <c r="AA467" s="129"/>
      <c r="AB467" s="131"/>
      <c r="AC467" s="129"/>
      <c r="AD467" s="131"/>
      <c r="AE467" s="132">
        <f t="shared" si="29"/>
        <v>4</v>
      </c>
    </row>
    <row r="468" ht="15.75" customHeight="1" spans="1:31">
      <c r="A468" s="133">
        <v>518</v>
      </c>
      <c r="B468" s="134"/>
      <c r="C468" s="134"/>
      <c r="D468" s="134" t="s">
        <v>3837</v>
      </c>
      <c r="E468" s="135" t="b">
        <v>0</v>
      </c>
      <c r="F468" s="136" t="b">
        <v>1</v>
      </c>
      <c r="G468" s="136" t="b">
        <v>0</v>
      </c>
      <c r="H468" s="137" t="b">
        <v>0</v>
      </c>
      <c r="I468" s="135"/>
      <c r="J468" s="136"/>
      <c r="K468" s="136"/>
      <c r="L468" s="137"/>
      <c r="M468" s="135"/>
      <c r="N468" s="136"/>
      <c r="O468" s="136"/>
      <c r="P468" s="137"/>
      <c r="Q468" s="135"/>
      <c r="R468" s="136"/>
      <c r="S468" s="136"/>
      <c r="T468" s="137"/>
      <c r="U468" s="135"/>
      <c r="V468" s="136"/>
      <c r="W468" s="138"/>
      <c r="X468" s="136"/>
      <c r="Y468" s="137"/>
      <c r="Z468" s="135"/>
      <c r="AA468" s="136"/>
      <c r="AB468" s="138"/>
      <c r="AC468" s="136"/>
      <c r="AD468" s="138"/>
      <c r="AE468" s="139">
        <f t="shared" si="29"/>
        <v>1</v>
      </c>
    </row>
    <row r="469" ht="15.75" customHeight="1" spans="1:31">
      <c r="A469" s="125">
        <v>519</v>
      </c>
      <c r="B469" s="126"/>
      <c r="C469" s="126" t="s">
        <v>2</v>
      </c>
      <c r="D469" s="126" t="s">
        <v>3838</v>
      </c>
      <c r="E469" s="128" t="b">
        <v>0</v>
      </c>
      <c r="F469" s="129" t="b">
        <v>1</v>
      </c>
      <c r="G469" s="129" t="b">
        <v>1</v>
      </c>
      <c r="H469" s="130" t="b">
        <v>1</v>
      </c>
      <c r="I469" s="128"/>
      <c r="J469" s="129"/>
      <c r="K469" s="129"/>
      <c r="L469" s="130"/>
      <c r="M469" s="128"/>
      <c r="N469" s="129"/>
      <c r="O469" s="129"/>
      <c r="P469" s="130"/>
      <c r="Q469" s="128"/>
      <c r="R469" s="129"/>
      <c r="S469" s="129"/>
      <c r="T469" s="130"/>
      <c r="U469" s="128"/>
      <c r="V469" s="129"/>
      <c r="W469" s="131"/>
      <c r="X469" s="129"/>
      <c r="Y469" s="130"/>
      <c r="Z469" s="128"/>
      <c r="AA469" s="129"/>
      <c r="AB469" s="131"/>
      <c r="AC469" s="129"/>
      <c r="AD469" s="131"/>
      <c r="AE469" s="132">
        <f t="shared" si="29"/>
        <v>3</v>
      </c>
    </row>
    <row r="470" ht="15.75" customHeight="1" spans="1:31">
      <c r="A470" s="133">
        <v>520</v>
      </c>
      <c r="B470" s="134"/>
      <c r="C470" s="134"/>
      <c r="D470" s="140" t="s">
        <v>3839</v>
      </c>
      <c r="E470" s="135" t="b">
        <v>1</v>
      </c>
      <c r="F470" s="136" t="b">
        <v>1</v>
      </c>
      <c r="G470" s="136" t="b">
        <v>1</v>
      </c>
      <c r="H470" s="137" t="b">
        <v>1</v>
      </c>
      <c r="I470" s="135"/>
      <c r="J470" s="136"/>
      <c r="K470" s="136"/>
      <c r="L470" s="137"/>
      <c r="M470" s="135"/>
      <c r="N470" s="136"/>
      <c r="O470" s="136"/>
      <c r="P470" s="137"/>
      <c r="Q470" s="135"/>
      <c r="R470" s="136"/>
      <c r="S470" s="136"/>
      <c r="T470" s="137"/>
      <c r="U470" s="135"/>
      <c r="V470" s="136"/>
      <c r="W470" s="138"/>
      <c r="X470" s="136"/>
      <c r="Y470" s="137"/>
      <c r="Z470" s="135"/>
      <c r="AA470" s="136"/>
      <c r="AB470" s="138"/>
      <c r="AC470" s="136"/>
      <c r="AD470" s="138"/>
      <c r="AE470" s="139">
        <f t="shared" si="29"/>
        <v>4</v>
      </c>
    </row>
    <row r="471" ht="15.75" customHeight="1" spans="1:31">
      <c r="A471" s="125">
        <v>521</v>
      </c>
      <c r="B471" s="126"/>
      <c r="C471" s="126" t="s">
        <v>3</v>
      </c>
      <c r="D471" s="126" t="s">
        <v>1253</v>
      </c>
      <c r="E471" s="128" t="b">
        <v>0</v>
      </c>
      <c r="F471" s="129" t="b">
        <v>0</v>
      </c>
      <c r="G471" s="129" t="b">
        <v>1</v>
      </c>
      <c r="H471" s="130" t="b">
        <v>0</v>
      </c>
      <c r="I471" s="128"/>
      <c r="J471" s="129"/>
      <c r="K471" s="129"/>
      <c r="L471" s="130"/>
      <c r="M471" s="128"/>
      <c r="N471" s="129"/>
      <c r="O471" s="129"/>
      <c r="P471" s="130"/>
      <c r="Q471" s="128"/>
      <c r="R471" s="129"/>
      <c r="S471" s="129"/>
      <c r="T471" s="130"/>
      <c r="U471" s="128"/>
      <c r="V471" s="129"/>
      <c r="W471" s="131"/>
      <c r="X471" s="129"/>
      <c r="Y471" s="130"/>
      <c r="Z471" s="128"/>
      <c r="AA471" s="129"/>
      <c r="AB471" s="131"/>
      <c r="AC471" s="129"/>
      <c r="AD471" s="131"/>
      <c r="AE471" s="132">
        <f t="shared" si="29"/>
        <v>1</v>
      </c>
    </row>
    <row r="472" ht="15.75" customHeight="1" spans="1:31">
      <c r="A472" s="133">
        <v>523</v>
      </c>
      <c r="B472" s="134"/>
      <c r="C472" s="134" t="s">
        <v>3411</v>
      </c>
      <c r="D472" s="134" t="s">
        <v>3840</v>
      </c>
      <c r="E472" s="135" t="b">
        <v>1</v>
      </c>
      <c r="F472" s="136" t="b">
        <v>1</v>
      </c>
      <c r="G472" s="136" t="b">
        <v>1</v>
      </c>
      <c r="H472" s="137" t="b">
        <v>1</v>
      </c>
      <c r="I472" s="135"/>
      <c r="J472" s="136"/>
      <c r="K472" s="136"/>
      <c r="L472" s="137"/>
      <c r="M472" s="135"/>
      <c r="N472" s="136"/>
      <c r="O472" s="136"/>
      <c r="P472" s="137"/>
      <c r="Q472" s="135"/>
      <c r="R472" s="136"/>
      <c r="S472" s="136"/>
      <c r="T472" s="137"/>
      <c r="U472" s="135"/>
      <c r="V472" s="136"/>
      <c r="W472" s="138"/>
      <c r="X472" s="136"/>
      <c r="Y472" s="137"/>
      <c r="Z472" s="135"/>
      <c r="AA472" s="136"/>
      <c r="AB472" s="138"/>
      <c r="AC472" s="136"/>
      <c r="AD472" s="138"/>
      <c r="AE472" s="139">
        <f t="shared" si="29"/>
        <v>4</v>
      </c>
    </row>
    <row r="473" ht="15.75" customHeight="1" spans="1:31">
      <c r="A473" s="125">
        <v>524</v>
      </c>
      <c r="B473" s="126"/>
      <c r="C473" s="126" t="s">
        <v>2</v>
      </c>
      <c r="D473" s="126" t="s">
        <v>192</v>
      </c>
      <c r="E473" s="128" t="b">
        <v>1</v>
      </c>
      <c r="F473" s="129" t="b">
        <v>1</v>
      </c>
      <c r="G473" s="129" t="b">
        <v>1</v>
      </c>
      <c r="H473" s="130" t="b">
        <v>1</v>
      </c>
      <c r="I473" s="128"/>
      <c r="J473" s="129"/>
      <c r="K473" s="129"/>
      <c r="L473" s="130"/>
      <c r="M473" s="128"/>
      <c r="N473" s="129"/>
      <c r="O473" s="129"/>
      <c r="P473" s="130"/>
      <c r="Q473" s="128"/>
      <c r="R473" s="129"/>
      <c r="S473" s="129"/>
      <c r="T473" s="130"/>
      <c r="U473" s="128"/>
      <c r="V473" s="129"/>
      <c r="W473" s="131"/>
      <c r="X473" s="129"/>
      <c r="Y473" s="130"/>
      <c r="Z473" s="128"/>
      <c r="AA473" s="129"/>
      <c r="AB473" s="131"/>
      <c r="AC473" s="129"/>
      <c r="AD473" s="131"/>
      <c r="AE473" s="132">
        <f t="shared" si="29"/>
        <v>4</v>
      </c>
    </row>
    <row r="474" ht="15.75" customHeight="1" spans="1:31">
      <c r="A474" s="133">
        <v>526</v>
      </c>
      <c r="B474" s="134"/>
      <c r="C474" s="134" t="s">
        <v>3411</v>
      </c>
      <c r="D474" s="134" t="s">
        <v>3841</v>
      </c>
      <c r="E474" s="135" t="b">
        <v>1</v>
      </c>
      <c r="F474" s="136" t="b">
        <v>1</v>
      </c>
      <c r="G474" s="136" t="b">
        <v>1</v>
      </c>
      <c r="H474" s="137" t="b">
        <v>1</v>
      </c>
      <c r="I474" s="135"/>
      <c r="J474" s="136"/>
      <c r="K474" s="136"/>
      <c r="L474" s="137"/>
      <c r="M474" s="135"/>
      <c r="N474" s="136"/>
      <c r="O474" s="136"/>
      <c r="P474" s="137"/>
      <c r="Q474" s="135"/>
      <c r="R474" s="136"/>
      <c r="S474" s="136"/>
      <c r="T474" s="137"/>
      <c r="U474" s="135"/>
      <c r="V474" s="136"/>
      <c r="W474" s="138"/>
      <c r="X474" s="136"/>
      <c r="Y474" s="137"/>
      <c r="Z474" s="135"/>
      <c r="AA474" s="136"/>
      <c r="AB474" s="138"/>
      <c r="AC474" s="136"/>
      <c r="AD474" s="138"/>
      <c r="AE474" s="139">
        <f t="shared" si="29"/>
        <v>4</v>
      </c>
    </row>
    <row r="475" ht="15.75" customHeight="1" spans="1:31">
      <c r="A475" s="125">
        <v>527</v>
      </c>
      <c r="B475" s="126"/>
      <c r="C475" s="126" t="s">
        <v>2</v>
      </c>
      <c r="D475" s="126" t="s">
        <v>3842</v>
      </c>
      <c r="E475" s="128" t="b">
        <v>1</v>
      </c>
      <c r="F475" s="129" t="b">
        <v>0</v>
      </c>
      <c r="G475" s="129" t="b">
        <v>1</v>
      </c>
      <c r="H475" s="130" t="b">
        <v>0</v>
      </c>
      <c r="I475" s="128"/>
      <c r="J475" s="129"/>
      <c r="K475" s="129"/>
      <c r="L475" s="130"/>
      <c r="M475" s="128"/>
      <c r="N475" s="129"/>
      <c r="O475" s="129"/>
      <c r="P475" s="130"/>
      <c r="Q475" s="128"/>
      <c r="R475" s="129"/>
      <c r="S475" s="129"/>
      <c r="T475" s="130"/>
      <c r="U475" s="128"/>
      <c r="V475" s="129"/>
      <c r="W475" s="131"/>
      <c r="X475" s="129"/>
      <c r="Y475" s="130"/>
      <c r="Z475" s="128"/>
      <c r="AA475" s="129"/>
      <c r="AB475" s="131"/>
      <c r="AC475" s="129"/>
      <c r="AD475" s="131"/>
      <c r="AE475" s="132">
        <f t="shared" si="29"/>
        <v>2</v>
      </c>
    </row>
    <row r="476" ht="15.75" customHeight="1" spans="1:31">
      <c r="A476" s="133">
        <v>528</v>
      </c>
      <c r="B476" s="140" t="s">
        <v>3434</v>
      </c>
      <c r="C476" s="134"/>
      <c r="D476" s="152" t="s">
        <v>3843</v>
      </c>
      <c r="E476" s="135" t="b">
        <v>0</v>
      </c>
      <c r="F476" s="136" t="b">
        <v>0</v>
      </c>
      <c r="G476" s="136" t="b">
        <v>1</v>
      </c>
      <c r="H476" s="137" t="b">
        <v>1</v>
      </c>
      <c r="I476" s="135"/>
      <c r="J476" s="136"/>
      <c r="K476" s="136"/>
      <c r="L476" s="137"/>
      <c r="M476" s="135"/>
      <c r="N476" s="136"/>
      <c r="O476" s="136"/>
      <c r="P476" s="137"/>
      <c r="Q476" s="135"/>
      <c r="R476" s="136"/>
      <c r="S476" s="136"/>
      <c r="T476" s="137"/>
      <c r="U476" s="135"/>
      <c r="V476" s="136"/>
      <c r="W476" s="138"/>
      <c r="X476" s="136"/>
      <c r="Y476" s="137"/>
      <c r="Z476" s="135"/>
      <c r="AA476" s="136"/>
      <c r="AB476" s="138"/>
      <c r="AC476" s="136"/>
      <c r="AD476" s="138"/>
      <c r="AE476" s="139">
        <f t="shared" si="29"/>
        <v>2</v>
      </c>
    </row>
    <row r="477" ht="15.75" customHeight="1" spans="1:31">
      <c r="A477" s="125">
        <v>529</v>
      </c>
      <c r="B477" s="127" t="s">
        <v>3434</v>
      </c>
      <c r="C477" s="126"/>
      <c r="D477" s="152" t="s">
        <v>3844</v>
      </c>
      <c r="E477" s="128" t="b">
        <v>0</v>
      </c>
      <c r="F477" s="129" t="b">
        <v>0</v>
      </c>
      <c r="G477" s="129" t="b">
        <v>0</v>
      </c>
      <c r="H477" s="130" t="b">
        <v>0</v>
      </c>
      <c r="I477" s="128"/>
      <c r="J477" s="129"/>
      <c r="K477" s="129"/>
      <c r="L477" s="130"/>
      <c r="M477" s="128"/>
      <c r="N477" s="129"/>
      <c r="O477" s="129"/>
      <c r="P477" s="130"/>
      <c r="Q477" s="128"/>
      <c r="R477" s="129"/>
      <c r="S477" s="129"/>
      <c r="T477" s="130"/>
      <c r="U477" s="128"/>
      <c r="V477" s="129"/>
      <c r="W477" s="131"/>
      <c r="X477" s="129"/>
      <c r="Y477" s="130"/>
      <c r="Z477" s="128"/>
      <c r="AA477" s="129"/>
      <c r="AB477" s="131"/>
      <c r="AC477" s="129"/>
      <c r="AD477" s="131"/>
      <c r="AE477" s="132">
        <f t="shared" si="29"/>
        <v>0</v>
      </c>
    </row>
    <row r="478" ht="15.75" customHeight="1" spans="1:31">
      <c r="A478" s="133">
        <v>530</v>
      </c>
      <c r="B478" s="134"/>
      <c r="C478" s="134"/>
      <c r="D478" s="134" t="s">
        <v>3845</v>
      </c>
      <c r="E478" s="135" t="b">
        <v>0</v>
      </c>
      <c r="F478" s="136" t="b">
        <v>1</v>
      </c>
      <c r="G478" s="136" t="b">
        <v>1</v>
      </c>
      <c r="H478" s="137" t="b">
        <v>0</v>
      </c>
      <c r="I478" s="135"/>
      <c r="J478" s="136"/>
      <c r="K478" s="136"/>
      <c r="L478" s="137"/>
      <c r="M478" s="135"/>
      <c r="N478" s="136"/>
      <c r="O478" s="136"/>
      <c r="P478" s="137"/>
      <c r="Q478" s="135"/>
      <c r="R478" s="136"/>
      <c r="S478" s="136"/>
      <c r="T478" s="137"/>
      <c r="U478" s="135"/>
      <c r="V478" s="136"/>
      <c r="W478" s="138"/>
      <c r="X478" s="136"/>
      <c r="Y478" s="137"/>
      <c r="Z478" s="135"/>
      <c r="AA478" s="136"/>
      <c r="AB478" s="138"/>
      <c r="AC478" s="136"/>
      <c r="AD478" s="138"/>
      <c r="AE478" s="139">
        <f t="shared" si="29"/>
        <v>2</v>
      </c>
    </row>
    <row r="479" ht="15.75" customHeight="1" spans="1:31">
      <c r="A479" s="125">
        <v>531</v>
      </c>
      <c r="B479" s="126"/>
      <c r="C479" s="126" t="s">
        <v>3411</v>
      </c>
      <c r="D479" s="126" t="s">
        <v>3846</v>
      </c>
      <c r="E479" s="128" t="b">
        <v>0</v>
      </c>
      <c r="F479" s="129" t="b">
        <v>0</v>
      </c>
      <c r="G479" s="129" t="b">
        <v>0</v>
      </c>
      <c r="H479" s="130" t="b">
        <v>0</v>
      </c>
      <c r="I479" s="128"/>
      <c r="J479" s="129"/>
      <c r="K479" s="129"/>
      <c r="L479" s="130"/>
      <c r="M479" s="128"/>
      <c r="N479" s="129"/>
      <c r="O479" s="129"/>
      <c r="P479" s="130"/>
      <c r="Q479" s="128"/>
      <c r="R479" s="129"/>
      <c r="S479" s="129"/>
      <c r="T479" s="130"/>
      <c r="U479" s="128"/>
      <c r="V479" s="129"/>
      <c r="W479" s="131"/>
      <c r="X479" s="129"/>
      <c r="Y479" s="130"/>
      <c r="Z479" s="128"/>
      <c r="AA479" s="129"/>
      <c r="AB479" s="131"/>
      <c r="AC479" s="129"/>
      <c r="AD479" s="131"/>
      <c r="AE479" s="132">
        <f t="shared" si="29"/>
        <v>0</v>
      </c>
    </row>
    <row r="480" ht="15.75" customHeight="1" spans="1:31">
      <c r="A480" s="133">
        <v>532</v>
      </c>
      <c r="B480" s="134"/>
      <c r="C480" s="134" t="s">
        <v>2</v>
      </c>
      <c r="D480" s="134" t="s">
        <v>3847</v>
      </c>
      <c r="E480" s="135" t="b">
        <v>1</v>
      </c>
      <c r="F480" s="136" t="b">
        <v>0</v>
      </c>
      <c r="G480" s="136" t="b">
        <v>1</v>
      </c>
      <c r="H480" s="137" t="b">
        <v>0</v>
      </c>
      <c r="I480" s="135"/>
      <c r="J480" s="136"/>
      <c r="K480" s="136"/>
      <c r="L480" s="137"/>
      <c r="M480" s="135"/>
      <c r="N480" s="136"/>
      <c r="O480" s="136"/>
      <c r="P480" s="137"/>
      <c r="Q480" s="135"/>
      <c r="R480" s="136"/>
      <c r="S480" s="136"/>
      <c r="T480" s="137"/>
      <c r="U480" s="135"/>
      <c r="V480" s="136"/>
      <c r="W480" s="138"/>
      <c r="X480" s="136"/>
      <c r="Y480" s="137"/>
      <c r="Z480" s="135"/>
      <c r="AA480" s="136"/>
      <c r="AB480" s="138"/>
      <c r="AC480" s="136"/>
      <c r="AD480" s="138"/>
      <c r="AE480" s="139">
        <f t="shared" si="29"/>
        <v>2</v>
      </c>
    </row>
    <row r="481" ht="15.75" customHeight="1" spans="1:31">
      <c r="A481" s="125">
        <v>47</v>
      </c>
      <c r="D481" s="127" t="s">
        <v>3848</v>
      </c>
      <c r="E481" s="145" t="b">
        <v>0</v>
      </c>
      <c r="F481" s="146" t="b">
        <v>0</v>
      </c>
      <c r="G481" s="147" t="b">
        <v>1</v>
      </c>
      <c r="H481" s="148" t="b">
        <v>0</v>
      </c>
      <c r="I481" s="145"/>
      <c r="J481" s="146"/>
      <c r="K481" s="146"/>
      <c r="L481" s="148"/>
      <c r="M481" s="145"/>
      <c r="N481" s="146"/>
      <c r="O481" s="146"/>
      <c r="P481" s="148"/>
      <c r="Q481" s="145"/>
      <c r="R481" s="146"/>
      <c r="S481" s="146"/>
      <c r="T481" s="148"/>
      <c r="U481" s="145"/>
      <c r="V481" s="146"/>
      <c r="X481" s="146"/>
      <c r="Y481" s="148"/>
      <c r="Z481" s="145"/>
      <c r="AA481" s="146"/>
      <c r="AC481" s="146"/>
    </row>
    <row r="482" ht="15.75" customHeight="1" spans="1:31">
      <c r="A482" s="133">
        <v>533</v>
      </c>
      <c r="D482" s="140" t="s">
        <v>3849</v>
      </c>
      <c r="E482" s="144" t="b">
        <v>0</v>
      </c>
      <c r="F482" s="142" t="b">
        <v>0</v>
      </c>
      <c r="G482" s="149" t="b">
        <v>1</v>
      </c>
      <c r="H482" s="143" t="b">
        <v>0</v>
      </c>
      <c r="I482" s="144"/>
      <c r="J482" s="142"/>
      <c r="K482" s="142"/>
      <c r="L482" s="143"/>
      <c r="M482" s="144"/>
      <c r="N482" s="142"/>
      <c r="O482" s="142"/>
      <c r="P482" s="143"/>
      <c r="Q482" s="144"/>
      <c r="R482" s="142"/>
      <c r="S482" s="142"/>
      <c r="T482" s="143"/>
      <c r="U482" s="144"/>
      <c r="V482" s="142"/>
      <c r="X482" s="142"/>
      <c r="Y482" s="143"/>
      <c r="Z482" s="144"/>
      <c r="AA482" s="142"/>
      <c r="AC482" s="142"/>
    </row>
    <row r="483" ht="15.75" customHeight="1" spans="1:31">
      <c r="A483" s="125">
        <v>534</v>
      </c>
      <c r="B483" s="127" t="s">
        <v>3434</v>
      </c>
      <c r="C483" s="126"/>
      <c r="D483" s="152" t="s">
        <v>3850</v>
      </c>
      <c r="E483" s="128" t="b">
        <v>0</v>
      </c>
      <c r="F483" s="129" t="b">
        <v>0</v>
      </c>
      <c r="G483" s="129" t="b">
        <v>1</v>
      </c>
      <c r="H483" s="130" t="b">
        <v>1</v>
      </c>
      <c r="I483" s="128"/>
      <c r="J483" s="129"/>
      <c r="K483" s="129"/>
      <c r="L483" s="130"/>
      <c r="M483" s="128"/>
      <c r="N483" s="129"/>
      <c r="O483" s="129"/>
      <c r="P483" s="130"/>
      <c r="Q483" s="128"/>
      <c r="R483" s="129"/>
      <c r="S483" s="129"/>
      <c r="T483" s="130"/>
      <c r="U483" s="128"/>
      <c r="V483" s="129"/>
      <c r="W483" s="131"/>
      <c r="X483" s="129"/>
      <c r="Y483" s="130"/>
      <c r="Z483" s="128"/>
      <c r="AA483" s="129"/>
      <c r="AB483" s="131"/>
      <c r="AC483" s="129"/>
      <c r="AD483" s="131"/>
      <c r="AE483" s="132">
        <f t="shared" ref="AE483:AE490" si="30">COUNTIF(E483:AD483,"TRUE")</f>
        <v>2</v>
      </c>
    </row>
    <row r="484" ht="15.75" customHeight="1" spans="1:31">
      <c r="A484" s="133">
        <v>535</v>
      </c>
      <c r="B484" s="134"/>
      <c r="C484" s="134" t="s">
        <v>2</v>
      </c>
      <c r="D484" s="134" t="s">
        <v>3851</v>
      </c>
      <c r="E484" s="135" t="b">
        <v>0</v>
      </c>
      <c r="F484" s="136" t="b">
        <v>0</v>
      </c>
      <c r="G484" s="136" t="b">
        <v>0</v>
      </c>
      <c r="H484" s="137" t="b">
        <v>0</v>
      </c>
      <c r="I484" s="135"/>
      <c r="J484" s="136"/>
      <c r="K484" s="136"/>
      <c r="L484" s="137"/>
      <c r="M484" s="135"/>
      <c r="N484" s="136"/>
      <c r="O484" s="136"/>
      <c r="P484" s="137"/>
      <c r="Q484" s="135"/>
      <c r="R484" s="136"/>
      <c r="S484" s="136"/>
      <c r="T484" s="137"/>
      <c r="U484" s="135"/>
      <c r="V484" s="136"/>
      <c r="W484" s="138"/>
      <c r="X484" s="136"/>
      <c r="Y484" s="137"/>
      <c r="Z484" s="135"/>
      <c r="AA484" s="136"/>
      <c r="AB484" s="138"/>
      <c r="AC484" s="136"/>
      <c r="AD484" s="138"/>
      <c r="AE484" s="139">
        <f t="shared" si="30"/>
        <v>0</v>
      </c>
    </row>
    <row r="485" ht="15.75" customHeight="1" spans="1:31">
      <c r="A485" s="125">
        <v>536</v>
      </c>
      <c r="B485" s="126"/>
      <c r="C485" s="126"/>
      <c r="D485" s="127" t="s">
        <v>3852</v>
      </c>
      <c r="E485" s="128" t="b">
        <v>0</v>
      </c>
      <c r="F485" s="129" t="b">
        <v>0</v>
      </c>
      <c r="G485" s="129" t="b">
        <v>1</v>
      </c>
      <c r="H485" s="130" t="b">
        <v>0</v>
      </c>
      <c r="I485" s="128"/>
      <c r="J485" s="129"/>
      <c r="K485" s="129"/>
      <c r="L485" s="130"/>
      <c r="M485" s="128"/>
      <c r="N485" s="129"/>
      <c r="O485" s="129"/>
      <c r="P485" s="130"/>
      <c r="Q485" s="128"/>
      <c r="R485" s="129"/>
      <c r="S485" s="129"/>
      <c r="T485" s="130"/>
      <c r="U485" s="128"/>
      <c r="V485" s="129"/>
      <c r="W485" s="131"/>
      <c r="X485" s="129"/>
      <c r="Y485" s="130"/>
      <c r="Z485" s="128"/>
      <c r="AA485" s="129"/>
      <c r="AB485" s="131"/>
      <c r="AC485" s="129"/>
      <c r="AD485" s="131"/>
      <c r="AE485" s="132">
        <f t="shared" si="30"/>
        <v>1</v>
      </c>
    </row>
    <row r="486" ht="15.75" customHeight="1" spans="1:31">
      <c r="A486" s="133">
        <v>537</v>
      </c>
      <c r="B486" s="134"/>
      <c r="C486" s="140" t="s">
        <v>3</v>
      </c>
      <c r="D486" s="134" t="s">
        <v>3853</v>
      </c>
      <c r="E486" s="135" t="b">
        <v>1</v>
      </c>
      <c r="F486" s="136" t="b">
        <v>1</v>
      </c>
      <c r="G486" s="136" t="b">
        <v>0</v>
      </c>
      <c r="H486" s="137" t="b">
        <v>1</v>
      </c>
      <c r="I486" s="135"/>
      <c r="J486" s="136"/>
      <c r="K486" s="136"/>
      <c r="L486" s="137"/>
      <c r="M486" s="135"/>
      <c r="N486" s="136"/>
      <c r="O486" s="136"/>
      <c r="P486" s="137"/>
      <c r="Q486" s="135"/>
      <c r="R486" s="136"/>
      <c r="S486" s="136"/>
      <c r="T486" s="137"/>
      <c r="U486" s="135"/>
      <c r="V486" s="136"/>
      <c r="W486" s="138"/>
      <c r="X486" s="136"/>
      <c r="Y486" s="137"/>
      <c r="Z486" s="135"/>
      <c r="AA486" s="136"/>
      <c r="AB486" s="138"/>
      <c r="AC486" s="136"/>
      <c r="AD486" s="138"/>
      <c r="AE486" s="139">
        <f t="shared" si="30"/>
        <v>3</v>
      </c>
    </row>
    <row r="487" ht="15.75" customHeight="1" spans="1:31">
      <c r="A487" s="125">
        <v>538</v>
      </c>
      <c r="B487" s="126"/>
      <c r="C487" s="126" t="s">
        <v>2</v>
      </c>
      <c r="D487" s="126" t="s">
        <v>3854</v>
      </c>
      <c r="E487" s="128" t="b">
        <v>1</v>
      </c>
      <c r="F487" s="129" t="b">
        <v>1</v>
      </c>
      <c r="G487" s="129" t="b">
        <v>1</v>
      </c>
      <c r="H487" s="130" t="b">
        <v>0</v>
      </c>
      <c r="I487" s="128"/>
      <c r="J487" s="129"/>
      <c r="K487" s="129"/>
      <c r="L487" s="130"/>
      <c r="M487" s="128"/>
      <c r="N487" s="129"/>
      <c r="O487" s="129"/>
      <c r="P487" s="130"/>
      <c r="Q487" s="128"/>
      <c r="R487" s="129"/>
      <c r="S487" s="129"/>
      <c r="T487" s="130"/>
      <c r="U487" s="128"/>
      <c r="V487" s="129"/>
      <c r="W487" s="131"/>
      <c r="X487" s="129"/>
      <c r="Y487" s="130"/>
      <c r="Z487" s="128"/>
      <c r="AA487" s="129"/>
      <c r="AB487" s="131"/>
      <c r="AC487" s="129"/>
      <c r="AD487" s="131"/>
      <c r="AE487" s="132">
        <f t="shared" si="30"/>
        <v>3</v>
      </c>
    </row>
    <row r="488" ht="15.75" customHeight="1" spans="1:31">
      <c r="A488" s="133">
        <v>539</v>
      </c>
      <c r="B488" s="134"/>
      <c r="C488" s="134" t="s">
        <v>3411</v>
      </c>
      <c r="D488" s="134" t="s">
        <v>2843</v>
      </c>
      <c r="E488" s="135" t="b">
        <v>0</v>
      </c>
      <c r="F488" s="136" t="b">
        <v>0</v>
      </c>
      <c r="G488" s="136" t="b">
        <v>0</v>
      </c>
      <c r="H488" s="137" t="b">
        <v>0</v>
      </c>
      <c r="I488" s="135"/>
      <c r="J488" s="136"/>
      <c r="K488" s="136"/>
      <c r="L488" s="137"/>
      <c r="M488" s="135"/>
      <c r="N488" s="136"/>
      <c r="O488" s="136"/>
      <c r="P488" s="137"/>
      <c r="Q488" s="135"/>
      <c r="R488" s="136"/>
      <c r="S488" s="136"/>
      <c r="T488" s="137"/>
      <c r="U488" s="135"/>
      <c r="V488" s="136"/>
      <c r="W488" s="138"/>
      <c r="X488" s="136"/>
      <c r="Y488" s="137"/>
      <c r="Z488" s="135"/>
      <c r="AA488" s="136"/>
      <c r="AB488" s="138"/>
      <c r="AC488" s="136"/>
      <c r="AD488" s="138"/>
      <c r="AE488" s="139">
        <f t="shared" si="30"/>
        <v>0</v>
      </c>
    </row>
    <row r="489" ht="15.75" customHeight="1" spans="1:31">
      <c r="A489" s="125">
        <v>541</v>
      </c>
      <c r="B489" s="126"/>
      <c r="C489" s="126" t="s">
        <v>2</v>
      </c>
      <c r="D489" s="126" t="s">
        <v>3855</v>
      </c>
      <c r="E489" s="128" t="b">
        <v>0</v>
      </c>
      <c r="F489" s="129" t="b">
        <v>0</v>
      </c>
      <c r="G489" s="129" t="b">
        <v>0</v>
      </c>
      <c r="H489" s="130" t="b">
        <v>0</v>
      </c>
      <c r="I489" s="128"/>
      <c r="J489" s="129"/>
      <c r="K489" s="129"/>
      <c r="L489" s="130"/>
      <c r="M489" s="128"/>
      <c r="N489" s="129"/>
      <c r="O489" s="129"/>
      <c r="P489" s="130"/>
      <c r="Q489" s="128"/>
      <c r="R489" s="129"/>
      <c r="S489" s="129"/>
      <c r="T489" s="130"/>
      <c r="U489" s="128"/>
      <c r="V489" s="129"/>
      <c r="W489" s="131"/>
      <c r="X489" s="129"/>
      <c r="Y489" s="130"/>
      <c r="Z489" s="128"/>
      <c r="AA489" s="129"/>
      <c r="AB489" s="131"/>
      <c r="AC489" s="129"/>
      <c r="AD489" s="131"/>
      <c r="AE489" s="132">
        <f t="shared" si="30"/>
        <v>0</v>
      </c>
    </row>
    <row r="490" ht="15.75" customHeight="1" spans="1:31">
      <c r="A490" s="133">
        <v>542</v>
      </c>
      <c r="B490" s="134"/>
      <c r="C490" s="134" t="s">
        <v>3411</v>
      </c>
      <c r="D490" s="140" t="s">
        <v>3856</v>
      </c>
      <c r="E490" s="135" t="b">
        <v>0</v>
      </c>
      <c r="F490" s="136" t="b">
        <v>0</v>
      </c>
      <c r="G490" s="136" t="b">
        <v>0</v>
      </c>
      <c r="H490" s="137" t="b">
        <v>0</v>
      </c>
      <c r="I490" s="135"/>
      <c r="J490" s="136"/>
      <c r="K490" s="136"/>
      <c r="L490" s="137"/>
      <c r="M490" s="135"/>
      <c r="N490" s="136"/>
      <c r="O490" s="136"/>
      <c r="P490" s="137"/>
      <c r="Q490" s="135"/>
      <c r="R490" s="136"/>
      <c r="S490" s="136"/>
      <c r="T490" s="137"/>
      <c r="U490" s="135"/>
      <c r="V490" s="136"/>
      <c r="W490" s="138"/>
      <c r="X490" s="136"/>
      <c r="Y490" s="137"/>
      <c r="Z490" s="135"/>
      <c r="AA490" s="136"/>
      <c r="AB490" s="138"/>
      <c r="AC490" s="136"/>
      <c r="AD490" s="138"/>
      <c r="AE490" s="139">
        <f t="shared" si="30"/>
        <v>0</v>
      </c>
    </row>
    <row r="491" ht="15.75" customHeight="1" spans="1:31">
      <c r="A491" s="125">
        <v>543</v>
      </c>
      <c r="C491" s="127" t="s">
        <v>3413</v>
      </c>
      <c r="D491" s="127" t="s">
        <v>3857</v>
      </c>
      <c r="E491" s="145" t="b">
        <v>0</v>
      </c>
      <c r="F491" s="147" t="b">
        <v>1</v>
      </c>
      <c r="G491" s="147" t="b">
        <v>1</v>
      </c>
      <c r="H491" s="148" t="b">
        <v>0</v>
      </c>
      <c r="I491" s="145"/>
      <c r="J491" s="146"/>
      <c r="K491" s="146"/>
      <c r="L491" s="148"/>
      <c r="M491" s="145"/>
      <c r="N491" s="146"/>
      <c r="O491" s="146"/>
      <c r="P491" s="148"/>
      <c r="Q491" s="145"/>
      <c r="R491" s="146"/>
      <c r="S491" s="146"/>
      <c r="T491" s="148"/>
      <c r="U491" s="145"/>
      <c r="V491" s="146"/>
      <c r="X491" s="146"/>
      <c r="Y491" s="148"/>
      <c r="Z491" s="145"/>
      <c r="AA491" s="146"/>
      <c r="AC491" s="146"/>
    </row>
    <row r="492" ht="15.75" customHeight="1" spans="1:31">
      <c r="A492" s="133">
        <v>544</v>
      </c>
      <c r="B492" s="134"/>
      <c r="C492" s="134" t="s">
        <v>2</v>
      </c>
      <c r="D492" s="134" t="s">
        <v>3858</v>
      </c>
      <c r="E492" s="138" t="b">
        <v>0</v>
      </c>
      <c r="F492" s="138" t="b">
        <v>0</v>
      </c>
      <c r="G492" s="138" t="b">
        <v>0</v>
      </c>
      <c r="H492" s="138" t="b">
        <v>0</v>
      </c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  <c r="AD492" s="138"/>
      <c r="AE492" s="139">
        <f t="shared" ref="AE492:AE500" si="31">COUNTIF(E492:AD492,"TRUE")</f>
        <v>0</v>
      </c>
    </row>
    <row r="493" ht="15.75" customHeight="1" spans="1:31">
      <c r="A493" s="125">
        <v>545</v>
      </c>
      <c r="B493" s="126"/>
      <c r="C493" s="126" t="s">
        <v>3413</v>
      </c>
      <c r="D493" s="126" t="s">
        <v>3859</v>
      </c>
      <c r="E493" s="128" t="b">
        <v>1</v>
      </c>
      <c r="F493" s="129" t="b">
        <v>1</v>
      </c>
      <c r="G493" s="129" t="b">
        <v>1</v>
      </c>
      <c r="H493" s="130" t="b">
        <v>1</v>
      </c>
      <c r="I493" s="128"/>
      <c r="J493" s="129"/>
      <c r="K493" s="129"/>
      <c r="L493" s="130"/>
      <c r="M493" s="128"/>
      <c r="N493" s="129"/>
      <c r="O493" s="129"/>
      <c r="P493" s="130"/>
      <c r="Q493" s="128"/>
      <c r="R493" s="129"/>
      <c r="S493" s="129"/>
      <c r="T493" s="130"/>
      <c r="U493" s="128"/>
      <c r="V493" s="129"/>
      <c r="W493" s="131"/>
      <c r="X493" s="129"/>
      <c r="Y493" s="130"/>
      <c r="Z493" s="128"/>
      <c r="AA493" s="129"/>
      <c r="AB493" s="131"/>
      <c r="AC493" s="129"/>
      <c r="AD493" s="131"/>
      <c r="AE493" s="132">
        <f t="shared" si="31"/>
        <v>4</v>
      </c>
    </row>
    <row r="494" ht="15.75" customHeight="1" spans="1:31">
      <c r="A494" s="133">
        <v>546</v>
      </c>
      <c r="B494" s="134"/>
      <c r="C494" s="134" t="s">
        <v>3411</v>
      </c>
      <c r="D494" s="134" t="s">
        <v>3860</v>
      </c>
      <c r="E494" s="135" t="b">
        <v>0</v>
      </c>
      <c r="F494" s="136" t="b">
        <v>1</v>
      </c>
      <c r="G494" s="136" t="b">
        <v>1</v>
      </c>
      <c r="H494" s="137" t="b">
        <v>1</v>
      </c>
      <c r="I494" s="135"/>
      <c r="J494" s="136"/>
      <c r="K494" s="136"/>
      <c r="L494" s="137"/>
      <c r="M494" s="135"/>
      <c r="N494" s="136"/>
      <c r="O494" s="136"/>
      <c r="P494" s="137"/>
      <c r="Q494" s="135"/>
      <c r="R494" s="136"/>
      <c r="S494" s="136"/>
      <c r="T494" s="137"/>
      <c r="U494" s="135"/>
      <c r="V494" s="136"/>
      <c r="W494" s="138"/>
      <c r="X494" s="136"/>
      <c r="Y494" s="137"/>
      <c r="Z494" s="135"/>
      <c r="AA494" s="136"/>
      <c r="AB494" s="138"/>
      <c r="AC494" s="136"/>
      <c r="AD494" s="138"/>
      <c r="AE494" s="139">
        <f t="shared" si="31"/>
        <v>3</v>
      </c>
    </row>
    <row r="495" ht="15.75" customHeight="1" spans="1:31">
      <c r="A495" s="125">
        <v>547</v>
      </c>
      <c r="B495" s="126"/>
      <c r="C495" s="126" t="s">
        <v>2</v>
      </c>
      <c r="D495" s="126" t="s">
        <v>2040</v>
      </c>
      <c r="E495" s="128" t="b">
        <v>1</v>
      </c>
      <c r="F495" s="129" t="b">
        <v>1</v>
      </c>
      <c r="G495" s="129" t="b">
        <v>1</v>
      </c>
      <c r="H495" s="130" t="b">
        <v>1</v>
      </c>
      <c r="I495" s="128"/>
      <c r="J495" s="129"/>
      <c r="K495" s="129"/>
      <c r="L495" s="130"/>
      <c r="M495" s="128"/>
      <c r="N495" s="129"/>
      <c r="O495" s="129"/>
      <c r="P495" s="130"/>
      <c r="Q495" s="128"/>
      <c r="R495" s="129"/>
      <c r="S495" s="129"/>
      <c r="T495" s="130"/>
      <c r="U495" s="128"/>
      <c r="V495" s="129"/>
      <c r="W495" s="131"/>
      <c r="X495" s="129"/>
      <c r="Y495" s="130"/>
      <c r="Z495" s="128"/>
      <c r="AA495" s="129"/>
      <c r="AB495" s="131"/>
      <c r="AC495" s="129"/>
      <c r="AD495" s="131"/>
      <c r="AE495" s="132">
        <f t="shared" si="31"/>
        <v>4</v>
      </c>
    </row>
    <row r="496" ht="15.75" customHeight="1" spans="1:31">
      <c r="A496" s="133">
        <v>548</v>
      </c>
      <c r="B496" s="134"/>
      <c r="C496" s="134" t="s">
        <v>3</v>
      </c>
      <c r="D496" s="134" t="s">
        <v>1300</v>
      </c>
      <c r="E496" s="135" t="b">
        <v>0</v>
      </c>
      <c r="F496" s="136" t="b">
        <v>1</v>
      </c>
      <c r="G496" s="136" t="b">
        <v>0</v>
      </c>
      <c r="H496" s="137" t="b">
        <v>1</v>
      </c>
      <c r="I496" s="135"/>
      <c r="J496" s="136"/>
      <c r="K496" s="136"/>
      <c r="L496" s="137"/>
      <c r="M496" s="135"/>
      <c r="N496" s="136"/>
      <c r="O496" s="136"/>
      <c r="P496" s="137"/>
      <c r="Q496" s="135"/>
      <c r="R496" s="136"/>
      <c r="S496" s="136"/>
      <c r="T496" s="137"/>
      <c r="U496" s="135"/>
      <c r="V496" s="136"/>
      <c r="W496" s="138"/>
      <c r="X496" s="136"/>
      <c r="Y496" s="137"/>
      <c r="Z496" s="135"/>
      <c r="AA496" s="136"/>
      <c r="AB496" s="138"/>
      <c r="AC496" s="136"/>
      <c r="AD496" s="138"/>
      <c r="AE496" s="139">
        <f t="shared" si="31"/>
        <v>2</v>
      </c>
    </row>
    <row r="497" ht="15.75" customHeight="1" spans="1:31">
      <c r="A497" s="125">
        <v>549</v>
      </c>
      <c r="B497" s="126"/>
      <c r="C497" s="126"/>
      <c r="D497" s="126" t="s">
        <v>3861</v>
      </c>
      <c r="E497" s="128" t="b">
        <v>0</v>
      </c>
      <c r="F497" s="129" t="b">
        <v>1</v>
      </c>
      <c r="G497" s="129" t="b">
        <v>0</v>
      </c>
      <c r="H497" s="130" t="b">
        <v>0</v>
      </c>
      <c r="I497" s="128"/>
      <c r="J497" s="129"/>
      <c r="K497" s="129"/>
      <c r="L497" s="130"/>
      <c r="M497" s="128"/>
      <c r="N497" s="129"/>
      <c r="O497" s="129"/>
      <c r="P497" s="130"/>
      <c r="Q497" s="128"/>
      <c r="R497" s="129"/>
      <c r="S497" s="129"/>
      <c r="T497" s="130"/>
      <c r="U497" s="128"/>
      <c r="V497" s="129"/>
      <c r="W497" s="131"/>
      <c r="X497" s="129"/>
      <c r="Y497" s="130"/>
      <c r="Z497" s="128"/>
      <c r="AA497" s="129"/>
      <c r="AB497" s="131"/>
      <c r="AC497" s="129"/>
      <c r="AD497" s="131"/>
      <c r="AE497" s="132">
        <f t="shared" si="31"/>
        <v>1</v>
      </c>
    </row>
    <row r="498" ht="15.75" customHeight="1" spans="1:31">
      <c r="A498" s="133">
        <v>550</v>
      </c>
      <c r="B498" s="134"/>
      <c r="C498" s="134" t="s">
        <v>3411</v>
      </c>
      <c r="D498" s="134" t="s">
        <v>3862</v>
      </c>
      <c r="E498" s="135" t="b">
        <v>1</v>
      </c>
      <c r="F498" s="136" t="b">
        <v>1</v>
      </c>
      <c r="G498" s="136" t="b">
        <v>1</v>
      </c>
      <c r="H498" s="137" t="b">
        <v>1</v>
      </c>
      <c r="I498" s="135"/>
      <c r="J498" s="136"/>
      <c r="K498" s="136"/>
      <c r="L498" s="137"/>
      <c r="M498" s="135"/>
      <c r="N498" s="136"/>
      <c r="O498" s="136"/>
      <c r="P498" s="137"/>
      <c r="Q498" s="135"/>
      <c r="R498" s="136"/>
      <c r="S498" s="136"/>
      <c r="T498" s="137"/>
      <c r="U498" s="135"/>
      <c r="V498" s="136"/>
      <c r="W498" s="138"/>
      <c r="X498" s="136"/>
      <c r="Y498" s="137"/>
      <c r="Z498" s="135"/>
      <c r="AA498" s="136"/>
      <c r="AB498" s="138"/>
      <c r="AC498" s="136"/>
      <c r="AD498" s="138"/>
      <c r="AE498" s="139">
        <f t="shared" si="31"/>
        <v>4</v>
      </c>
    </row>
    <row r="499" ht="15.75" customHeight="1" spans="1:31">
      <c r="A499" s="125">
        <v>552</v>
      </c>
      <c r="B499" s="126"/>
      <c r="C499" s="126" t="s">
        <v>3411</v>
      </c>
      <c r="D499" s="126" t="s">
        <v>3863</v>
      </c>
      <c r="E499" s="128" t="b">
        <v>1</v>
      </c>
      <c r="F499" s="129" t="b">
        <v>1</v>
      </c>
      <c r="G499" s="129" t="b">
        <v>1</v>
      </c>
      <c r="H499" s="130" t="b">
        <v>1</v>
      </c>
      <c r="I499" s="128"/>
      <c r="J499" s="129"/>
      <c r="K499" s="129"/>
      <c r="L499" s="130"/>
      <c r="M499" s="128"/>
      <c r="N499" s="129"/>
      <c r="O499" s="129"/>
      <c r="P499" s="130"/>
      <c r="Q499" s="128"/>
      <c r="R499" s="129"/>
      <c r="S499" s="129"/>
      <c r="T499" s="130"/>
      <c r="U499" s="128"/>
      <c r="V499" s="129"/>
      <c r="W499" s="131"/>
      <c r="X499" s="129"/>
      <c r="Y499" s="130"/>
      <c r="Z499" s="128"/>
      <c r="AA499" s="129"/>
      <c r="AB499" s="131"/>
      <c r="AC499" s="129"/>
      <c r="AD499" s="131"/>
      <c r="AE499" s="132">
        <f t="shared" si="31"/>
        <v>4</v>
      </c>
    </row>
    <row r="500" ht="15.75" customHeight="1" spans="1:31">
      <c r="A500" s="133">
        <v>553</v>
      </c>
      <c r="B500" s="134"/>
      <c r="C500" s="134"/>
      <c r="D500" s="134" t="s">
        <v>3864</v>
      </c>
      <c r="E500" s="135" t="b">
        <v>0</v>
      </c>
      <c r="F500" s="136" t="b">
        <v>1</v>
      </c>
      <c r="G500" s="136" t="b">
        <v>0</v>
      </c>
      <c r="H500" s="137" t="b">
        <v>1</v>
      </c>
      <c r="I500" s="135"/>
      <c r="J500" s="136"/>
      <c r="K500" s="136"/>
      <c r="L500" s="137"/>
      <c r="M500" s="135"/>
      <c r="N500" s="136"/>
      <c r="O500" s="136"/>
      <c r="P500" s="137"/>
      <c r="Q500" s="135"/>
      <c r="R500" s="136"/>
      <c r="S500" s="136"/>
      <c r="T500" s="137"/>
      <c r="U500" s="135"/>
      <c r="V500" s="136"/>
      <c r="W500" s="138"/>
      <c r="X500" s="136"/>
      <c r="Y500" s="137"/>
      <c r="Z500" s="135"/>
      <c r="AA500" s="136"/>
      <c r="AB500" s="138"/>
      <c r="AC500" s="136"/>
      <c r="AD500" s="138"/>
      <c r="AE500" s="139">
        <f t="shared" si="31"/>
        <v>2</v>
      </c>
    </row>
    <row r="501" ht="15.75" customHeight="1" spans="1:31">
      <c r="A501" s="125">
        <v>554</v>
      </c>
      <c r="D501" s="127" t="s">
        <v>3865</v>
      </c>
      <c r="E501" s="145" t="b">
        <v>0</v>
      </c>
      <c r="F501" s="146" t="b">
        <v>0</v>
      </c>
      <c r="G501" s="147" t="b">
        <v>1</v>
      </c>
      <c r="H501" s="148" t="b">
        <v>0</v>
      </c>
      <c r="I501" s="145"/>
      <c r="J501" s="146"/>
      <c r="K501" s="146"/>
      <c r="L501" s="148"/>
      <c r="M501" s="145"/>
      <c r="N501" s="146"/>
      <c r="O501" s="146"/>
      <c r="P501" s="148"/>
      <c r="Q501" s="145"/>
      <c r="R501" s="146"/>
      <c r="S501" s="146"/>
      <c r="T501" s="148"/>
      <c r="U501" s="145"/>
      <c r="V501" s="146"/>
      <c r="X501" s="146"/>
      <c r="Y501" s="148"/>
      <c r="Z501" s="145"/>
      <c r="AA501" s="146"/>
      <c r="AC501" s="146"/>
    </row>
    <row r="502" ht="15.75" customHeight="1" spans="1:31">
      <c r="A502" s="133">
        <v>555</v>
      </c>
      <c r="D502" s="140" t="s">
        <v>3866</v>
      </c>
      <c r="E502" s="144" t="b">
        <v>0</v>
      </c>
      <c r="F502" s="142" t="b">
        <v>0</v>
      </c>
      <c r="G502" s="149" t="b">
        <v>1</v>
      </c>
      <c r="H502" s="143" t="b">
        <v>0</v>
      </c>
      <c r="I502" s="144"/>
      <c r="J502" s="142"/>
      <c r="K502" s="142"/>
      <c r="L502" s="143"/>
      <c r="M502" s="144"/>
      <c r="N502" s="142"/>
      <c r="O502" s="142"/>
      <c r="P502" s="143"/>
      <c r="Q502" s="144"/>
      <c r="R502" s="142"/>
      <c r="S502" s="142"/>
      <c r="T502" s="143"/>
      <c r="U502" s="144"/>
      <c r="V502" s="142"/>
      <c r="X502" s="142"/>
      <c r="Y502" s="143"/>
      <c r="Z502" s="144"/>
      <c r="AA502" s="142"/>
      <c r="AC502" s="142"/>
    </row>
    <row r="503" ht="15.75" customHeight="1" spans="1:31">
      <c r="A503" s="125">
        <v>556</v>
      </c>
      <c r="C503" s="127" t="s">
        <v>2</v>
      </c>
      <c r="D503" s="127" t="s">
        <v>3867</v>
      </c>
      <c r="E503" s="145" t="b">
        <v>0</v>
      </c>
      <c r="F503" s="146" t="b">
        <v>0</v>
      </c>
      <c r="G503" s="147" t="b">
        <v>1</v>
      </c>
      <c r="H503" s="148" t="b">
        <v>0</v>
      </c>
      <c r="I503" s="145"/>
      <c r="J503" s="146"/>
      <c r="K503" s="146"/>
      <c r="L503" s="148"/>
      <c r="M503" s="145"/>
      <c r="N503" s="146"/>
      <c r="O503" s="146"/>
      <c r="P503" s="148"/>
      <c r="Q503" s="145"/>
      <c r="R503" s="146"/>
      <c r="S503" s="146"/>
      <c r="T503" s="148"/>
      <c r="U503" s="145"/>
      <c r="V503" s="146"/>
      <c r="X503" s="146"/>
      <c r="Y503" s="148"/>
      <c r="Z503" s="145"/>
      <c r="AA503" s="146"/>
      <c r="AC503" s="146"/>
    </row>
    <row r="504" ht="15.75" customHeight="1" spans="1:31">
      <c r="A504" s="133">
        <v>557</v>
      </c>
      <c r="C504" s="140" t="s">
        <v>3</v>
      </c>
      <c r="D504" s="140" t="s">
        <v>3868</v>
      </c>
      <c r="E504" s="144" t="b">
        <v>0</v>
      </c>
      <c r="F504" s="142" t="b">
        <v>0</v>
      </c>
      <c r="G504" s="149" t="b">
        <v>1</v>
      </c>
      <c r="H504" s="143" t="b">
        <v>0</v>
      </c>
      <c r="I504" s="144"/>
      <c r="J504" s="142"/>
      <c r="K504" s="142"/>
      <c r="L504" s="143"/>
      <c r="M504" s="144"/>
      <c r="N504" s="142"/>
      <c r="O504" s="142"/>
      <c r="P504" s="143"/>
      <c r="Q504" s="144"/>
      <c r="R504" s="142"/>
      <c r="S504" s="142"/>
      <c r="T504" s="143"/>
      <c r="U504" s="144"/>
      <c r="V504" s="142"/>
      <c r="X504" s="142"/>
      <c r="Y504" s="143"/>
      <c r="Z504" s="144"/>
      <c r="AA504" s="142"/>
      <c r="AC504" s="142"/>
    </row>
    <row r="505" ht="15.75" customHeight="1" spans="1:31">
      <c r="A505" s="125">
        <v>558</v>
      </c>
      <c r="D505" s="127" t="s">
        <v>3869</v>
      </c>
      <c r="E505" s="126" t="b">
        <v>0</v>
      </c>
      <c r="F505" s="126" t="b">
        <v>0</v>
      </c>
      <c r="G505" s="127" t="b">
        <v>1</v>
      </c>
      <c r="H505" s="126" t="b">
        <v>0</v>
      </c>
    </row>
    <row r="506" ht="15.75" customHeight="1" spans="1:31">
      <c r="A506" s="133">
        <v>559</v>
      </c>
      <c r="B506" s="134"/>
      <c r="C506" s="134" t="s">
        <v>2</v>
      </c>
      <c r="D506" s="134" t="s">
        <v>3870</v>
      </c>
      <c r="E506" s="135" t="b">
        <v>1</v>
      </c>
      <c r="F506" s="136" t="b">
        <v>1</v>
      </c>
      <c r="G506" s="136" t="b">
        <v>1</v>
      </c>
      <c r="H506" s="137" t="b">
        <v>0</v>
      </c>
      <c r="I506" s="135"/>
      <c r="J506" s="136"/>
      <c r="K506" s="136"/>
      <c r="L506" s="137"/>
      <c r="M506" s="135"/>
      <c r="N506" s="136"/>
      <c r="O506" s="136"/>
      <c r="P506" s="137"/>
      <c r="Q506" s="135"/>
      <c r="R506" s="136"/>
      <c r="S506" s="136"/>
      <c r="T506" s="137"/>
      <c r="U506" s="135"/>
      <c r="V506" s="136"/>
      <c r="W506" s="138"/>
      <c r="X506" s="136"/>
      <c r="Y506" s="137"/>
      <c r="Z506" s="135"/>
      <c r="AA506" s="136"/>
      <c r="AB506" s="138"/>
      <c r="AC506" s="136"/>
      <c r="AD506" s="138"/>
      <c r="AE506" s="139">
        <f t="shared" ref="AE506:AE521" si="32">COUNTIF(E506:AD506,"TRUE")</f>
        <v>3</v>
      </c>
    </row>
    <row r="507" ht="15.75" customHeight="1" spans="1:31">
      <c r="A507" s="125">
        <v>560</v>
      </c>
      <c r="B507" s="126"/>
      <c r="C507" s="126" t="s">
        <v>3411</v>
      </c>
      <c r="D507" s="127" t="s">
        <v>3871</v>
      </c>
      <c r="E507" s="128" t="b">
        <v>1</v>
      </c>
      <c r="F507" s="129" t="b">
        <v>0</v>
      </c>
      <c r="G507" s="129" t="b">
        <v>1</v>
      </c>
      <c r="H507" s="130" t="b">
        <v>0</v>
      </c>
      <c r="I507" s="128"/>
      <c r="J507" s="129"/>
      <c r="K507" s="129"/>
      <c r="L507" s="130"/>
      <c r="M507" s="128"/>
      <c r="N507" s="129"/>
      <c r="O507" s="129"/>
      <c r="P507" s="130"/>
      <c r="Q507" s="128"/>
      <c r="R507" s="129"/>
      <c r="S507" s="129"/>
      <c r="T507" s="130"/>
      <c r="U507" s="128"/>
      <c r="V507" s="129"/>
      <c r="W507" s="131"/>
      <c r="X507" s="129"/>
      <c r="Y507" s="130"/>
      <c r="Z507" s="128"/>
      <c r="AA507" s="129"/>
      <c r="AB507" s="131"/>
      <c r="AC507" s="129"/>
      <c r="AD507" s="131"/>
      <c r="AE507" s="132">
        <f t="shared" si="32"/>
        <v>2</v>
      </c>
    </row>
    <row r="508" ht="15.75" customHeight="1" spans="1:31">
      <c r="A508" s="133">
        <v>561</v>
      </c>
      <c r="B508" s="134"/>
      <c r="C508" s="134"/>
      <c r="D508" s="134" t="s">
        <v>3872</v>
      </c>
      <c r="E508" s="138" t="b">
        <v>1</v>
      </c>
      <c r="F508" s="138" t="b">
        <v>1</v>
      </c>
      <c r="G508" s="138" t="b">
        <v>1</v>
      </c>
      <c r="H508" s="138" t="b">
        <v>1</v>
      </c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  <c r="AD508" s="138"/>
      <c r="AE508" s="139">
        <f t="shared" si="32"/>
        <v>4</v>
      </c>
    </row>
    <row r="509" ht="15.75" customHeight="1" spans="1:31">
      <c r="A509" s="125">
        <v>563</v>
      </c>
      <c r="B509" s="126"/>
      <c r="C509" s="126" t="s">
        <v>3</v>
      </c>
      <c r="D509" s="126" t="s">
        <v>1331</v>
      </c>
      <c r="E509" s="128" t="b">
        <v>1</v>
      </c>
      <c r="F509" s="129" t="b">
        <v>1</v>
      </c>
      <c r="G509" s="129" t="b">
        <v>1</v>
      </c>
      <c r="H509" s="130" t="b">
        <v>1</v>
      </c>
      <c r="I509" s="128"/>
      <c r="J509" s="129"/>
      <c r="K509" s="129"/>
      <c r="L509" s="130"/>
      <c r="M509" s="128"/>
      <c r="N509" s="129"/>
      <c r="O509" s="129"/>
      <c r="P509" s="130"/>
      <c r="Q509" s="128"/>
      <c r="R509" s="129"/>
      <c r="S509" s="129"/>
      <c r="T509" s="130"/>
      <c r="U509" s="128"/>
      <c r="V509" s="129"/>
      <c r="W509" s="131"/>
      <c r="X509" s="129"/>
      <c r="Y509" s="130"/>
      <c r="Z509" s="128"/>
      <c r="AA509" s="129"/>
      <c r="AB509" s="131"/>
      <c r="AC509" s="129"/>
      <c r="AD509" s="131"/>
      <c r="AE509" s="132">
        <f t="shared" si="32"/>
        <v>4</v>
      </c>
    </row>
    <row r="510" ht="15.75" customHeight="1" spans="1:31">
      <c r="A510" s="133">
        <v>564</v>
      </c>
      <c r="B510" s="134"/>
      <c r="C510" s="134"/>
      <c r="D510" s="134" t="s">
        <v>3873</v>
      </c>
      <c r="E510" s="135" t="b">
        <v>1</v>
      </c>
      <c r="F510" s="136" t="b">
        <v>1</v>
      </c>
      <c r="G510" s="136" t="b">
        <v>1</v>
      </c>
      <c r="H510" s="137" t="b">
        <v>0</v>
      </c>
      <c r="I510" s="135"/>
      <c r="J510" s="136"/>
      <c r="K510" s="136"/>
      <c r="L510" s="137"/>
      <c r="M510" s="135"/>
      <c r="N510" s="136"/>
      <c r="O510" s="136"/>
      <c r="P510" s="137"/>
      <c r="Q510" s="135"/>
      <c r="R510" s="136"/>
      <c r="S510" s="136"/>
      <c r="T510" s="137"/>
      <c r="U510" s="135"/>
      <c r="V510" s="136"/>
      <c r="W510" s="138"/>
      <c r="X510" s="136"/>
      <c r="Y510" s="137"/>
      <c r="Z510" s="135"/>
      <c r="AA510" s="136"/>
      <c r="AB510" s="138"/>
      <c r="AC510" s="136"/>
      <c r="AD510" s="138"/>
      <c r="AE510" s="139">
        <f t="shared" si="32"/>
        <v>3</v>
      </c>
    </row>
    <row r="511" ht="15.75" customHeight="1" spans="1:31">
      <c r="A511" s="125">
        <v>565</v>
      </c>
      <c r="B511" s="127" t="s">
        <v>3434</v>
      </c>
      <c r="C511" s="126"/>
      <c r="D511" s="127" t="s">
        <v>3874</v>
      </c>
      <c r="E511" s="128" t="b">
        <v>0</v>
      </c>
      <c r="F511" s="129" t="b">
        <v>0</v>
      </c>
      <c r="G511" s="129" t="b">
        <v>1</v>
      </c>
      <c r="H511" s="130" t="b">
        <v>1</v>
      </c>
      <c r="I511" s="128"/>
      <c r="J511" s="129"/>
      <c r="K511" s="129"/>
      <c r="L511" s="130"/>
      <c r="M511" s="128"/>
      <c r="N511" s="129"/>
      <c r="O511" s="129"/>
      <c r="P511" s="130"/>
      <c r="Q511" s="128"/>
      <c r="R511" s="129"/>
      <c r="S511" s="129"/>
      <c r="T511" s="130"/>
      <c r="U511" s="128"/>
      <c r="V511" s="129"/>
      <c r="W511" s="131"/>
      <c r="X511" s="129"/>
      <c r="Y511" s="130"/>
      <c r="Z511" s="128"/>
      <c r="AA511" s="129"/>
      <c r="AB511" s="131"/>
      <c r="AC511" s="129"/>
      <c r="AD511" s="131"/>
      <c r="AE511" s="132">
        <f t="shared" si="32"/>
        <v>2</v>
      </c>
    </row>
    <row r="512" ht="15.75" customHeight="1" spans="1:31">
      <c r="A512" s="133">
        <v>566</v>
      </c>
      <c r="B512" s="134"/>
      <c r="C512" s="134" t="s">
        <v>3411</v>
      </c>
      <c r="D512" s="134" t="s">
        <v>3875</v>
      </c>
      <c r="E512" s="135" t="b">
        <v>0</v>
      </c>
      <c r="F512" s="136" t="b">
        <v>0</v>
      </c>
      <c r="G512" s="136" t="b">
        <v>0</v>
      </c>
      <c r="H512" s="137" t="b">
        <v>0</v>
      </c>
      <c r="I512" s="135"/>
      <c r="J512" s="136"/>
      <c r="K512" s="136"/>
      <c r="L512" s="137"/>
      <c r="M512" s="135"/>
      <c r="N512" s="136"/>
      <c r="O512" s="136"/>
      <c r="P512" s="137"/>
      <c r="Q512" s="135"/>
      <c r="R512" s="136"/>
      <c r="S512" s="136"/>
      <c r="T512" s="137"/>
      <c r="U512" s="135"/>
      <c r="V512" s="136"/>
      <c r="W512" s="138"/>
      <c r="X512" s="136"/>
      <c r="Y512" s="137"/>
      <c r="Z512" s="135"/>
      <c r="AA512" s="136"/>
      <c r="AB512" s="138"/>
      <c r="AC512" s="136"/>
      <c r="AD512" s="138"/>
      <c r="AE512" s="139">
        <f t="shared" si="32"/>
        <v>0</v>
      </c>
    </row>
    <row r="513" ht="15.75" customHeight="1" spans="1:31">
      <c r="A513" s="125">
        <v>567</v>
      </c>
      <c r="B513" s="126"/>
      <c r="C513" s="126" t="s">
        <v>3411</v>
      </c>
      <c r="D513" s="126" t="s">
        <v>3876</v>
      </c>
      <c r="E513" s="128" t="b">
        <v>0</v>
      </c>
      <c r="F513" s="129" t="b">
        <v>1</v>
      </c>
      <c r="G513" s="129" t="b">
        <v>1</v>
      </c>
      <c r="H513" s="130" t="b">
        <v>0</v>
      </c>
      <c r="I513" s="128"/>
      <c r="J513" s="129"/>
      <c r="K513" s="129"/>
      <c r="L513" s="130"/>
      <c r="M513" s="128"/>
      <c r="N513" s="129"/>
      <c r="O513" s="129"/>
      <c r="P513" s="130"/>
      <c r="Q513" s="128"/>
      <c r="R513" s="129"/>
      <c r="S513" s="129"/>
      <c r="T513" s="130"/>
      <c r="U513" s="128"/>
      <c r="V513" s="129"/>
      <c r="W513" s="131"/>
      <c r="X513" s="129"/>
      <c r="Y513" s="130"/>
      <c r="Z513" s="128"/>
      <c r="AA513" s="129"/>
      <c r="AB513" s="131"/>
      <c r="AC513" s="129"/>
      <c r="AD513" s="131"/>
      <c r="AE513" s="132">
        <f t="shared" si="32"/>
        <v>2</v>
      </c>
    </row>
    <row r="514" ht="15.75" customHeight="1" spans="1:31">
      <c r="A514" s="133">
        <v>569</v>
      </c>
      <c r="B514" s="134"/>
      <c r="C514" s="134" t="s">
        <v>3411</v>
      </c>
      <c r="D514" s="134" t="s">
        <v>3877</v>
      </c>
      <c r="E514" s="135" t="b">
        <v>1</v>
      </c>
      <c r="F514" s="136" t="b">
        <v>1</v>
      </c>
      <c r="G514" s="136" t="b">
        <v>1</v>
      </c>
      <c r="H514" s="137" t="b">
        <v>1</v>
      </c>
      <c r="I514" s="135"/>
      <c r="J514" s="136"/>
      <c r="K514" s="136"/>
      <c r="L514" s="137"/>
      <c r="M514" s="135"/>
      <c r="N514" s="136"/>
      <c r="O514" s="136"/>
      <c r="P514" s="137"/>
      <c r="Q514" s="135"/>
      <c r="R514" s="136"/>
      <c r="S514" s="136"/>
      <c r="T514" s="137"/>
      <c r="U514" s="135"/>
      <c r="V514" s="136"/>
      <c r="W514" s="138"/>
      <c r="X514" s="136"/>
      <c r="Y514" s="137"/>
      <c r="Z514" s="135"/>
      <c r="AA514" s="136"/>
      <c r="AB514" s="138"/>
      <c r="AC514" s="136"/>
      <c r="AD514" s="138"/>
      <c r="AE514" s="139">
        <f t="shared" si="32"/>
        <v>4</v>
      </c>
    </row>
    <row r="515" ht="15.75" customHeight="1" spans="1:31">
      <c r="A515" s="125">
        <v>570</v>
      </c>
      <c r="B515" s="126"/>
      <c r="C515" s="126" t="s">
        <v>3413</v>
      </c>
      <c r="D515" s="126" t="s">
        <v>3878</v>
      </c>
      <c r="E515" s="128" t="b">
        <v>1</v>
      </c>
      <c r="F515" s="129" t="b">
        <v>1</v>
      </c>
      <c r="G515" s="129" t="b">
        <v>1</v>
      </c>
      <c r="H515" s="130" t="b">
        <v>1</v>
      </c>
      <c r="I515" s="128"/>
      <c r="J515" s="129"/>
      <c r="K515" s="129"/>
      <c r="L515" s="130"/>
      <c r="M515" s="128"/>
      <c r="N515" s="129"/>
      <c r="O515" s="129"/>
      <c r="P515" s="130"/>
      <c r="Q515" s="128"/>
      <c r="R515" s="129"/>
      <c r="S515" s="129"/>
      <c r="T515" s="130"/>
      <c r="U515" s="128"/>
      <c r="V515" s="129"/>
      <c r="W515" s="131"/>
      <c r="X515" s="129"/>
      <c r="Y515" s="130"/>
      <c r="Z515" s="128"/>
      <c r="AA515" s="129"/>
      <c r="AB515" s="131"/>
      <c r="AC515" s="129"/>
      <c r="AD515" s="131"/>
      <c r="AE515" s="132">
        <f t="shared" si="32"/>
        <v>4</v>
      </c>
    </row>
    <row r="516" ht="15.75" customHeight="1" spans="1:31">
      <c r="A516" s="133">
        <v>571</v>
      </c>
      <c r="B516" s="134"/>
      <c r="C516" s="134" t="s">
        <v>2</v>
      </c>
      <c r="D516" s="134" t="s">
        <v>3323</v>
      </c>
      <c r="E516" s="135" t="b">
        <v>1</v>
      </c>
      <c r="F516" s="136" t="b">
        <v>1</v>
      </c>
      <c r="G516" s="136" t="b">
        <v>1</v>
      </c>
      <c r="H516" s="137" t="b">
        <v>1</v>
      </c>
      <c r="I516" s="135"/>
      <c r="J516" s="136"/>
      <c r="K516" s="136"/>
      <c r="L516" s="137"/>
      <c r="M516" s="135"/>
      <c r="N516" s="136"/>
      <c r="O516" s="136"/>
      <c r="P516" s="137"/>
      <c r="Q516" s="135"/>
      <c r="R516" s="136"/>
      <c r="S516" s="136"/>
      <c r="T516" s="137"/>
      <c r="U516" s="135"/>
      <c r="V516" s="136"/>
      <c r="W516" s="138"/>
      <c r="X516" s="136"/>
      <c r="Y516" s="137"/>
      <c r="Z516" s="135"/>
      <c r="AA516" s="136"/>
      <c r="AB516" s="138"/>
      <c r="AC516" s="136"/>
      <c r="AD516" s="138"/>
      <c r="AE516" s="139">
        <f t="shared" si="32"/>
        <v>4</v>
      </c>
    </row>
    <row r="517" ht="15.75" customHeight="1" spans="1:31">
      <c r="A517" s="125">
        <v>572</v>
      </c>
      <c r="B517" s="126"/>
      <c r="C517" s="126" t="s">
        <v>3411</v>
      </c>
      <c r="D517" s="126" t="s">
        <v>3879</v>
      </c>
      <c r="E517" s="128" t="b">
        <v>0</v>
      </c>
      <c r="F517" s="129" t="b">
        <v>0</v>
      </c>
      <c r="G517" s="129" t="b">
        <v>0</v>
      </c>
      <c r="H517" s="130" t="b">
        <v>1</v>
      </c>
      <c r="I517" s="128"/>
      <c r="J517" s="129"/>
      <c r="K517" s="129"/>
      <c r="L517" s="130"/>
      <c r="M517" s="128"/>
      <c r="N517" s="129"/>
      <c r="O517" s="129"/>
      <c r="P517" s="130"/>
      <c r="Q517" s="128"/>
      <c r="R517" s="129"/>
      <c r="S517" s="129"/>
      <c r="T517" s="130"/>
      <c r="U517" s="128"/>
      <c r="V517" s="129"/>
      <c r="W517" s="131"/>
      <c r="X517" s="129"/>
      <c r="Y517" s="130"/>
      <c r="Z517" s="128"/>
      <c r="AA517" s="129"/>
      <c r="AB517" s="131"/>
      <c r="AC517" s="129"/>
      <c r="AD517" s="131"/>
      <c r="AE517" s="132">
        <f t="shared" si="32"/>
        <v>1</v>
      </c>
    </row>
    <row r="518" ht="15.75" customHeight="1" spans="1:31">
      <c r="A518" s="133">
        <v>573</v>
      </c>
      <c r="B518" s="134"/>
      <c r="C518" s="134" t="s">
        <v>3411</v>
      </c>
      <c r="D518" s="134" t="s">
        <v>3880</v>
      </c>
      <c r="E518" s="135" t="b">
        <v>0</v>
      </c>
      <c r="F518" s="136" t="b">
        <v>0</v>
      </c>
      <c r="G518" s="136" t="b">
        <v>0</v>
      </c>
      <c r="H518" s="137" t="b">
        <v>0</v>
      </c>
      <c r="I518" s="135"/>
      <c r="J518" s="136"/>
      <c r="K518" s="136"/>
      <c r="L518" s="137"/>
      <c r="M518" s="135"/>
      <c r="N518" s="136"/>
      <c r="O518" s="136"/>
      <c r="P518" s="137"/>
      <c r="Q518" s="135"/>
      <c r="R518" s="136"/>
      <c r="S518" s="136"/>
      <c r="T518" s="137"/>
      <c r="U518" s="135"/>
      <c r="V518" s="136"/>
      <c r="W518" s="138"/>
      <c r="X518" s="136"/>
      <c r="Y518" s="137"/>
      <c r="Z518" s="135"/>
      <c r="AA518" s="136"/>
      <c r="AB518" s="138"/>
      <c r="AC518" s="136"/>
      <c r="AD518" s="138"/>
      <c r="AE518" s="139">
        <f t="shared" si="32"/>
        <v>0</v>
      </c>
    </row>
    <row r="519" ht="15.75" customHeight="1" spans="1:31">
      <c r="A519" s="125">
        <v>574</v>
      </c>
      <c r="B519" s="126"/>
      <c r="C519" s="126" t="s">
        <v>2</v>
      </c>
      <c r="D519" s="126" t="s">
        <v>2057</v>
      </c>
      <c r="E519" s="128" t="b">
        <v>1</v>
      </c>
      <c r="F519" s="129" t="b">
        <v>1</v>
      </c>
      <c r="G519" s="129" t="b">
        <v>1</v>
      </c>
      <c r="H519" s="130" t="b">
        <v>1</v>
      </c>
      <c r="I519" s="128"/>
      <c r="J519" s="129"/>
      <c r="K519" s="129"/>
      <c r="L519" s="130"/>
      <c r="M519" s="128"/>
      <c r="N519" s="129"/>
      <c r="O519" s="129"/>
      <c r="P519" s="130"/>
      <c r="Q519" s="128"/>
      <c r="R519" s="129"/>
      <c r="S519" s="129"/>
      <c r="T519" s="130"/>
      <c r="U519" s="128"/>
      <c r="V519" s="129"/>
      <c r="W519" s="131"/>
      <c r="X519" s="129"/>
      <c r="Y519" s="130"/>
      <c r="Z519" s="128"/>
      <c r="AA519" s="129"/>
      <c r="AB519" s="131"/>
      <c r="AC519" s="129"/>
      <c r="AD519" s="131"/>
      <c r="AE519" s="132">
        <f t="shared" si="32"/>
        <v>4</v>
      </c>
    </row>
    <row r="520" ht="15.75" customHeight="1" spans="1:31">
      <c r="A520" s="133">
        <v>575</v>
      </c>
      <c r="B520" s="134"/>
      <c r="C520" s="134" t="s">
        <v>3411</v>
      </c>
      <c r="D520" s="134" t="s">
        <v>3881</v>
      </c>
      <c r="E520" s="135" t="b">
        <v>1</v>
      </c>
      <c r="F520" s="136" t="b">
        <v>1</v>
      </c>
      <c r="G520" s="136" t="b">
        <v>1</v>
      </c>
      <c r="H520" s="137" t="b">
        <v>1</v>
      </c>
      <c r="I520" s="135"/>
      <c r="J520" s="136"/>
      <c r="K520" s="136"/>
      <c r="L520" s="137"/>
      <c r="M520" s="135"/>
      <c r="N520" s="136"/>
      <c r="O520" s="136"/>
      <c r="P520" s="137"/>
      <c r="Q520" s="135"/>
      <c r="R520" s="136"/>
      <c r="S520" s="136"/>
      <c r="T520" s="137"/>
      <c r="U520" s="135"/>
      <c r="V520" s="136"/>
      <c r="W520" s="138"/>
      <c r="X520" s="136"/>
      <c r="Y520" s="137"/>
      <c r="Z520" s="135"/>
      <c r="AA520" s="136"/>
      <c r="AB520" s="138"/>
      <c r="AC520" s="136"/>
      <c r="AD520" s="138"/>
      <c r="AE520" s="139">
        <f t="shared" si="32"/>
        <v>4</v>
      </c>
    </row>
    <row r="521" ht="15.75" customHeight="1" spans="1:31">
      <c r="A521" s="125">
        <v>576</v>
      </c>
      <c r="B521" s="126"/>
      <c r="C521" s="126" t="s">
        <v>3</v>
      </c>
      <c r="D521" s="127" t="s">
        <v>3882</v>
      </c>
      <c r="E521" s="128" t="b">
        <v>1</v>
      </c>
      <c r="F521" s="129" t="b">
        <v>1</v>
      </c>
      <c r="G521" s="129" t="b">
        <v>1</v>
      </c>
      <c r="H521" s="130" t="b">
        <v>1</v>
      </c>
      <c r="I521" s="128"/>
      <c r="J521" s="129"/>
      <c r="K521" s="129"/>
      <c r="L521" s="130"/>
      <c r="M521" s="128"/>
      <c r="N521" s="129"/>
      <c r="O521" s="129"/>
      <c r="P521" s="130"/>
      <c r="Q521" s="128"/>
      <c r="R521" s="129"/>
      <c r="S521" s="129"/>
      <c r="T521" s="130"/>
      <c r="U521" s="128"/>
      <c r="V521" s="129"/>
      <c r="W521" s="131"/>
      <c r="X521" s="129"/>
      <c r="Y521" s="130"/>
      <c r="Z521" s="128"/>
      <c r="AA521" s="129"/>
      <c r="AB521" s="131"/>
      <c r="AC521" s="129"/>
      <c r="AD521" s="131"/>
      <c r="AE521" s="132">
        <f t="shared" si="32"/>
        <v>4</v>
      </c>
    </row>
    <row r="522" ht="15.75" customHeight="1" spans="1:31">
      <c r="A522" s="133">
        <v>578</v>
      </c>
      <c r="C522" s="140" t="s">
        <v>3413</v>
      </c>
      <c r="D522" s="140" t="s">
        <v>3883</v>
      </c>
      <c r="E522" s="144" t="b">
        <v>0</v>
      </c>
      <c r="F522" s="142" t="b">
        <v>0</v>
      </c>
      <c r="G522" s="149" t="b">
        <v>1</v>
      </c>
      <c r="H522" s="143" t="b">
        <v>0</v>
      </c>
      <c r="I522" s="144"/>
      <c r="J522" s="142"/>
      <c r="K522" s="142"/>
      <c r="L522" s="143"/>
      <c r="M522" s="144"/>
      <c r="N522" s="142"/>
      <c r="O522" s="142"/>
      <c r="P522" s="143"/>
      <c r="Q522" s="144"/>
      <c r="R522" s="142"/>
      <c r="S522" s="142"/>
      <c r="T522" s="143"/>
      <c r="U522" s="144"/>
      <c r="V522" s="142"/>
      <c r="X522" s="142"/>
      <c r="Y522" s="143"/>
      <c r="Z522" s="144"/>
      <c r="AA522" s="142"/>
      <c r="AC522" s="142"/>
    </row>
    <row r="523" ht="15.75" customHeight="1" spans="1:31">
      <c r="A523" s="125">
        <v>616</v>
      </c>
      <c r="B523" s="126"/>
      <c r="C523" s="126" t="s">
        <v>3411</v>
      </c>
      <c r="D523" s="126" t="s">
        <v>3884</v>
      </c>
      <c r="E523" s="131" t="b">
        <v>0</v>
      </c>
      <c r="F523" s="131" t="b">
        <v>0</v>
      </c>
      <c r="G523" s="131" t="b">
        <v>1</v>
      </c>
      <c r="H523" s="131" t="b">
        <v>0</v>
      </c>
      <c r="I523" s="131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  <c r="AB523" s="131"/>
      <c r="AC523" s="131"/>
      <c r="AD523" s="131"/>
      <c r="AE523" s="132">
        <f t="shared" ref="AE523:AE527" si="33">COUNTIF(E523:AD523,"TRUE")</f>
        <v>1</v>
      </c>
    </row>
    <row r="524" ht="15.75" customHeight="1" spans="1:31">
      <c r="A524" s="133">
        <v>579</v>
      </c>
      <c r="B524" s="134"/>
      <c r="C524" s="134" t="s">
        <v>2</v>
      </c>
      <c r="D524" s="134" t="s">
        <v>2064</v>
      </c>
      <c r="E524" s="135" t="b">
        <v>0</v>
      </c>
      <c r="F524" s="136" t="b">
        <v>0</v>
      </c>
      <c r="G524" s="136" t="b">
        <v>1</v>
      </c>
      <c r="H524" s="137" t="b">
        <v>1</v>
      </c>
      <c r="I524" s="135"/>
      <c r="J524" s="136"/>
      <c r="K524" s="136"/>
      <c r="L524" s="137"/>
      <c r="M524" s="135"/>
      <c r="N524" s="136"/>
      <c r="O524" s="136"/>
      <c r="P524" s="137"/>
      <c r="Q524" s="135"/>
      <c r="R524" s="136"/>
      <c r="S524" s="136"/>
      <c r="T524" s="137"/>
      <c r="U524" s="135"/>
      <c r="V524" s="136"/>
      <c r="W524" s="138"/>
      <c r="X524" s="136"/>
      <c r="Y524" s="137"/>
      <c r="Z524" s="135"/>
      <c r="AA524" s="136"/>
      <c r="AB524" s="138"/>
      <c r="AC524" s="136"/>
      <c r="AD524" s="138"/>
      <c r="AE524" s="139">
        <f t="shared" si="33"/>
        <v>2</v>
      </c>
    </row>
    <row r="525" ht="15.75" customHeight="1" spans="1:31">
      <c r="A525" s="125">
        <v>581</v>
      </c>
      <c r="B525" s="126"/>
      <c r="C525" s="126" t="s">
        <v>3</v>
      </c>
      <c r="D525" s="126" t="s">
        <v>1370</v>
      </c>
      <c r="E525" s="128" t="b">
        <v>0</v>
      </c>
      <c r="F525" s="129" t="b">
        <v>0</v>
      </c>
      <c r="G525" s="129" t="b">
        <v>1</v>
      </c>
      <c r="H525" s="130" t="b">
        <v>0</v>
      </c>
      <c r="I525" s="128"/>
      <c r="J525" s="129"/>
      <c r="K525" s="129"/>
      <c r="L525" s="130"/>
      <c r="M525" s="128"/>
      <c r="N525" s="129"/>
      <c r="O525" s="129"/>
      <c r="P525" s="130"/>
      <c r="Q525" s="128"/>
      <c r="R525" s="129"/>
      <c r="S525" s="129"/>
      <c r="T525" s="130"/>
      <c r="U525" s="128"/>
      <c r="V525" s="129"/>
      <c r="W525" s="131"/>
      <c r="X525" s="129"/>
      <c r="Y525" s="130"/>
      <c r="Z525" s="128"/>
      <c r="AA525" s="129"/>
      <c r="AB525" s="131"/>
      <c r="AC525" s="129"/>
      <c r="AD525" s="131"/>
      <c r="AE525" s="132">
        <f t="shared" si="33"/>
        <v>1</v>
      </c>
    </row>
    <row r="526" ht="15.75" customHeight="1" spans="1:31">
      <c r="A526" s="133">
        <v>582</v>
      </c>
      <c r="B526" s="134"/>
      <c r="C526" s="134" t="s">
        <v>2</v>
      </c>
      <c r="D526" s="134" t="s">
        <v>3885</v>
      </c>
      <c r="E526" s="135" t="b">
        <v>1</v>
      </c>
      <c r="F526" s="136" t="b">
        <v>1</v>
      </c>
      <c r="G526" s="136" t="b">
        <v>1</v>
      </c>
      <c r="H526" s="137" t="b">
        <v>1</v>
      </c>
      <c r="I526" s="135"/>
      <c r="J526" s="136"/>
      <c r="K526" s="136"/>
      <c r="L526" s="137"/>
      <c r="M526" s="135"/>
      <c r="N526" s="136"/>
      <c r="O526" s="136"/>
      <c r="P526" s="137"/>
      <c r="Q526" s="135"/>
      <c r="R526" s="136"/>
      <c r="S526" s="136"/>
      <c r="T526" s="137"/>
      <c r="U526" s="135"/>
      <c r="V526" s="136"/>
      <c r="W526" s="138"/>
      <c r="X526" s="136"/>
      <c r="Y526" s="137"/>
      <c r="Z526" s="135"/>
      <c r="AA526" s="136"/>
      <c r="AB526" s="138"/>
      <c r="AC526" s="136"/>
      <c r="AD526" s="138"/>
      <c r="AE526" s="139">
        <f t="shared" si="33"/>
        <v>4</v>
      </c>
    </row>
    <row r="527" ht="15.75" customHeight="1" spans="1:31">
      <c r="A527" s="125">
        <v>583</v>
      </c>
      <c r="B527" s="126"/>
      <c r="C527" s="126" t="s">
        <v>3411</v>
      </c>
      <c r="D527" s="126" t="s">
        <v>3886</v>
      </c>
      <c r="E527" s="128" t="b">
        <v>1</v>
      </c>
      <c r="F527" s="129" t="b">
        <v>1</v>
      </c>
      <c r="G527" s="129" t="b">
        <v>1</v>
      </c>
      <c r="H527" s="130" t="b">
        <v>1</v>
      </c>
      <c r="I527" s="128"/>
      <c r="J527" s="129"/>
      <c r="K527" s="129"/>
      <c r="L527" s="130"/>
      <c r="M527" s="128"/>
      <c r="N527" s="129"/>
      <c r="O527" s="129"/>
      <c r="P527" s="130"/>
      <c r="Q527" s="128"/>
      <c r="R527" s="129"/>
      <c r="S527" s="129"/>
      <c r="T527" s="130"/>
      <c r="U527" s="128"/>
      <c r="V527" s="129"/>
      <c r="W527" s="131"/>
      <c r="X527" s="129"/>
      <c r="Y527" s="130"/>
      <c r="Z527" s="128"/>
      <c r="AA527" s="129"/>
      <c r="AB527" s="131"/>
      <c r="AC527" s="129"/>
      <c r="AD527" s="131"/>
      <c r="AE527" s="132">
        <f t="shared" si="33"/>
        <v>4</v>
      </c>
    </row>
    <row r="528" ht="15.75" customHeight="1" spans="1:31">
      <c r="A528" s="133">
        <v>585</v>
      </c>
      <c r="C528" s="140" t="s">
        <v>3413</v>
      </c>
      <c r="D528" s="140" t="s">
        <v>3887</v>
      </c>
      <c r="E528" s="141" t="b">
        <v>1</v>
      </c>
      <c r="F528" s="142" t="b">
        <v>0</v>
      </c>
      <c r="G528" s="142" t="b">
        <v>0</v>
      </c>
      <c r="H528" s="150" t="b">
        <v>1</v>
      </c>
      <c r="I528" s="144"/>
      <c r="J528" s="142"/>
      <c r="K528" s="142"/>
      <c r="L528" s="143"/>
      <c r="M528" s="144"/>
      <c r="N528" s="142"/>
      <c r="O528" s="142"/>
      <c r="P528" s="143"/>
      <c r="Q528" s="144"/>
      <c r="R528" s="142"/>
      <c r="S528" s="142"/>
      <c r="T528" s="143"/>
      <c r="U528" s="144"/>
      <c r="V528" s="142"/>
      <c r="X528" s="142"/>
      <c r="Y528" s="143"/>
      <c r="Z528" s="144"/>
      <c r="AA528" s="142"/>
      <c r="AC528" s="142"/>
    </row>
    <row r="529" ht="15.75" customHeight="1" spans="1:31">
      <c r="A529" s="125">
        <v>586</v>
      </c>
      <c r="B529" s="126"/>
      <c r="C529" s="126" t="s">
        <v>3</v>
      </c>
      <c r="D529" s="126" t="s">
        <v>3888</v>
      </c>
      <c r="E529" s="128" t="b">
        <v>1</v>
      </c>
      <c r="F529" s="129" t="b">
        <v>1</v>
      </c>
      <c r="G529" s="129" t="b">
        <v>1</v>
      </c>
      <c r="H529" s="130" t="b">
        <v>1</v>
      </c>
      <c r="I529" s="128"/>
      <c r="J529" s="129"/>
      <c r="K529" s="129"/>
      <c r="L529" s="130"/>
      <c r="M529" s="128"/>
      <c r="N529" s="129"/>
      <c r="O529" s="129"/>
      <c r="P529" s="130"/>
      <c r="Q529" s="128"/>
      <c r="R529" s="129"/>
      <c r="S529" s="129"/>
      <c r="T529" s="130"/>
      <c r="U529" s="128"/>
      <c r="V529" s="129"/>
      <c r="W529" s="131"/>
      <c r="X529" s="129"/>
      <c r="Y529" s="130"/>
      <c r="Z529" s="128"/>
      <c r="AA529" s="129"/>
      <c r="AB529" s="131"/>
      <c r="AC529" s="129"/>
      <c r="AD529" s="131"/>
      <c r="AE529" s="132">
        <f t="shared" ref="AE529:AE531" si="34">COUNTIF(E529:AD529,"TRUE")</f>
        <v>4</v>
      </c>
    </row>
    <row r="530" ht="15.75" customHeight="1" spans="1:31">
      <c r="A530" s="133">
        <v>587</v>
      </c>
      <c r="B530" s="134"/>
      <c r="C530" s="134" t="s">
        <v>2</v>
      </c>
      <c r="D530" s="134" t="s">
        <v>3889</v>
      </c>
      <c r="E530" s="135" t="b">
        <v>1</v>
      </c>
      <c r="F530" s="136" t="b">
        <v>1</v>
      </c>
      <c r="G530" s="136" t="b">
        <v>1</v>
      </c>
      <c r="H530" s="137" t="b">
        <v>1</v>
      </c>
      <c r="I530" s="135"/>
      <c r="J530" s="136"/>
      <c r="K530" s="136"/>
      <c r="L530" s="137"/>
      <c r="M530" s="135"/>
      <c r="N530" s="136"/>
      <c r="O530" s="136"/>
      <c r="P530" s="137"/>
      <c r="Q530" s="135"/>
      <c r="R530" s="136"/>
      <c r="S530" s="136"/>
      <c r="T530" s="137"/>
      <c r="U530" s="135"/>
      <c r="V530" s="136"/>
      <c r="W530" s="138"/>
      <c r="X530" s="136"/>
      <c r="Y530" s="137"/>
      <c r="Z530" s="135"/>
      <c r="AA530" s="136"/>
      <c r="AB530" s="138"/>
      <c r="AC530" s="136"/>
      <c r="AD530" s="138"/>
      <c r="AE530" s="139">
        <f t="shared" si="34"/>
        <v>4</v>
      </c>
    </row>
    <row r="531" ht="15.75" customHeight="1" spans="1:31">
      <c r="A531" s="125">
        <v>588</v>
      </c>
      <c r="B531" s="126"/>
      <c r="C531" s="126" t="s">
        <v>2</v>
      </c>
      <c r="D531" s="126" t="s">
        <v>2069</v>
      </c>
      <c r="E531" s="128" t="b">
        <v>1</v>
      </c>
      <c r="F531" s="129" t="b">
        <v>1</v>
      </c>
      <c r="G531" s="129" t="b">
        <v>1</v>
      </c>
      <c r="H531" s="130" t="b">
        <v>1</v>
      </c>
      <c r="I531" s="128"/>
      <c r="J531" s="129"/>
      <c r="K531" s="129"/>
      <c r="L531" s="130"/>
      <c r="M531" s="128"/>
      <c r="N531" s="129"/>
      <c r="O531" s="129"/>
      <c r="P531" s="130"/>
      <c r="Q531" s="128"/>
      <c r="R531" s="129"/>
      <c r="S531" s="129"/>
      <c r="T531" s="130"/>
      <c r="U531" s="128"/>
      <c r="V531" s="129"/>
      <c r="W531" s="131"/>
      <c r="X531" s="129"/>
      <c r="Y531" s="130"/>
      <c r="Z531" s="128"/>
      <c r="AA531" s="129"/>
      <c r="AB531" s="131"/>
      <c r="AC531" s="129"/>
      <c r="AD531" s="131"/>
      <c r="AE531" s="132">
        <f t="shared" si="34"/>
        <v>4</v>
      </c>
    </row>
    <row r="532" ht="15.75" customHeight="1" spans="1:31">
      <c r="A532" s="133">
        <v>589</v>
      </c>
      <c r="C532" s="140" t="s">
        <v>3413</v>
      </c>
      <c r="D532" s="140" t="s">
        <v>3890</v>
      </c>
      <c r="E532" s="141" t="b">
        <v>1</v>
      </c>
      <c r="F532" s="149" t="b">
        <v>1</v>
      </c>
      <c r="G532" s="149" t="b">
        <v>1</v>
      </c>
      <c r="H532" s="150" t="b">
        <v>1</v>
      </c>
      <c r="I532" s="144"/>
      <c r="J532" s="142"/>
      <c r="K532" s="142"/>
      <c r="L532" s="143"/>
      <c r="M532" s="144"/>
      <c r="N532" s="142"/>
      <c r="O532" s="142"/>
      <c r="P532" s="143"/>
      <c r="Q532" s="144"/>
      <c r="R532" s="142"/>
      <c r="S532" s="142"/>
      <c r="T532" s="143"/>
      <c r="U532" s="144"/>
      <c r="V532" s="142"/>
      <c r="X532" s="142"/>
      <c r="Y532" s="143"/>
      <c r="Z532" s="144"/>
      <c r="AA532" s="142"/>
      <c r="AC532" s="142"/>
    </row>
    <row r="533" ht="15.75" customHeight="1" spans="1:31">
      <c r="A533" s="125">
        <v>590</v>
      </c>
      <c r="B533" s="126"/>
      <c r="C533" s="126" t="s">
        <v>2</v>
      </c>
      <c r="D533" s="126" t="s">
        <v>3891</v>
      </c>
      <c r="E533" s="128" t="b">
        <v>1</v>
      </c>
      <c r="F533" s="129" t="b">
        <v>0</v>
      </c>
      <c r="G533" s="129" t="b">
        <v>1</v>
      </c>
      <c r="H533" s="130" t="b">
        <v>0</v>
      </c>
      <c r="I533" s="128"/>
      <c r="J533" s="129"/>
      <c r="K533" s="129"/>
      <c r="L533" s="130"/>
      <c r="M533" s="128"/>
      <c r="N533" s="129"/>
      <c r="O533" s="129"/>
      <c r="P533" s="130"/>
      <c r="Q533" s="128"/>
      <c r="R533" s="129"/>
      <c r="S533" s="129"/>
      <c r="T533" s="130"/>
      <c r="U533" s="128"/>
      <c r="V533" s="129"/>
      <c r="W533" s="131"/>
      <c r="X533" s="129"/>
      <c r="Y533" s="130"/>
      <c r="Z533" s="128"/>
      <c r="AA533" s="129"/>
      <c r="AB533" s="131"/>
      <c r="AC533" s="129"/>
      <c r="AD533" s="131"/>
      <c r="AE533" s="132">
        <f t="shared" ref="AE533:AE560" si="35">COUNTIF(E533:AD533,"TRUE")</f>
        <v>2</v>
      </c>
    </row>
    <row r="534" ht="15.75" customHeight="1" spans="1:31">
      <c r="A534" s="133">
        <v>591</v>
      </c>
      <c r="B534" s="134"/>
      <c r="C534" s="134" t="s">
        <v>3411</v>
      </c>
      <c r="D534" s="134" t="s">
        <v>3892</v>
      </c>
      <c r="E534" s="138" t="b">
        <v>1</v>
      </c>
      <c r="F534" s="138" t="b">
        <v>1</v>
      </c>
      <c r="G534" s="138" t="b">
        <v>0</v>
      </c>
      <c r="H534" s="138" t="b">
        <v>0</v>
      </c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  <c r="AD534" s="138"/>
      <c r="AE534" s="139">
        <f t="shared" si="35"/>
        <v>2</v>
      </c>
    </row>
    <row r="535" ht="15.75" customHeight="1" spans="1:31">
      <c r="A535" s="125">
        <v>592</v>
      </c>
      <c r="B535" s="126"/>
      <c r="C535" s="126" t="s">
        <v>2</v>
      </c>
      <c r="D535" s="126" t="s">
        <v>3893</v>
      </c>
      <c r="E535" s="128" t="b">
        <v>0</v>
      </c>
      <c r="F535" s="129" t="b">
        <v>0</v>
      </c>
      <c r="G535" s="129" t="b">
        <v>0</v>
      </c>
      <c r="H535" s="130" t="b">
        <v>0</v>
      </c>
      <c r="I535" s="128"/>
      <c r="J535" s="129"/>
      <c r="K535" s="129"/>
      <c r="L535" s="130"/>
      <c r="M535" s="128"/>
      <c r="N535" s="129"/>
      <c r="O535" s="129"/>
      <c r="P535" s="130"/>
      <c r="Q535" s="128"/>
      <c r="R535" s="129"/>
      <c r="S535" s="129"/>
      <c r="T535" s="130"/>
      <c r="U535" s="128"/>
      <c r="V535" s="129"/>
      <c r="W535" s="131"/>
      <c r="X535" s="129"/>
      <c r="Y535" s="130"/>
      <c r="Z535" s="128"/>
      <c r="AA535" s="129"/>
      <c r="AB535" s="131"/>
      <c r="AC535" s="129"/>
      <c r="AD535" s="131"/>
      <c r="AE535" s="132">
        <f t="shared" si="35"/>
        <v>0</v>
      </c>
    </row>
    <row r="536" ht="15.75" customHeight="1" spans="1:31">
      <c r="A536" s="133">
        <v>593</v>
      </c>
      <c r="B536" s="140" t="s">
        <v>3434</v>
      </c>
      <c r="C536" s="134"/>
      <c r="D536" s="152" t="s">
        <v>3894</v>
      </c>
      <c r="E536" s="135" t="b">
        <v>0</v>
      </c>
      <c r="F536" s="136" t="b">
        <v>0</v>
      </c>
      <c r="G536" s="136" t="b">
        <v>0</v>
      </c>
      <c r="H536" s="137" t="b">
        <v>0</v>
      </c>
      <c r="I536" s="135"/>
      <c r="J536" s="136"/>
      <c r="K536" s="136"/>
      <c r="L536" s="137"/>
      <c r="M536" s="135"/>
      <c r="N536" s="136"/>
      <c r="O536" s="136"/>
      <c r="P536" s="137"/>
      <c r="Q536" s="135"/>
      <c r="R536" s="136"/>
      <c r="S536" s="136"/>
      <c r="T536" s="137"/>
      <c r="U536" s="135"/>
      <c r="V536" s="136"/>
      <c r="W536" s="138"/>
      <c r="X536" s="136"/>
      <c r="Y536" s="137"/>
      <c r="Z536" s="135"/>
      <c r="AA536" s="136"/>
      <c r="AB536" s="138"/>
      <c r="AC536" s="136"/>
      <c r="AD536" s="138"/>
      <c r="AE536" s="139">
        <f t="shared" si="35"/>
        <v>0</v>
      </c>
    </row>
    <row r="537" ht="15.75" customHeight="1" spans="1:31">
      <c r="A537" s="125">
        <v>595</v>
      </c>
      <c r="B537" s="126"/>
      <c r="C537" s="126" t="s">
        <v>3411</v>
      </c>
      <c r="D537" s="126" t="s">
        <v>3895</v>
      </c>
      <c r="E537" s="128" t="b">
        <v>0</v>
      </c>
      <c r="F537" s="129" t="b">
        <v>0</v>
      </c>
      <c r="G537" s="129" t="b">
        <v>1</v>
      </c>
      <c r="H537" s="130" t="b">
        <v>0</v>
      </c>
      <c r="I537" s="128"/>
      <c r="J537" s="129"/>
      <c r="K537" s="129"/>
      <c r="L537" s="130"/>
      <c r="M537" s="128"/>
      <c r="N537" s="129"/>
      <c r="O537" s="129"/>
      <c r="P537" s="130"/>
      <c r="Q537" s="128"/>
      <c r="R537" s="129"/>
      <c r="S537" s="129"/>
      <c r="T537" s="130"/>
      <c r="U537" s="128"/>
      <c r="V537" s="129"/>
      <c r="W537" s="131"/>
      <c r="X537" s="129"/>
      <c r="Y537" s="130"/>
      <c r="Z537" s="128"/>
      <c r="AA537" s="129"/>
      <c r="AB537" s="131"/>
      <c r="AC537" s="129"/>
      <c r="AD537" s="131"/>
      <c r="AE537" s="132">
        <f t="shared" si="35"/>
        <v>1</v>
      </c>
    </row>
    <row r="538" ht="15.75" customHeight="1" spans="1:31">
      <c r="A538" s="133">
        <v>596</v>
      </c>
      <c r="B538" s="134"/>
      <c r="C538" s="134" t="s">
        <v>3411</v>
      </c>
      <c r="D538" s="134" t="s">
        <v>3896</v>
      </c>
      <c r="E538" s="135" t="b">
        <v>0</v>
      </c>
      <c r="F538" s="136" t="b">
        <v>0</v>
      </c>
      <c r="G538" s="136" t="b">
        <v>0</v>
      </c>
      <c r="H538" s="137" t="b">
        <v>0</v>
      </c>
      <c r="I538" s="135"/>
      <c r="J538" s="136"/>
      <c r="K538" s="136"/>
      <c r="L538" s="137"/>
      <c r="M538" s="135"/>
      <c r="N538" s="136"/>
      <c r="O538" s="136"/>
      <c r="P538" s="137"/>
      <c r="Q538" s="135"/>
      <c r="R538" s="136"/>
      <c r="S538" s="136"/>
      <c r="T538" s="137"/>
      <c r="U538" s="135"/>
      <c r="V538" s="136"/>
      <c r="W538" s="138"/>
      <c r="X538" s="136"/>
      <c r="Y538" s="137"/>
      <c r="Z538" s="135"/>
      <c r="AA538" s="136"/>
      <c r="AB538" s="138"/>
      <c r="AC538" s="136"/>
      <c r="AD538" s="138"/>
      <c r="AE538" s="139">
        <f t="shared" si="35"/>
        <v>0</v>
      </c>
    </row>
    <row r="539" ht="15.75" customHeight="1" spans="1:31">
      <c r="A539" s="125">
        <v>597</v>
      </c>
      <c r="B539" s="126"/>
      <c r="C539" s="126" t="s">
        <v>2</v>
      </c>
      <c r="D539" s="126" t="s">
        <v>3897</v>
      </c>
      <c r="E539" s="128" t="b">
        <v>1</v>
      </c>
      <c r="F539" s="129" t="b">
        <v>1</v>
      </c>
      <c r="G539" s="129" t="b">
        <v>1</v>
      </c>
      <c r="H539" s="130" t="b">
        <v>1</v>
      </c>
      <c r="I539" s="128"/>
      <c r="J539" s="129"/>
      <c r="K539" s="129"/>
      <c r="L539" s="130"/>
      <c r="M539" s="128"/>
      <c r="N539" s="129"/>
      <c r="O539" s="129"/>
      <c r="P539" s="130"/>
      <c r="Q539" s="128"/>
      <c r="R539" s="129"/>
      <c r="S539" s="129"/>
      <c r="T539" s="130"/>
      <c r="U539" s="128"/>
      <c r="V539" s="129"/>
      <c r="W539" s="131"/>
      <c r="X539" s="129"/>
      <c r="Y539" s="130"/>
      <c r="Z539" s="128"/>
      <c r="AA539" s="129"/>
      <c r="AB539" s="131"/>
      <c r="AC539" s="129"/>
      <c r="AD539" s="131"/>
      <c r="AE539" s="132">
        <f t="shared" si="35"/>
        <v>4</v>
      </c>
    </row>
    <row r="540" ht="15.75" customHeight="1" spans="1:31">
      <c r="A540" s="133">
        <v>598</v>
      </c>
      <c r="B540" s="134"/>
      <c r="C540" s="134" t="s">
        <v>3411</v>
      </c>
      <c r="D540" s="134" t="s">
        <v>3898</v>
      </c>
      <c r="E540" s="135" t="b">
        <v>1</v>
      </c>
      <c r="F540" s="136" t="b">
        <v>1</v>
      </c>
      <c r="G540" s="136" t="b">
        <v>0</v>
      </c>
      <c r="H540" s="137" t="b">
        <v>1</v>
      </c>
      <c r="I540" s="135"/>
      <c r="J540" s="136"/>
      <c r="K540" s="136"/>
      <c r="L540" s="137"/>
      <c r="M540" s="135"/>
      <c r="N540" s="136"/>
      <c r="O540" s="136"/>
      <c r="P540" s="137"/>
      <c r="Q540" s="135"/>
      <c r="R540" s="136"/>
      <c r="S540" s="136"/>
      <c r="T540" s="137"/>
      <c r="U540" s="135"/>
      <c r="V540" s="136"/>
      <c r="W540" s="138"/>
      <c r="X540" s="136"/>
      <c r="Y540" s="137"/>
      <c r="Z540" s="135"/>
      <c r="AA540" s="136"/>
      <c r="AB540" s="138"/>
      <c r="AC540" s="136"/>
      <c r="AD540" s="138"/>
      <c r="AE540" s="139">
        <f t="shared" si="35"/>
        <v>3</v>
      </c>
    </row>
    <row r="541" ht="15.75" customHeight="1" spans="1:31">
      <c r="A541" s="125">
        <v>599</v>
      </c>
      <c r="B541" s="126"/>
      <c r="C541" s="126" t="s">
        <v>3411</v>
      </c>
      <c r="D541" s="126" t="s">
        <v>3899</v>
      </c>
      <c r="E541" s="128" t="b">
        <v>1</v>
      </c>
      <c r="F541" s="129" t="b">
        <v>1</v>
      </c>
      <c r="G541" s="129" t="b">
        <v>1</v>
      </c>
      <c r="H541" s="130" t="b">
        <v>0</v>
      </c>
      <c r="I541" s="128"/>
      <c r="J541" s="129"/>
      <c r="K541" s="129"/>
      <c r="L541" s="130"/>
      <c r="M541" s="128"/>
      <c r="N541" s="129"/>
      <c r="O541" s="129"/>
      <c r="P541" s="130"/>
      <c r="Q541" s="128"/>
      <c r="R541" s="129"/>
      <c r="S541" s="129"/>
      <c r="T541" s="130"/>
      <c r="U541" s="128"/>
      <c r="V541" s="129"/>
      <c r="W541" s="131"/>
      <c r="X541" s="129"/>
      <c r="Y541" s="130"/>
      <c r="Z541" s="128"/>
      <c r="AA541" s="129"/>
      <c r="AB541" s="131"/>
      <c r="AC541" s="129"/>
      <c r="AD541" s="131"/>
      <c r="AE541" s="132">
        <f t="shared" si="35"/>
        <v>3</v>
      </c>
    </row>
    <row r="542" ht="15.75" customHeight="1" spans="1:31">
      <c r="A542" s="133">
        <v>600</v>
      </c>
      <c r="B542" s="140" t="s">
        <v>3900</v>
      </c>
      <c r="C542" s="134" t="s">
        <v>3411</v>
      </c>
      <c r="D542" s="134" t="s">
        <v>3901</v>
      </c>
      <c r="E542" s="135" t="b">
        <v>1</v>
      </c>
      <c r="F542" s="136" t="b">
        <v>1</v>
      </c>
      <c r="G542" s="136" t="b">
        <v>1</v>
      </c>
      <c r="H542" s="137" t="b">
        <v>1</v>
      </c>
      <c r="I542" s="135"/>
      <c r="J542" s="136"/>
      <c r="K542" s="136"/>
      <c r="L542" s="137"/>
      <c r="M542" s="135"/>
      <c r="N542" s="136"/>
      <c r="O542" s="136"/>
      <c r="P542" s="137"/>
      <c r="Q542" s="135"/>
      <c r="R542" s="136"/>
      <c r="S542" s="136"/>
      <c r="T542" s="137"/>
      <c r="U542" s="135"/>
      <c r="V542" s="136"/>
      <c r="W542" s="138"/>
      <c r="X542" s="136"/>
      <c r="Y542" s="137"/>
      <c r="Z542" s="135"/>
      <c r="AA542" s="136"/>
      <c r="AB542" s="138"/>
      <c r="AC542" s="136"/>
      <c r="AD542" s="138"/>
      <c r="AE542" s="139">
        <f t="shared" si="35"/>
        <v>4</v>
      </c>
    </row>
    <row r="543" ht="15.75" customHeight="1" spans="1:31">
      <c r="A543" s="125">
        <v>601</v>
      </c>
      <c r="B543" s="126"/>
      <c r="C543" s="126" t="s">
        <v>3</v>
      </c>
      <c r="D543" s="126" t="s">
        <v>3902</v>
      </c>
      <c r="E543" s="128" t="b">
        <v>0</v>
      </c>
      <c r="F543" s="129" t="b">
        <v>0</v>
      </c>
      <c r="G543" s="129" t="b">
        <v>0</v>
      </c>
      <c r="H543" s="130" t="b">
        <v>0</v>
      </c>
      <c r="I543" s="128"/>
      <c r="J543" s="129"/>
      <c r="K543" s="129"/>
      <c r="L543" s="130"/>
      <c r="M543" s="128"/>
      <c r="N543" s="129"/>
      <c r="O543" s="129"/>
      <c r="P543" s="130"/>
      <c r="Q543" s="128"/>
      <c r="R543" s="129"/>
      <c r="S543" s="129"/>
      <c r="T543" s="130"/>
      <c r="U543" s="128"/>
      <c r="V543" s="129"/>
      <c r="W543" s="131"/>
      <c r="X543" s="129"/>
      <c r="Y543" s="130"/>
      <c r="Z543" s="128"/>
      <c r="AA543" s="129"/>
      <c r="AB543" s="131"/>
      <c r="AC543" s="129"/>
      <c r="AD543" s="131"/>
      <c r="AE543" s="132">
        <f t="shared" si="35"/>
        <v>0</v>
      </c>
    </row>
    <row r="544" ht="15.75" customHeight="1" spans="1:31">
      <c r="A544" s="133">
        <v>602</v>
      </c>
      <c r="B544" s="134"/>
      <c r="C544" s="134" t="s">
        <v>2</v>
      </c>
      <c r="D544" s="134" t="s">
        <v>3903</v>
      </c>
      <c r="E544" s="138" t="b">
        <v>1</v>
      </c>
      <c r="F544" s="138" t="b">
        <v>1</v>
      </c>
      <c r="G544" s="138" t="b">
        <v>1</v>
      </c>
      <c r="H544" s="138" t="b">
        <v>1</v>
      </c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  <c r="AD544" s="138"/>
      <c r="AE544" s="139">
        <f t="shared" si="35"/>
        <v>4</v>
      </c>
    </row>
    <row r="545" ht="15.75" customHeight="1" spans="1:31">
      <c r="A545" s="125">
        <v>604</v>
      </c>
      <c r="B545" s="126"/>
      <c r="C545" s="126" t="s">
        <v>2</v>
      </c>
      <c r="D545" s="126" t="s">
        <v>2079</v>
      </c>
      <c r="E545" s="128" t="b">
        <v>0</v>
      </c>
      <c r="F545" s="129" t="b">
        <v>0</v>
      </c>
      <c r="G545" s="129" t="b">
        <v>0</v>
      </c>
      <c r="H545" s="130" t="b">
        <v>0</v>
      </c>
      <c r="I545" s="128"/>
      <c r="J545" s="129"/>
      <c r="K545" s="129"/>
      <c r="L545" s="130"/>
      <c r="M545" s="128"/>
      <c r="N545" s="129"/>
      <c r="O545" s="129"/>
      <c r="P545" s="130"/>
      <c r="Q545" s="128"/>
      <c r="R545" s="129"/>
      <c r="S545" s="129"/>
      <c r="T545" s="130"/>
      <c r="U545" s="128"/>
      <c r="V545" s="129"/>
      <c r="W545" s="131"/>
      <c r="X545" s="129"/>
      <c r="Y545" s="130"/>
      <c r="Z545" s="128"/>
      <c r="AA545" s="129"/>
      <c r="AB545" s="131"/>
      <c r="AC545" s="129"/>
      <c r="AD545" s="131"/>
      <c r="AE545" s="132">
        <f t="shared" si="35"/>
        <v>0</v>
      </c>
    </row>
    <row r="546" ht="15.75" customHeight="1" spans="1:31">
      <c r="A546" s="133">
        <v>605</v>
      </c>
      <c r="B546" s="134"/>
      <c r="C546" s="134" t="s">
        <v>3</v>
      </c>
      <c r="D546" s="134" t="s">
        <v>1008</v>
      </c>
      <c r="E546" s="135" t="b">
        <v>1</v>
      </c>
      <c r="F546" s="136" t="b">
        <v>0</v>
      </c>
      <c r="G546" s="136" t="b">
        <v>0</v>
      </c>
      <c r="H546" s="137" t="b">
        <v>0</v>
      </c>
      <c r="I546" s="135"/>
      <c r="J546" s="136"/>
      <c r="K546" s="136"/>
      <c r="L546" s="137"/>
      <c r="M546" s="135"/>
      <c r="N546" s="136"/>
      <c r="O546" s="136"/>
      <c r="P546" s="137"/>
      <c r="Q546" s="135"/>
      <c r="R546" s="136"/>
      <c r="S546" s="136"/>
      <c r="T546" s="137"/>
      <c r="U546" s="135"/>
      <c r="V546" s="136"/>
      <c r="W546" s="138"/>
      <c r="X546" s="136"/>
      <c r="Y546" s="137"/>
      <c r="Z546" s="135"/>
      <c r="AA546" s="136"/>
      <c r="AB546" s="138"/>
      <c r="AC546" s="136"/>
      <c r="AD546" s="138"/>
      <c r="AE546" s="139">
        <f t="shared" si="35"/>
        <v>1</v>
      </c>
    </row>
    <row r="547" ht="15.75" customHeight="1" spans="1:31">
      <c r="A547" s="125">
        <v>606</v>
      </c>
      <c r="B547" s="126"/>
      <c r="C547" s="126" t="s">
        <v>3413</v>
      </c>
      <c r="D547" s="126" t="s">
        <v>3904</v>
      </c>
      <c r="E547" s="128" t="b">
        <v>0</v>
      </c>
      <c r="F547" s="129" t="b">
        <v>0</v>
      </c>
      <c r="G547" s="129" t="b">
        <v>0</v>
      </c>
      <c r="H547" s="130" t="b">
        <v>0</v>
      </c>
      <c r="I547" s="128"/>
      <c r="J547" s="129"/>
      <c r="K547" s="129"/>
      <c r="L547" s="130"/>
      <c r="M547" s="128"/>
      <c r="N547" s="129"/>
      <c r="O547" s="129"/>
      <c r="P547" s="130"/>
      <c r="Q547" s="128"/>
      <c r="R547" s="129"/>
      <c r="S547" s="129"/>
      <c r="T547" s="130"/>
      <c r="U547" s="128"/>
      <c r="V547" s="129"/>
      <c r="W547" s="131"/>
      <c r="X547" s="129"/>
      <c r="Y547" s="130"/>
      <c r="Z547" s="128"/>
      <c r="AA547" s="129"/>
      <c r="AB547" s="131"/>
      <c r="AC547" s="129"/>
      <c r="AD547" s="131"/>
      <c r="AE547" s="132">
        <f t="shared" si="35"/>
        <v>0</v>
      </c>
    </row>
    <row r="548" ht="15.75" customHeight="1" spans="1:31">
      <c r="A548" s="133">
        <v>608</v>
      </c>
      <c r="B548" s="134"/>
      <c r="C548" s="134"/>
      <c r="D548" s="134" t="s">
        <v>3905</v>
      </c>
      <c r="E548" s="135" t="b">
        <v>0</v>
      </c>
      <c r="F548" s="136" t="b">
        <v>1</v>
      </c>
      <c r="G548" s="136" t="b">
        <v>0</v>
      </c>
      <c r="H548" s="137" t="b">
        <v>0</v>
      </c>
      <c r="I548" s="135"/>
      <c r="J548" s="136"/>
      <c r="K548" s="136"/>
      <c r="L548" s="137"/>
      <c r="M548" s="135"/>
      <c r="N548" s="136"/>
      <c r="O548" s="136"/>
      <c r="P548" s="137"/>
      <c r="Q548" s="135"/>
      <c r="R548" s="136"/>
      <c r="S548" s="136"/>
      <c r="T548" s="137"/>
      <c r="U548" s="135"/>
      <c r="V548" s="136"/>
      <c r="W548" s="138"/>
      <c r="X548" s="136"/>
      <c r="Y548" s="137"/>
      <c r="Z548" s="135"/>
      <c r="AA548" s="136"/>
      <c r="AB548" s="138"/>
      <c r="AC548" s="136"/>
      <c r="AD548" s="138"/>
      <c r="AE548" s="139">
        <f t="shared" si="35"/>
        <v>1</v>
      </c>
    </row>
    <row r="549" ht="15.75" customHeight="1" spans="1:31">
      <c r="A549" s="125">
        <v>609</v>
      </c>
      <c r="B549" s="126"/>
      <c r="C549" s="126" t="s">
        <v>3413</v>
      </c>
      <c r="D549" s="126" t="s">
        <v>3906</v>
      </c>
      <c r="E549" s="128" t="b">
        <v>1</v>
      </c>
      <c r="F549" s="129" t="b">
        <v>1</v>
      </c>
      <c r="G549" s="129" t="b">
        <v>1</v>
      </c>
      <c r="H549" s="130" t="b">
        <v>1</v>
      </c>
      <c r="I549" s="128"/>
      <c r="J549" s="129"/>
      <c r="K549" s="129"/>
      <c r="L549" s="130"/>
      <c r="M549" s="128"/>
      <c r="N549" s="129"/>
      <c r="O549" s="129"/>
      <c r="P549" s="130"/>
      <c r="Q549" s="128"/>
      <c r="R549" s="129"/>
      <c r="S549" s="129"/>
      <c r="T549" s="130"/>
      <c r="U549" s="128"/>
      <c r="V549" s="129"/>
      <c r="W549" s="131"/>
      <c r="X549" s="129"/>
      <c r="Y549" s="130"/>
      <c r="Z549" s="128"/>
      <c r="AA549" s="129"/>
      <c r="AB549" s="131"/>
      <c r="AC549" s="129"/>
      <c r="AD549" s="131"/>
      <c r="AE549" s="132">
        <f t="shared" si="35"/>
        <v>4</v>
      </c>
    </row>
    <row r="550" ht="15.75" customHeight="1" spans="1:31">
      <c r="A550" s="133">
        <v>610</v>
      </c>
      <c r="B550" s="134"/>
      <c r="C550" s="134" t="s">
        <v>2</v>
      </c>
      <c r="D550" s="134" t="s">
        <v>3349</v>
      </c>
      <c r="E550" s="135" t="b">
        <v>1</v>
      </c>
      <c r="F550" s="136" t="b">
        <v>1</v>
      </c>
      <c r="G550" s="136" t="b">
        <v>1</v>
      </c>
      <c r="H550" s="137" t="b">
        <v>1</v>
      </c>
      <c r="I550" s="135"/>
      <c r="J550" s="136"/>
      <c r="K550" s="136"/>
      <c r="L550" s="137"/>
      <c r="M550" s="135"/>
      <c r="N550" s="136"/>
      <c r="O550" s="136"/>
      <c r="P550" s="137"/>
      <c r="Q550" s="135"/>
      <c r="R550" s="136"/>
      <c r="S550" s="136"/>
      <c r="T550" s="137"/>
      <c r="U550" s="135"/>
      <c r="V550" s="136"/>
      <c r="W550" s="138"/>
      <c r="X550" s="136"/>
      <c r="Y550" s="137"/>
      <c r="Z550" s="135"/>
      <c r="AA550" s="136"/>
      <c r="AB550" s="138"/>
      <c r="AC550" s="136"/>
      <c r="AD550" s="138"/>
      <c r="AE550" s="139">
        <f t="shared" si="35"/>
        <v>4</v>
      </c>
    </row>
    <row r="551" ht="15.75" customHeight="1" spans="1:31">
      <c r="A551" s="125">
        <v>611</v>
      </c>
      <c r="B551" s="127" t="s">
        <v>3434</v>
      </c>
      <c r="C551" s="126"/>
      <c r="D551" s="127" t="s">
        <v>3907</v>
      </c>
      <c r="E551" s="128" t="b">
        <v>0</v>
      </c>
      <c r="F551" s="129" t="b">
        <v>0</v>
      </c>
      <c r="G551" s="129" t="b">
        <v>1</v>
      </c>
      <c r="H551" s="130" t="b">
        <v>1</v>
      </c>
      <c r="I551" s="128"/>
      <c r="J551" s="129"/>
      <c r="K551" s="129"/>
      <c r="L551" s="130"/>
      <c r="M551" s="128"/>
      <c r="N551" s="129"/>
      <c r="O551" s="129"/>
      <c r="P551" s="130"/>
      <c r="Q551" s="128"/>
      <c r="R551" s="129"/>
      <c r="S551" s="129"/>
      <c r="T551" s="130"/>
      <c r="U551" s="128"/>
      <c r="V551" s="129"/>
      <c r="W551" s="131"/>
      <c r="X551" s="129"/>
      <c r="Y551" s="130"/>
      <c r="Z551" s="128"/>
      <c r="AA551" s="129"/>
      <c r="AB551" s="131"/>
      <c r="AC551" s="129"/>
      <c r="AD551" s="131"/>
      <c r="AE551" s="132">
        <f t="shared" si="35"/>
        <v>2</v>
      </c>
    </row>
    <row r="552" ht="12.75" customHeight="1" spans="1:31">
      <c r="A552" s="133">
        <v>613</v>
      </c>
      <c r="B552" s="140" t="s">
        <v>3434</v>
      </c>
      <c r="C552" s="134"/>
      <c r="D552" s="152" t="s">
        <v>3908</v>
      </c>
      <c r="E552" s="135" t="b">
        <v>0</v>
      </c>
      <c r="F552" s="136" t="b">
        <v>0</v>
      </c>
      <c r="G552" s="136" t="b">
        <v>0</v>
      </c>
      <c r="H552" s="137" t="b">
        <v>1</v>
      </c>
      <c r="I552" s="135"/>
      <c r="J552" s="136"/>
      <c r="K552" s="136"/>
      <c r="L552" s="137"/>
      <c r="M552" s="135"/>
      <c r="N552" s="136"/>
      <c r="O552" s="136"/>
      <c r="P552" s="137"/>
      <c r="Q552" s="135"/>
      <c r="R552" s="136"/>
      <c r="S552" s="136"/>
      <c r="T552" s="137"/>
      <c r="U552" s="135"/>
      <c r="V552" s="136"/>
      <c r="W552" s="138"/>
      <c r="X552" s="136"/>
      <c r="Y552" s="137"/>
      <c r="Z552" s="135"/>
      <c r="AA552" s="136"/>
      <c r="AB552" s="138"/>
      <c r="AC552" s="136"/>
      <c r="AD552" s="138"/>
      <c r="AE552" s="139">
        <f t="shared" si="35"/>
        <v>1</v>
      </c>
    </row>
    <row r="553" ht="15.75" customHeight="1" spans="1:31">
      <c r="A553" s="125">
        <v>627</v>
      </c>
      <c r="B553" s="126"/>
      <c r="C553" s="126" t="s">
        <v>3411</v>
      </c>
      <c r="D553" s="126" t="s">
        <v>3909</v>
      </c>
      <c r="E553" s="128" t="b">
        <v>1</v>
      </c>
      <c r="F553" s="129" t="b">
        <v>0</v>
      </c>
      <c r="G553" s="129" t="b">
        <v>1</v>
      </c>
      <c r="H553" s="130" t="b">
        <v>1</v>
      </c>
      <c r="I553" s="128"/>
      <c r="J553" s="129"/>
      <c r="K553" s="129"/>
      <c r="L553" s="130"/>
      <c r="M553" s="128"/>
      <c r="N553" s="129"/>
      <c r="O553" s="129"/>
      <c r="P553" s="130"/>
      <c r="Q553" s="128"/>
      <c r="R553" s="129"/>
      <c r="S553" s="129"/>
      <c r="T553" s="130"/>
      <c r="U553" s="128"/>
      <c r="V553" s="129"/>
      <c r="W553" s="131"/>
      <c r="X553" s="129"/>
      <c r="Y553" s="130"/>
      <c r="Z553" s="128"/>
      <c r="AA553" s="129"/>
      <c r="AB553" s="131"/>
      <c r="AC553" s="129"/>
      <c r="AD553" s="131"/>
      <c r="AE553" s="132">
        <f t="shared" si="35"/>
        <v>3</v>
      </c>
    </row>
    <row r="554" ht="15.75" customHeight="1" spans="1:31">
      <c r="A554" s="133">
        <v>628</v>
      </c>
      <c r="B554" s="134"/>
      <c r="D554" s="134" t="s">
        <v>3910</v>
      </c>
      <c r="E554" s="138" t="b">
        <v>0</v>
      </c>
      <c r="F554" s="138" t="b">
        <v>0</v>
      </c>
      <c r="G554" s="138" t="b">
        <v>0</v>
      </c>
      <c r="H554" s="138" t="b">
        <v>0</v>
      </c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38"/>
      <c r="AD554" s="138"/>
      <c r="AE554" s="139">
        <f t="shared" si="35"/>
        <v>0</v>
      </c>
    </row>
    <row r="555" ht="15.75" customHeight="1" spans="1:31">
      <c r="A555" s="125">
        <v>629</v>
      </c>
      <c r="B555" s="126"/>
      <c r="C555" s="126" t="s">
        <v>2</v>
      </c>
      <c r="D555" s="126" t="s">
        <v>3911</v>
      </c>
      <c r="E555" s="128" t="b">
        <v>0</v>
      </c>
      <c r="F555" s="129" t="b">
        <v>0</v>
      </c>
      <c r="G555" s="129" t="b">
        <v>0</v>
      </c>
      <c r="H555" s="130" t="b">
        <v>0</v>
      </c>
      <c r="I555" s="128"/>
      <c r="J555" s="129"/>
      <c r="K555" s="129"/>
      <c r="L555" s="130"/>
      <c r="M555" s="128"/>
      <c r="N555" s="129"/>
      <c r="O555" s="129"/>
      <c r="P555" s="130"/>
      <c r="Q555" s="128"/>
      <c r="R555" s="129"/>
      <c r="S555" s="129"/>
      <c r="T555" s="130"/>
      <c r="U555" s="128"/>
      <c r="V555" s="129"/>
      <c r="W555" s="131"/>
      <c r="X555" s="129"/>
      <c r="Y555" s="130"/>
      <c r="Z555" s="128"/>
      <c r="AA555" s="129"/>
      <c r="AB555" s="131"/>
      <c r="AC555" s="129"/>
      <c r="AD555" s="131"/>
      <c r="AE555" s="132">
        <f t="shared" si="35"/>
        <v>0</v>
      </c>
    </row>
    <row r="556" ht="15.75" customHeight="1" spans="1:31">
      <c r="A556" s="125">
        <v>631</v>
      </c>
      <c r="B556" s="126"/>
      <c r="C556" s="126" t="s">
        <v>3</v>
      </c>
      <c r="D556" s="126" t="s">
        <v>3912</v>
      </c>
      <c r="E556" s="128" t="b">
        <v>1</v>
      </c>
      <c r="F556" s="129" t="b">
        <v>1</v>
      </c>
      <c r="G556" s="129" t="b">
        <v>1</v>
      </c>
      <c r="H556" s="130" t="b">
        <v>1</v>
      </c>
      <c r="I556" s="128"/>
      <c r="J556" s="129"/>
      <c r="K556" s="129"/>
      <c r="L556" s="130"/>
      <c r="M556" s="128"/>
      <c r="N556" s="129"/>
      <c r="O556" s="129"/>
      <c r="P556" s="130"/>
      <c r="Q556" s="128"/>
      <c r="R556" s="129"/>
      <c r="S556" s="129"/>
      <c r="T556" s="130"/>
      <c r="U556" s="128"/>
      <c r="V556" s="129"/>
      <c r="W556" s="131"/>
      <c r="X556" s="129"/>
      <c r="Y556" s="130"/>
      <c r="Z556" s="128"/>
      <c r="AA556" s="129"/>
      <c r="AB556" s="131"/>
      <c r="AC556" s="129"/>
      <c r="AD556" s="131"/>
      <c r="AE556" s="132">
        <f t="shared" si="35"/>
        <v>4</v>
      </c>
    </row>
    <row r="557" ht="15.75" customHeight="1" spans="1:31">
      <c r="A557" s="133">
        <v>632</v>
      </c>
      <c r="B557" s="134"/>
      <c r="C557" s="140" t="s">
        <v>3913</v>
      </c>
      <c r="D557" s="140" t="s">
        <v>3914</v>
      </c>
      <c r="E557" s="138" t="b">
        <v>0</v>
      </c>
      <c r="F557" s="138" t="b">
        <v>0</v>
      </c>
      <c r="G557" s="138" t="b">
        <v>1</v>
      </c>
      <c r="H557" s="138" t="b">
        <v>1</v>
      </c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38"/>
      <c r="AD557" s="138"/>
      <c r="AE557" s="139">
        <f t="shared" si="35"/>
        <v>2</v>
      </c>
    </row>
    <row r="558" ht="15.75" customHeight="1" spans="1:31">
      <c r="A558" s="125">
        <v>634</v>
      </c>
      <c r="B558" s="126"/>
      <c r="C558" s="127" t="s">
        <v>3411</v>
      </c>
      <c r="D558" s="127" t="s">
        <v>3915</v>
      </c>
      <c r="E558" s="131" t="b">
        <v>0</v>
      </c>
      <c r="F558" s="131" t="b">
        <v>0</v>
      </c>
      <c r="G558" s="131" t="b">
        <v>1</v>
      </c>
      <c r="H558" s="131" t="b">
        <v>1</v>
      </c>
      <c r="I558" s="131"/>
      <c r="J558" s="131"/>
      <c r="K558" s="131"/>
      <c r="L558" s="131"/>
      <c r="M558" s="131"/>
      <c r="N558" s="131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  <c r="AB558" s="131"/>
      <c r="AC558" s="131"/>
      <c r="AD558" s="131"/>
      <c r="AE558" s="132">
        <f t="shared" si="35"/>
        <v>2</v>
      </c>
    </row>
    <row r="559" ht="15.75" customHeight="1" spans="1:31">
      <c r="A559" s="125">
        <v>635</v>
      </c>
      <c r="B559" s="126"/>
      <c r="C559" s="126" t="s">
        <v>2</v>
      </c>
      <c r="D559" s="126" t="s">
        <v>3916</v>
      </c>
      <c r="E559" s="128" t="b">
        <v>1</v>
      </c>
      <c r="F559" s="129" t="b">
        <v>1</v>
      </c>
      <c r="G559" s="129" t="b">
        <v>1</v>
      </c>
      <c r="H559" s="130" t="b">
        <v>1</v>
      </c>
      <c r="I559" s="128"/>
      <c r="J559" s="129"/>
      <c r="K559" s="129"/>
      <c r="L559" s="130"/>
      <c r="M559" s="128"/>
      <c r="N559" s="129"/>
      <c r="O559" s="129"/>
      <c r="P559" s="130"/>
      <c r="Q559" s="128"/>
      <c r="R559" s="129"/>
      <c r="S559" s="129"/>
      <c r="T559" s="130"/>
      <c r="U559" s="128"/>
      <c r="V559" s="129"/>
      <c r="W559" s="131"/>
      <c r="X559" s="129"/>
      <c r="Y559" s="130"/>
      <c r="Z559" s="128"/>
      <c r="AA559" s="129"/>
      <c r="AB559" s="131"/>
      <c r="AC559" s="129"/>
      <c r="AD559" s="131"/>
      <c r="AE559" s="132">
        <f t="shared" si="35"/>
        <v>4</v>
      </c>
    </row>
    <row r="560" ht="15.75" customHeight="1" spans="1:31">
      <c r="A560" s="133">
        <v>637</v>
      </c>
      <c r="B560" s="134"/>
      <c r="C560" s="134"/>
      <c r="D560" s="134" t="s">
        <v>3917</v>
      </c>
      <c r="E560" s="135" t="b">
        <v>1</v>
      </c>
      <c r="F560" s="136" t="b">
        <v>0</v>
      </c>
      <c r="G560" s="136" t="b">
        <v>1</v>
      </c>
      <c r="H560" s="137" t="b">
        <v>1</v>
      </c>
      <c r="I560" s="135"/>
      <c r="J560" s="136"/>
      <c r="K560" s="136"/>
      <c r="L560" s="137"/>
      <c r="M560" s="135"/>
      <c r="N560" s="136"/>
      <c r="O560" s="136"/>
      <c r="P560" s="137"/>
      <c r="Q560" s="135"/>
      <c r="R560" s="136"/>
      <c r="S560" s="136"/>
      <c r="T560" s="137"/>
      <c r="U560" s="135"/>
      <c r="V560" s="136"/>
      <c r="W560" s="138"/>
      <c r="X560" s="136"/>
      <c r="Y560" s="137"/>
      <c r="Z560" s="135"/>
      <c r="AA560" s="136"/>
      <c r="AB560" s="138"/>
      <c r="AC560" s="136"/>
      <c r="AD560" s="138"/>
      <c r="AE560" s="139">
        <f t="shared" si="35"/>
        <v>3</v>
      </c>
    </row>
    <row r="561" ht="15.75" customHeight="1" spans="1:31">
      <c r="A561" s="125">
        <v>638</v>
      </c>
      <c r="C561" s="127" t="s">
        <v>3413</v>
      </c>
      <c r="D561" s="154" t="s">
        <v>3918</v>
      </c>
      <c r="E561" s="145" t="b">
        <v>0</v>
      </c>
      <c r="F561" s="146" t="b">
        <v>0</v>
      </c>
      <c r="G561" s="147" t="b">
        <v>1</v>
      </c>
      <c r="H561" s="148" t="b">
        <v>0</v>
      </c>
      <c r="I561" s="145"/>
      <c r="J561" s="146"/>
      <c r="K561" s="146"/>
      <c r="L561" s="148"/>
      <c r="M561" s="145"/>
      <c r="N561" s="146"/>
      <c r="O561" s="146"/>
      <c r="P561" s="148"/>
      <c r="Q561" s="145"/>
      <c r="R561" s="146"/>
      <c r="S561" s="146"/>
      <c r="T561" s="148"/>
      <c r="U561" s="145"/>
      <c r="V561" s="146"/>
      <c r="X561" s="146"/>
      <c r="Y561" s="148"/>
      <c r="Z561" s="145"/>
      <c r="AA561" s="146"/>
      <c r="AC561" s="146"/>
    </row>
    <row r="562" ht="15.75" customHeight="1" spans="1:31">
      <c r="A562" s="133">
        <v>639</v>
      </c>
      <c r="B562" s="134"/>
      <c r="C562" s="140" t="s">
        <v>3411</v>
      </c>
      <c r="D562" s="140" t="s">
        <v>3919</v>
      </c>
      <c r="E562" s="135" t="b">
        <v>0</v>
      </c>
      <c r="F562" s="136" t="b">
        <v>0</v>
      </c>
      <c r="G562" s="136" t="b">
        <v>1</v>
      </c>
      <c r="H562" s="137" t="b">
        <v>0</v>
      </c>
      <c r="I562" s="135"/>
      <c r="J562" s="136"/>
      <c r="K562" s="136"/>
      <c r="L562" s="137"/>
      <c r="M562" s="135"/>
      <c r="N562" s="136"/>
      <c r="O562" s="136"/>
      <c r="P562" s="137"/>
      <c r="Q562" s="135"/>
      <c r="R562" s="136"/>
      <c r="S562" s="136"/>
      <c r="T562" s="137"/>
      <c r="U562" s="135"/>
      <c r="V562" s="136"/>
      <c r="W562" s="138"/>
      <c r="X562" s="136"/>
      <c r="Y562" s="137"/>
      <c r="Z562" s="135"/>
      <c r="AA562" s="136"/>
      <c r="AB562" s="138"/>
      <c r="AC562" s="136"/>
      <c r="AD562" s="138"/>
      <c r="AE562" s="139">
        <f t="shared" ref="AE562:AE570" si="36">COUNTIF(E562:AD562,"TRUE")</f>
        <v>1</v>
      </c>
    </row>
    <row r="563" ht="15.75" customHeight="1" spans="1:31">
      <c r="A563" s="125">
        <v>641</v>
      </c>
      <c r="B563" s="126"/>
      <c r="C563" s="126" t="s">
        <v>3411</v>
      </c>
      <c r="D563" s="126" t="s">
        <v>3920</v>
      </c>
      <c r="E563" s="128" t="b">
        <v>0</v>
      </c>
      <c r="F563" s="129" t="b">
        <v>0</v>
      </c>
      <c r="G563" s="129" t="b">
        <v>1</v>
      </c>
      <c r="H563" s="130" t="b">
        <v>0</v>
      </c>
      <c r="I563" s="128"/>
      <c r="J563" s="129"/>
      <c r="K563" s="129"/>
      <c r="L563" s="130"/>
      <c r="M563" s="128"/>
      <c r="N563" s="129"/>
      <c r="O563" s="129"/>
      <c r="P563" s="130"/>
      <c r="Q563" s="128"/>
      <c r="R563" s="129"/>
      <c r="S563" s="129"/>
      <c r="T563" s="130"/>
      <c r="U563" s="128"/>
      <c r="V563" s="129"/>
      <c r="W563" s="131"/>
      <c r="X563" s="129"/>
      <c r="Y563" s="130"/>
      <c r="Z563" s="128"/>
      <c r="AA563" s="129"/>
      <c r="AB563" s="131"/>
      <c r="AC563" s="129"/>
      <c r="AD563" s="131"/>
      <c r="AE563" s="132">
        <f t="shared" si="36"/>
        <v>1</v>
      </c>
    </row>
    <row r="564" ht="15.75" customHeight="1" spans="1:31">
      <c r="A564" s="133">
        <v>644</v>
      </c>
      <c r="B564" s="134"/>
      <c r="C564" s="140" t="s">
        <v>2</v>
      </c>
      <c r="D564" s="140" t="s">
        <v>3921</v>
      </c>
      <c r="E564" s="135" t="b">
        <v>0</v>
      </c>
      <c r="F564" s="136" t="b">
        <v>0</v>
      </c>
      <c r="G564" s="136" t="b">
        <v>1</v>
      </c>
      <c r="H564" s="137" t="b">
        <v>0</v>
      </c>
      <c r="I564" s="135"/>
      <c r="J564" s="136"/>
      <c r="K564" s="136"/>
      <c r="L564" s="137"/>
      <c r="M564" s="135"/>
      <c r="N564" s="136"/>
      <c r="O564" s="136"/>
      <c r="P564" s="137"/>
      <c r="Q564" s="135"/>
      <c r="R564" s="136"/>
      <c r="S564" s="136"/>
      <c r="T564" s="137"/>
      <c r="U564" s="135"/>
      <c r="V564" s="136"/>
      <c r="W564" s="138"/>
      <c r="X564" s="136"/>
      <c r="Y564" s="137"/>
      <c r="Z564" s="135"/>
      <c r="AA564" s="136"/>
      <c r="AB564" s="138"/>
      <c r="AC564" s="136"/>
      <c r="AD564" s="138"/>
      <c r="AE564" s="139">
        <f t="shared" si="36"/>
        <v>1</v>
      </c>
    </row>
    <row r="565" ht="15.75" customHeight="1" spans="1:31">
      <c r="A565" s="125">
        <v>645</v>
      </c>
      <c r="B565" s="126"/>
      <c r="C565" s="126" t="s">
        <v>2</v>
      </c>
      <c r="D565" s="126" t="s">
        <v>3922</v>
      </c>
      <c r="E565" s="128" t="b">
        <v>0</v>
      </c>
      <c r="F565" s="129" t="b">
        <v>0</v>
      </c>
      <c r="G565" s="129" t="b">
        <v>1</v>
      </c>
      <c r="H565" s="130" t="b">
        <v>0</v>
      </c>
      <c r="I565" s="128"/>
      <c r="J565" s="129"/>
      <c r="K565" s="129"/>
      <c r="L565" s="130"/>
      <c r="M565" s="128"/>
      <c r="N565" s="129"/>
      <c r="O565" s="129"/>
      <c r="P565" s="130"/>
      <c r="Q565" s="128"/>
      <c r="R565" s="129"/>
      <c r="S565" s="129"/>
      <c r="T565" s="130"/>
      <c r="U565" s="128"/>
      <c r="V565" s="129"/>
      <c r="W565" s="131"/>
      <c r="X565" s="129"/>
      <c r="Y565" s="130"/>
      <c r="Z565" s="128"/>
      <c r="AA565" s="129"/>
      <c r="AB565" s="131"/>
      <c r="AC565" s="129"/>
      <c r="AD565" s="131"/>
      <c r="AE565" s="132">
        <f t="shared" si="36"/>
        <v>1</v>
      </c>
    </row>
    <row r="566" ht="15.75" customHeight="1" spans="1:31">
      <c r="A566" s="133">
        <v>646</v>
      </c>
      <c r="B566" s="134"/>
      <c r="C566" s="134" t="s">
        <v>3411</v>
      </c>
      <c r="D566" s="134" t="s">
        <v>3923</v>
      </c>
      <c r="E566" s="135" t="b">
        <v>1</v>
      </c>
      <c r="F566" s="136" t="b">
        <v>0</v>
      </c>
      <c r="G566" s="136" t="b">
        <v>1</v>
      </c>
      <c r="H566" s="137" t="b">
        <v>0</v>
      </c>
      <c r="I566" s="135"/>
      <c r="J566" s="136"/>
      <c r="K566" s="136"/>
      <c r="L566" s="137"/>
      <c r="M566" s="135"/>
      <c r="N566" s="136"/>
      <c r="O566" s="136"/>
      <c r="P566" s="137"/>
      <c r="Q566" s="135"/>
      <c r="R566" s="136"/>
      <c r="S566" s="136"/>
      <c r="T566" s="137"/>
      <c r="U566" s="135"/>
      <c r="V566" s="136"/>
      <c r="W566" s="138"/>
      <c r="X566" s="136"/>
      <c r="Y566" s="137"/>
      <c r="Z566" s="135"/>
      <c r="AA566" s="136"/>
      <c r="AB566" s="138"/>
      <c r="AC566" s="136"/>
      <c r="AD566" s="138"/>
      <c r="AE566" s="139">
        <f t="shared" si="36"/>
        <v>2</v>
      </c>
    </row>
    <row r="567" ht="15.75" customHeight="1" spans="1:31">
      <c r="A567" s="125">
        <v>647</v>
      </c>
      <c r="B567" s="126"/>
      <c r="C567" s="126" t="s">
        <v>3411</v>
      </c>
      <c r="D567" s="126" t="s">
        <v>3924</v>
      </c>
      <c r="E567" s="128" t="b">
        <v>1</v>
      </c>
      <c r="F567" s="129" t="b">
        <v>0</v>
      </c>
      <c r="G567" s="129" t="b">
        <v>1</v>
      </c>
      <c r="H567" s="130" t="b">
        <v>0</v>
      </c>
      <c r="I567" s="128"/>
      <c r="J567" s="129"/>
      <c r="K567" s="129"/>
      <c r="L567" s="130"/>
      <c r="M567" s="128"/>
      <c r="N567" s="129"/>
      <c r="O567" s="129"/>
      <c r="P567" s="130"/>
      <c r="Q567" s="128"/>
      <c r="R567" s="129"/>
      <c r="S567" s="129"/>
      <c r="T567" s="130"/>
      <c r="U567" s="128"/>
      <c r="V567" s="129"/>
      <c r="W567" s="131"/>
      <c r="X567" s="129"/>
      <c r="Y567" s="130"/>
      <c r="Z567" s="128"/>
      <c r="AA567" s="129"/>
      <c r="AB567" s="131"/>
      <c r="AC567" s="129"/>
      <c r="AD567" s="131"/>
      <c r="AE567" s="132">
        <f t="shared" si="36"/>
        <v>2</v>
      </c>
    </row>
    <row r="568" ht="15.75" customHeight="1" spans="1:31">
      <c r="A568" s="133">
        <v>648</v>
      </c>
      <c r="B568" s="134"/>
      <c r="C568" s="134" t="s">
        <v>2</v>
      </c>
      <c r="D568" s="134" t="s">
        <v>2095</v>
      </c>
      <c r="E568" s="135" t="b">
        <v>1</v>
      </c>
      <c r="F568" s="136" t="b">
        <v>1</v>
      </c>
      <c r="G568" s="136" t="b">
        <v>1</v>
      </c>
      <c r="H568" s="137" t="b">
        <v>0</v>
      </c>
      <c r="I568" s="135"/>
      <c r="J568" s="136"/>
      <c r="K568" s="136"/>
      <c r="L568" s="137"/>
      <c r="M568" s="135"/>
      <c r="N568" s="136"/>
      <c r="O568" s="136"/>
      <c r="P568" s="137"/>
      <c r="Q568" s="135"/>
      <c r="R568" s="136"/>
      <c r="S568" s="136"/>
      <c r="T568" s="137"/>
      <c r="U568" s="135"/>
      <c r="V568" s="136"/>
      <c r="W568" s="138"/>
      <c r="X568" s="136"/>
      <c r="Y568" s="137"/>
      <c r="Z568" s="135"/>
      <c r="AA568" s="136"/>
      <c r="AB568" s="138"/>
      <c r="AC568" s="136"/>
      <c r="AD568" s="138"/>
      <c r="AE568" s="139">
        <f t="shared" si="36"/>
        <v>3</v>
      </c>
    </row>
    <row r="569" ht="15.75" customHeight="1" spans="1:31">
      <c r="A569" s="125">
        <v>649</v>
      </c>
      <c r="B569" s="126"/>
      <c r="C569" s="126" t="s">
        <v>3413</v>
      </c>
      <c r="D569" s="126" t="s">
        <v>3925</v>
      </c>
      <c r="E569" s="128" t="b">
        <v>1</v>
      </c>
      <c r="F569" s="129" t="b">
        <v>1</v>
      </c>
      <c r="G569" s="129" t="b">
        <v>1</v>
      </c>
      <c r="H569" s="130" t="b">
        <v>1</v>
      </c>
      <c r="I569" s="128"/>
      <c r="J569" s="129"/>
      <c r="K569" s="129"/>
      <c r="L569" s="130"/>
      <c r="M569" s="128"/>
      <c r="N569" s="129"/>
      <c r="O569" s="129"/>
      <c r="P569" s="130"/>
      <c r="Q569" s="128"/>
      <c r="R569" s="129"/>
      <c r="S569" s="129"/>
      <c r="T569" s="130"/>
      <c r="U569" s="128"/>
      <c r="V569" s="129"/>
      <c r="W569" s="131"/>
      <c r="X569" s="129"/>
      <c r="Y569" s="130"/>
      <c r="Z569" s="128"/>
      <c r="AA569" s="129"/>
      <c r="AB569" s="131"/>
      <c r="AC569" s="129"/>
      <c r="AD569" s="131"/>
      <c r="AE569" s="132">
        <f t="shared" si="36"/>
        <v>4</v>
      </c>
    </row>
    <row r="570" ht="15.75" customHeight="1" spans="1:31">
      <c r="A570" s="133">
        <v>650</v>
      </c>
      <c r="B570" s="134"/>
      <c r="C570" s="134" t="s">
        <v>3</v>
      </c>
      <c r="D570" s="134" t="s">
        <v>1472</v>
      </c>
      <c r="E570" s="135" t="b">
        <v>1</v>
      </c>
      <c r="F570" s="136" t="b">
        <v>1</v>
      </c>
      <c r="G570" s="136" t="b">
        <v>1</v>
      </c>
      <c r="H570" s="137" t="b">
        <v>1</v>
      </c>
      <c r="I570" s="135"/>
      <c r="J570" s="136"/>
      <c r="K570" s="136"/>
      <c r="L570" s="137"/>
      <c r="M570" s="135"/>
      <c r="N570" s="136"/>
      <c r="O570" s="136"/>
      <c r="P570" s="137"/>
      <c r="Q570" s="135"/>
      <c r="R570" s="136"/>
      <c r="S570" s="136"/>
      <c r="T570" s="137"/>
      <c r="U570" s="135"/>
      <c r="V570" s="136"/>
      <c r="W570" s="138"/>
      <c r="X570" s="136"/>
      <c r="Y570" s="137"/>
      <c r="Z570" s="135"/>
      <c r="AA570" s="136"/>
      <c r="AB570" s="138"/>
      <c r="AC570" s="136"/>
      <c r="AD570" s="138"/>
      <c r="AE570" s="139">
        <f t="shared" si="36"/>
        <v>4</v>
      </c>
    </row>
    <row r="571" ht="15.75" customHeight="1" spans="1:31">
      <c r="A571" s="125">
        <v>651</v>
      </c>
      <c r="C571" s="127" t="s">
        <v>3413</v>
      </c>
      <c r="D571" s="127" t="s">
        <v>3926</v>
      </c>
      <c r="E571" s="153" t="b">
        <v>1</v>
      </c>
      <c r="F571" s="147" t="b">
        <v>1</v>
      </c>
      <c r="G571" s="147" t="b">
        <v>1</v>
      </c>
      <c r="H571" s="151" t="b">
        <v>1</v>
      </c>
      <c r="I571" s="145"/>
      <c r="J571" s="146"/>
      <c r="K571" s="146"/>
      <c r="L571" s="148"/>
      <c r="M571" s="145"/>
      <c r="N571" s="146"/>
      <c r="O571" s="146"/>
      <c r="P571" s="148"/>
      <c r="Q571" s="145"/>
      <c r="R571" s="146"/>
      <c r="S571" s="146"/>
      <c r="T571" s="148"/>
      <c r="U571" s="145"/>
      <c r="V571" s="146"/>
      <c r="X571" s="146"/>
      <c r="Y571" s="148"/>
      <c r="Z571" s="145"/>
      <c r="AA571" s="146"/>
      <c r="AC571" s="146"/>
    </row>
    <row r="572" ht="15.75" customHeight="1" spans="1:31">
      <c r="A572" s="133">
        <v>652</v>
      </c>
      <c r="B572" s="134"/>
      <c r="C572" s="140" t="s">
        <v>2</v>
      </c>
      <c r="D572" s="140" t="s">
        <v>3927</v>
      </c>
      <c r="E572" s="135" t="b">
        <v>0</v>
      </c>
      <c r="F572" s="136" t="b">
        <v>0</v>
      </c>
      <c r="G572" s="136" t="b">
        <v>0</v>
      </c>
      <c r="H572" s="137" t="b">
        <v>0</v>
      </c>
      <c r="I572" s="135"/>
      <c r="J572" s="136"/>
      <c r="K572" s="136"/>
      <c r="L572" s="137"/>
      <c r="M572" s="135"/>
      <c r="N572" s="136"/>
      <c r="O572" s="136"/>
      <c r="P572" s="137"/>
      <c r="Q572" s="135"/>
      <c r="R572" s="136"/>
      <c r="S572" s="136"/>
      <c r="T572" s="137"/>
      <c r="U572" s="135"/>
      <c r="V572" s="136"/>
      <c r="W572" s="138"/>
      <c r="X572" s="136"/>
      <c r="Y572" s="137"/>
      <c r="Z572" s="135"/>
      <c r="AA572" s="136"/>
      <c r="AB572" s="138"/>
      <c r="AC572" s="136"/>
      <c r="AD572" s="138"/>
      <c r="AE572" s="139">
        <f t="shared" ref="AE572:AE579" si="37">COUNTIF(E572:AD572,"TRUE")</f>
        <v>0</v>
      </c>
    </row>
    <row r="573" ht="15.75" customHeight="1" spans="1:31">
      <c r="A573" s="125">
        <v>653</v>
      </c>
      <c r="B573" s="126"/>
      <c r="C573" s="126" t="s">
        <v>2</v>
      </c>
      <c r="D573" s="126" t="s">
        <v>3928</v>
      </c>
      <c r="E573" s="128" t="b">
        <v>1</v>
      </c>
      <c r="F573" s="129" t="b">
        <v>1</v>
      </c>
      <c r="G573" s="129" t="b">
        <v>1</v>
      </c>
      <c r="H573" s="130" t="b">
        <v>1</v>
      </c>
      <c r="I573" s="128"/>
      <c r="J573" s="129"/>
      <c r="K573" s="129"/>
      <c r="L573" s="130"/>
      <c r="M573" s="128"/>
      <c r="N573" s="129"/>
      <c r="O573" s="129"/>
      <c r="P573" s="130"/>
      <c r="Q573" s="128"/>
      <c r="R573" s="129"/>
      <c r="S573" s="129"/>
      <c r="T573" s="130"/>
      <c r="U573" s="128"/>
      <c r="V573" s="129"/>
      <c r="W573" s="131"/>
      <c r="X573" s="129"/>
      <c r="Y573" s="130"/>
      <c r="Z573" s="128"/>
      <c r="AA573" s="129"/>
      <c r="AB573" s="131"/>
      <c r="AC573" s="129"/>
      <c r="AD573" s="131"/>
      <c r="AE573" s="132">
        <f t="shared" si="37"/>
        <v>4</v>
      </c>
    </row>
    <row r="574" ht="15.75" customHeight="1" spans="1:31">
      <c r="A574" s="133">
        <v>654</v>
      </c>
      <c r="B574" s="134"/>
      <c r="C574" s="134" t="s">
        <v>3411</v>
      </c>
      <c r="D574" s="134" t="s">
        <v>3929</v>
      </c>
      <c r="E574" s="135" t="b">
        <v>0</v>
      </c>
      <c r="F574" s="136" t="b">
        <v>1</v>
      </c>
      <c r="G574" s="136" t="b">
        <v>0</v>
      </c>
      <c r="H574" s="137" t="b">
        <v>0</v>
      </c>
      <c r="I574" s="135"/>
      <c r="J574" s="136"/>
      <c r="K574" s="136"/>
      <c r="L574" s="137"/>
      <c r="M574" s="135"/>
      <c r="N574" s="136"/>
      <c r="O574" s="136"/>
      <c r="P574" s="137"/>
      <c r="Q574" s="135"/>
      <c r="R574" s="136"/>
      <c r="S574" s="136"/>
      <c r="T574" s="137"/>
      <c r="U574" s="135"/>
      <c r="V574" s="136"/>
      <c r="W574" s="138"/>
      <c r="X574" s="136"/>
      <c r="Y574" s="137"/>
      <c r="Z574" s="135"/>
      <c r="AA574" s="136"/>
      <c r="AB574" s="138"/>
      <c r="AC574" s="136"/>
      <c r="AD574" s="138"/>
      <c r="AE574" s="139">
        <f t="shared" si="37"/>
        <v>1</v>
      </c>
    </row>
    <row r="575" ht="15.75" customHeight="1" spans="1:31">
      <c r="A575" s="125">
        <v>656</v>
      </c>
      <c r="B575" s="126"/>
      <c r="C575" s="126" t="s">
        <v>3411</v>
      </c>
      <c r="D575" s="126" t="s">
        <v>3930</v>
      </c>
      <c r="E575" s="128" t="b">
        <v>0</v>
      </c>
      <c r="F575" s="129" t="b">
        <v>1</v>
      </c>
      <c r="G575" s="129" t="b">
        <v>1</v>
      </c>
      <c r="H575" s="130" t="b">
        <v>1</v>
      </c>
      <c r="I575" s="128"/>
      <c r="J575" s="129"/>
      <c r="K575" s="129"/>
      <c r="L575" s="130"/>
      <c r="M575" s="128"/>
      <c r="N575" s="129"/>
      <c r="O575" s="129"/>
      <c r="P575" s="130"/>
      <c r="Q575" s="128"/>
      <c r="R575" s="129"/>
      <c r="S575" s="129"/>
      <c r="T575" s="130"/>
      <c r="U575" s="128"/>
      <c r="V575" s="129"/>
      <c r="W575" s="131"/>
      <c r="X575" s="129"/>
      <c r="Y575" s="130"/>
      <c r="Z575" s="128"/>
      <c r="AA575" s="129"/>
      <c r="AB575" s="131"/>
      <c r="AC575" s="129"/>
      <c r="AD575" s="131"/>
      <c r="AE575" s="132">
        <f t="shared" si="37"/>
        <v>3</v>
      </c>
    </row>
    <row r="576" ht="15.75" customHeight="1" spans="1:31">
      <c r="A576" s="125">
        <v>657</v>
      </c>
      <c r="B576" s="126"/>
      <c r="C576" s="126" t="s">
        <v>3</v>
      </c>
      <c r="D576" s="126" t="s">
        <v>1495</v>
      </c>
      <c r="E576" s="128" t="b">
        <v>0</v>
      </c>
      <c r="F576" s="129" t="b">
        <v>0</v>
      </c>
      <c r="G576" s="129" t="b">
        <v>1</v>
      </c>
      <c r="H576" s="130" t="b">
        <v>1</v>
      </c>
      <c r="I576" s="128"/>
      <c r="J576" s="129"/>
      <c r="K576" s="129"/>
      <c r="L576" s="130"/>
      <c r="M576" s="128"/>
      <c r="N576" s="129"/>
      <c r="O576" s="129"/>
      <c r="P576" s="130"/>
      <c r="Q576" s="128"/>
      <c r="R576" s="129"/>
      <c r="S576" s="129"/>
      <c r="T576" s="130"/>
      <c r="U576" s="128"/>
      <c r="V576" s="129"/>
      <c r="W576" s="131"/>
      <c r="X576" s="129"/>
      <c r="Y576" s="130"/>
      <c r="Z576" s="128"/>
      <c r="AA576" s="129"/>
      <c r="AB576" s="131"/>
      <c r="AC576" s="129"/>
      <c r="AD576" s="131"/>
      <c r="AE576" s="132">
        <f t="shared" si="37"/>
        <v>2</v>
      </c>
    </row>
    <row r="577" ht="15.75" customHeight="1" spans="1:31">
      <c r="A577" s="133">
        <v>658</v>
      </c>
      <c r="B577" s="134"/>
      <c r="C577" s="134" t="s">
        <v>2</v>
      </c>
      <c r="D577" s="134" t="s">
        <v>3931</v>
      </c>
      <c r="E577" s="135" t="b">
        <v>0</v>
      </c>
      <c r="F577" s="136" t="b">
        <v>0</v>
      </c>
      <c r="G577" s="136" t="b">
        <v>1</v>
      </c>
      <c r="H577" s="137" t="b">
        <v>1</v>
      </c>
      <c r="I577" s="135"/>
      <c r="J577" s="136"/>
      <c r="K577" s="136"/>
      <c r="L577" s="137"/>
      <c r="M577" s="135"/>
      <c r="N577" s="136"/>
      <c r="O577" s="136"/>
      <c r="P577" s="137"/>
      <c r="Q577" s="135"/>
      <c r="R577" s="136"/>
      <c r="S577" s="136"/>
      <c r="T577" s="137"/>
      <c r="U577" s="135"/>
      <c r="V577" s="136"/>
      <c r="W577" s="138"/>
      <c r="X577" s="136"/>
      <c r="Y577" s="137"/>
      <c r="Z577" s="135"/>
      <c r="AA577" s="136"/>
      <c r="AB577" s="138"/>
      <c r="AC577" s="136"/>
      <c r="AD577" s="138"/>
      <c r="AE577" s="139">
        <f t="shared" si="37"/>
        <v>2</v>
      </c>
    </row>
    <row r="578" ht="15.75" customHeight="1" spans="1:31">
      <c r="A578" s="125">
        <v>660</v>
      </c>
      <c r="B578" s="126"/>
      <c r="C578" s="126" t="s">
        <v>3411</v>
      </c>
      <c r="D578" s="126" t="s">
        <v>3932</v>
      </c>
      <c r="E578" s="128" t="b">
        <v>0</v>
      </c>
      <c r="F578" s="129" t="b">
        <v>0</v>
      </c>
      <c r="G578" s="129" t="b">
        <v>0</v>
      </c>
      <c r="H578" s="130" t="b">
        <v>0</v>
      </c>
      <c r="I578" s="128"/>
      <c r="J578" s="129"/>
      <c r="K578" s="129"/>
      <c r="L578" s="130"/>
      <c r="M578" s="128"/>
      <c r="N578" s="129"/>
      <c r="O578" s="129"/>
      <c r="P578" s="130"/>
      <c r="Q578" s="128"/>
      <c r="R578" s="129"/>
      <c r="S578" s="129"/>
      <c r="T578" s="130"/>
      <c r="U578" s="128"/>
      <c r="V578" s="129"/>
      <c r="W578" s="131"/>
      <c r="X578" s="129"/>
      <c r="Y578" s="130"/>
      <c r="Z578" s="128"/>
      <c r="AA578" s="129"/>
      <c r="AB578" s="131"/>
      <c r="AC578" s="129"/>
      <c r="AD578" s="131"/>
      <c r="AE578" s="132">
        <f t="shared" si="37"/>
        <v>0</v>
      </c>
    </row>
    <row r="579" ht="15.75" customHeight="1" spans="1:31">
      <c r="A579" s="133">
        <v>661</v>
      </c>
      <c r="B579" s="134"/>
      <c r="D579" s="134" t="s">
        <v>3933</v>
      </c>
      <c r="E579" s="135" t="b">
        <v>0</v>
      </c>
      <c r="F579" s="136" t="b">
        <v>0</v>
      </c>
      <c r="G579" s="136" t="b">
        <v>0</v>
      </c>
      <c r="H579" s="137" t="b">
        <v>0</v>
      </c>
      <c r="I579" s="135"/>
      <c r="J579" s="136"/>
      <c r="K579" s="136"/>
      <c r="L579" s="137"/>
      <c r="M579" s="135"/>
      <c r="N579" s="136"/>
      <c r="O579" s="136"/>
      <c r="P579" s="137"/>
      <c r="Q579" s="135"/>
      <c r="R579" s="136"/>
      <c r="S579" s="136"/>
      <c r="T579" s="137"/>
      <c r="U579" s="135"/>
      <c r="V579" s="136"/>
      <c r="W579" s="138"/>
      <c r="X579" s="136"/>
      <c r="Y579" s="137"/>
      <c r="Z579" s="135"/>
      <c r="AA579" s="136"/>
      <c r="AB579" s="138"/>
      <c r="AC579" s="136"/>
      <c r="AD579" s="138"/>
      <c r="AE579" s="139">
        <f t="shared" si="37"/>
        <v>0</v>
      </c>
    </row>
    <row r="580" ht="15.75" customHeight="1" spans="1:31">
      <c r="A580" s="125">
        <v>662</v>
      </c>
      <c r="D580" s="127" t="s">
        <v>3934</v>
      </c>
      <c r="E580" s="145" t="b">
        <v>0</v>
      </c>
      <c r="F580" s="146" t="b">
        <v>0</v>
      </c>
      <c r="G580" s="146" t="b">
        <v>0</v>
      </c>
      <c r="H580" s="148" t="b">
        <v>0</v>
      </c>
      <c r="I580" s="145"/>
      <c r="J580" s="146"/>
      <c r="K580" s="146"/>
      <c r="L580" s="148"/>
      <c r="M580" s="145"/>
      <c r="N580" s="146"/>
      <c r="O580" s="146"/>
      <c r="P580" s="148"/>
      <c r="Q580" s="145"/>
      <c r="R580" s="146"/>
      <c r="S580" s="146"/>
      <c r="T580" s="148"/>
      <c r="U580" s="145"/>
      <c r="V580" s="146"/>
      <c r="X580" s="146"/>
      <c r="Y580" s="148"/>
      <c r="Z580" s="145"/>
      <c r="AA580" s="146"/>
      <c r="AC580" s="146"/>
    </row>
    <row r="581" ht="15.75" customHeight="1" spans="1:31">
      <c r="A581" s="133">
        <v>663</v>
      </c>
      <c r="B581" s="134"/>
      <c r="C581" s="134" t="s">
        <v>2</v>
      </c>
      <c r="D581" s="134" t="s">
        <v>3935</v>
      </c>
      <c r="E581" s="135" t="b">
        <v>0</v>
      </c>
      <c r="F581" s="136" t="b">
        <v>0</v>
      </c>
      <c r="G581" s="136" t="b">
        <v>0</v>
      </c>
      <c r="H581" s="137" t="b">
        <v>0</v>
      </c>
      <c r="I581" s="135"/>
      <c r="J581" s="136"/>
      <c r="K581" s="136"/>
      <c r="L581" s="137"/>
      <c r="M581" s="135"/>
      <c r="N581" s="136"/>
      <c r="O581" s="136"/>
      <c r="P581" s="137"/>
      <c r="Q581" s="135"/>
      <c r="R581" s="136"/>
      <c r="S581" s="136"/>
      <c r="T581" s="137"/>
      <c r="U581" s="135"/>
      <c r="V581" s="136"/>
      <c r="W581" s="138"/>
      <c r="X581" s="136"/>
      <c r="Y581" s="137"/>
      <c r="Z581" s="135"/>
      <c r="AA581" s="136"/>
      <c r="AB581" s="138"/>
      <c r="AC581" s="136"/>
      <c r="AD581" s="138"/>
      <c r="AE581" s="139">
        <f>COUNTIF(E581:AD581,"TRUE")</f>
        <v>0</v>
      </c>
    </row>
    <row r="582" ht="15.75" customHeight="1" spans="1:31">
      <c r="A582" s="125">
        <v>664</v>
      </c>
      <c r="D582" s="127" t="s">
        <v>3936</v>
      </c>
      <c r="E582" s="145" t="b">
        <v>0</v>
      </c>
      <c r="F582" s="146" t="b">
        <v>0</v>
      </c>
      <c r="G582" s="146" t="b">
        <v>0</v>
      </c>
      <c r="H582" s="151" t="b">
        <v>1</v>
      </c>
      <c r="I582" s="145"/>
      <c r="J582" s="146"/>
      <c r="K582" s="146"/>
      <c r="L582" s="148"/>
      <c r="M582" s="145"/>
      <c r="N582" s="146"/>
      <c r="O582" s="146"/>
      <c r="P582" s="148"/>
      <c r="Q582" s="145"/>
      <c r="R582" s="146"/>
      <c r="S582" s="146"/>
      <c r="T582" s="148"/>
      <c r="U582" s="145"/>
      <c r="V582" s="146"/>
      <c r="X582" s="146"/>
      <c r="Y582" s="148"/>
      <c r="Z582" s="145"/>
      <c r="AA582" s="146"/>
      <c r="AC582" s="146"/>
    </row>
    <row r="583" ht="15.75" customHeight="1" spans="1:31">
      <c r="A583" s="125">
        <v>665</v>
      </c>
      <c r="B583" s="126"/>
      <c r="C583" s="126" t="s">
        <v>3</v>
      </c>
      <c r="D583" s="126" t="s">
        <v>1509</v>
      </c>
      <c r="E583" s="128" t="b">
        <v>1</v>
      </c>
      <c r="F583" s="129" t="b">
        <v>1</v>
      </c>
      <c r="G583" s="129" t="b">
        <v>1</v>
      </c>
      <c r="H583" s="130" t="b">
        <v>0</v>
      </c>
      <c r="I583" s="128"/>
      <c r="J583" s="129"/>
      <c r="K583" s="129"/>
      <c r="L583" s="130"/>
      <c r="M583" s="128"/>
      <c r="N583" s="129"/>
      <c r="O583" s="129"/>
      <c r="P583" s="130"/>
      <c r="Q583" s="128"/>
      <c r="R583" s="129"/>
      <c r="S583" s="129"/>
      <c r="T583" s="130"/>
      <c r="U583" s="128"/>
      <c r="V583" s="129"/>
      <c r="W583" s="131"/>
      <c r="X583" s="129"/>
      <c r="Y583" s="130"/>
      <c r="Z583" s="128"/>
      <c r="AA583" s="129"/>
      <c r="AB583" s="131"/>
      <c r="AC583" s="129"/>
      <c r="AD583" s="131"/>
      <c r="AE583" s="132">
        <f t="shared" ref="AE583:AE586" si="38">COUNTIF(E583:AD583,"TRUE")</f>
        <v>3</v>
      </c>
    </row>
    <row r="584" ht="15.75" customHeight="1" spans="1:31">
      <c r="A584" s="133">
        <v>666</v>
      </c>
      <c r="B584" s="134"/>
      <c r="C584" s="134" t="s">
        <v>2</v>
      </c>
      <c r="D584" s="134" t="s">
        <v>3937</v>
      </c>
      <c r="E584" s="135" t="b">
        <v>1</v>
      </c>
      <c r="F584" s="136" t="b">
        <v>1</v>
      </c>
      <c r="G584" s="136" t="b">
        <v>1</v>
      </c>
      <c r="H584" s="137" t="b">
        <v>1</v>
      </c>
      <c r="I584" s="135"/>
      <c r="J584" s="136"/>
      <c r="K584" s="136"/>
      <c r="L584" s="137"/>
      <c r="M584" s="135"/>
      <c r="N584" s="136"/>
      <c r="O584" s="136"/>
      <c r="P584" s="137"/>
      <c r="Q584" s="135"/>
      <c r="R584" s="136"/>
      <c r="S584" s="136"/>
      <c r="T584" s="137"/>
      <c r="U584" s="135"/>
      <c r="V584" s="136"/>
      <c r="W584" s="138"/>
      <c r="X584" s="136"/>
      <c r="Y584" s="137"/>
      <c r="Z584" s="135"/>
      <c r="AA584" s="136"/>
      <c r="AB584" s="138"/>
      <c r="AC584" s="136"/>
      <c r="AD584" s="138"/>
      <c r="AE584" s="139">
        <f t="shared" si="38"/>
        <v>4</v>
      </c>
    </row>
    <row r="585" ht="15.75" customHeight="1" spans="1:31">
      <c r="A585" s="125">
        <v>668</v>
      </c>
      <c r="B585" s="126"/>
      <c r="C585" s="126" t="s">
        <v>2</v>
      </c>
      <c r="D585" s="126" t="s">
        <v>3938</v>
      </c>
      <c r="E585" s="128" t="b">
        <v>1</v>
      </c>
      <c r="F585" s="129" t="b">
        <v>1</v>
      </c>
      <c r="G585" s="129" t="b">
        <v>1</v>
      </c>
      <c r="H585" s="130" t="b">
        <v>1</v>
      </c>
      <c r="I585" s="128"/>
      <c r="J585" s="129"/>
      <c r="K585" s="129"/>
      <c r="L585" s="130"/>
      <c r="M585" s="128"/>
      <c r="N585" s="129"/>
      <c r="O585" s="129"/>
      <c r="P585" s="130"/>
      <c r="Q585" s="128"/>
      <c r="R585" s="129"/>
      <c r="S585" s="129"/>
      <c r="T585" s="130"/>
      <c r="U585" s="128"/>
      <c r="V585" s="129"/>
      <c r="W585" s="131"/>
      <c r="X585" s="129"/>
      <c r="Y585" s="130"/>
      <c r="Z585" s="128"/>
      <c r="AA585" s="129"/>
      <c r="AB585" s="131"/>
      <c r="AC585" s="129"/>
      <c r="AD585" s="131"/>
      <c r="AE585" s="132">
        <f t="shared" si="38"/>
        <v>4</v>
      </c>
    </row>
    <row r="586" ht="15.75" customHeight="1" spans="1:31">
      <c r="A586" s="125">
        <v>669</v>
      </c>
      <c r="B586" s="126"/>
      <c r="C586" s="126" t="s">
        <v>3</v>
      </c>
      <c r="D586" s="126" t="s">
        <v>3939</v>
      </c>
      <c r="E586" s="131" t="b">
        <v>1</v>
      </c>
      <c r="F586" s="131" t="b">
        <v>1</v>
      </c>
      <c r="G586" s="131" t="b">
        <v>1</v>
      </c>
      <c r="H586" s="131" t="b">
        <v>1</v>
      </c>
      <c r="I586" s="131"/>
      <c r="J586" s="131"/>
      <c r="K586" s="131"/>
      <c r="L586" s="131"/>
      <c r="M586" s="131"/>
      <c r="N586" s="131"/>
      <c r="O586" s="131"/>
      <c r="P586" s="131"/>
      <c r="Q586" s="131"/>
      <c r="R586" s="131"/>
      <c r="S586" s="131"/>
      <c r="T586" s="131"/>
      <c r="U586" s="131"/>
      <c r="V586" s="131"/>
      <c r="W586" s="131"/>
      <c r="X586" s="131"/>
      <c r="Y586" s="131"/>
      <c r="Z586" s="131"/>
      <c r="AA586" s="131"/>
      <c r="AB586" s="131"/>
      <c r="AC586" s="131"/>
      <c r="AD586" s="131"/>
      <c r="AE586" s="132">
        <f t="shared" si="38"/>
        <v>4</v>
      </c>
    </row>
    <row r="587" ht="15.75" customHeight="1" spans="1:31">
      <c r="A587" s="133">
        <v>670</v>
      </c>
      <c r="C587" s="140" t="s">
        <v>3413</v>
      </c>
      <c r="D587" s="140" t="s">
        <v>3940</v>
      </c>
      <c r="E587" s="141" t="b">
        <v>1</v>
      </c>
      <c r="F587" s="149" t="b">
        <v>1</v>
      </c>
      <c r="G587" s="149" t="b">
        <v>1</v>
      </c>
      <c r="H587" s="143" t="b">
        <v>0</v>
      </c>
      <c r="I587" s="144"/>
      <c r="J587" s="142"/>
      <c r="K587" s="142"/>
      <c r="L587" s="143"/>
      <c r="M587" s="144"/>
      <c r="N587" s="142"/>
      <c r="O587" s="142"/>
      <c r="P587" s="143"/>
      <c r="Q587" s="144"/>
      <c r="R587" s="142"/>
      <c r="S587" s="142"/>
      <c r="T587" s="143"/>
      <c r="U587" s="144"/>
      <c r="V587" s="142"/>
      <c r="X587" s="142"/>
      <c r="Y587" s="143"/>
      <c r="Z587" s="144"/>
      <c r="AA587" s="142"/>
      <c r="AC587" s="142"/>
    </row>
    <row r="588" ht="15.75" customHeight="1" spans="1:31">
      <c r="A588" s="125">
        <v>671</v>
      </c>
      <c r="B588" s="126"/>
      <c r="C588" s="126" t="s">
        <v>2</v>
      </c>
      <c r="D588" s="126" t="s">
        <v>3941</v>
      </c>
      <c r="E588" s="128" t="b">
        <v>1</v>
      </c>
      <c r="F588" s="129" t="b">
        <v>1</v>
      </c>
      <c r="G588" s="129" t="b">
        <v>1</v>
      </c>
      <c r="H588" s="130" t="b">
        <v>1</v>
      </c>
      <c r="I588" s="128"/>
      <c r="J588" s="129"/>
      <c r="K588" s="129"/>
      <c r="L588" s="130"/>
      <c r="M588" s="128"/>
      <c r="N588" s="129"/>
      <c r="O588" s="129"/>
      <c r="P588" s="130"/>
      <c r="Q588" s="128"/>
      <c r="R588" s="129"/>
      <c r="S588" s="129"/>
      <c r="T588" s="130"/>
      <c r="U588" s="128"/>
      <c r="V588" s="129"/>
      <c r="W588" s="131"/>
      <c r="X588" s="129"/>
      <c r="Y588" s="130"/>
      <c r="Z588" s="128"/>
      <c r="AA588" s="129"/>
      <c r="AB588" s="131"/>
      <c r="AC588" s="129"/>
      <c r="AD588" s="131"/>
      <c r="AE588" s="132">
        <f t="shared" ref="AE588:AE596" si="39">COUNTIF(E588:AD588,"TRUE")</f>
        <v>4</v>
      </c>
    </row>
    <row r="589" ht="15.75" customHeight="1" spans="1:31">
      <c r="A589" s="133">
        <v>672</v>
      </c>
      <c r="B589" s="134"/>
      <c r="C589" s="134" t="s">
        <v>3411</v>
      </c>
      <c r="D589" s="134" t="s">
        <v>3942</v>
      </c>
      <c r="E589" s="135" t="b">
        <v>1</v>
      </c>
      <c r="F589" s="136" t="b">
        <v>1</v>
      </c>
      <c r="G589" s="136" t="b">
        <v>1</v>
      </c>
      <c r="H589" s="137" t="b">
        <v>1</v>
      </c>
      <c r="I589" s="135"/>
      <c r="J589" s="136"/>
      <c r="K589" s="136"/>
      <c r="L589" s="137"/>
      <c r="M589" s="135"/>
      <c r="N589" s="136"/>
      <c r="O589" s="136"/>
      <c r="P589" s="137"/>
      <c r="Q589" s="135"/>
      <c r="R589" s="136"/>
      <c r="S589" s="136"/>
      <c r="T589" s="137"/>
      <c r="U589" s="135"/>
      <c r="V589" s="136"/>
      <c r="W589" s="138"/>
      <c r="X589" s="136"/>
      <c r="Y589" s="137"/>
      <c r="Z589" s="135"/>
      <c r="AA589" s="136"/>
      <c r="AB589" s="138"/>
      <c r="AC589" s="136"/>
      <c r="AD589" s="138"/>
      <c r="AE589" s="139">
        <f t="shared" si="39"/>
        <v>4</v>
      </c>
    </row>
    <row r="590" ht="15.75" customHeight="1" spans="1:31">
      <c r="A590" s="125">
        <v>673</v>
      </c>
      <c r="B590" s="126"/>
      <c r="C590" s="126" t="s">
        <v>3</v>
      </c>
      <c r="D590" s="126" t="s">
        <v>3943</v>
      </c>
      <c r="E590" s="128" t="b">
        <v>0</v>
      </c>
      <c r="F590" s="129" t="b">
        <v>0</v>
      </c>
      <c r="G590" s="129" t="b">
        <v>1</v>
      </c>
      <c r="H590" s="130" t="b">
        <v>1</v>
      </c>
      <c r="I590" s="128"/>
      <c r="J590" s="129"/>
      <c r="K590" s="129"/>
      <c r="L590" s="130"/>
      <c r="M590" s="128"/>
      <c r="N590" s="129"/>
      <c r="O590" s="129"/>
      <c r="P590" s="130"/>
      <c r="Q590" s="128"/>
      <c r="R590" s="129"/>
      <c r="S590" s="129"/>
      <c r="T590" s="130"/>
      <c r="U590" s="128"/>
      <c r="V590" s="129"/>
      <c r="W590" s="131"/>
      <c r="X590" s="129"/>
      <c r="Y590" s="130"/>
      <c r="Z590" s="128"/>
      <c r="AA590" s="129"/>
      <c r="AB590" s="131"/>
      <c r="AC590" s="129"/>
      <c r="AD590" s="131"/>
      <c r="AE590" s="132">
        <f t="shared" si="39"/>
        <v>2</v>
      </c>
    </row>
    <row r="591" ht="15.75" customHeight="1" spans="1:31">
      <c r="A591" s="133">
        <v>674</v>
      </c>
      <c r="B591" s="134"/>
      <c r="C591" s="134" t="s">
        <v>3</v>
      </c>
      <c r="D591" s="134" t="s">
        <v>3944</v>
      </c>
      <c r="E591" s="135" t="b">
        <v>1</v>
      </c>
      <c r="F591" s="136" t="b">
        <v>1</v>
      </c>
      <c r="G591" s="136" t="b">
        <v>1</v>
      </c>
      <c r="H591" s="137" t="b">
        <v>1</v>
      </c>
      <c r="I591" s="135"/>
      <c r="J591" s="136"/>
      <c r="K591" s="136"/>
      <c r="L591" s="137"/>
      <c r="M591" s="135"/>
      <c r="N591" s="136"/>
      <c r="O591" s="136"/>
      <c r="P591" s="137"/>
      <c r="Q591" s="135"/>
      <c r="R591" s="136"/>
      <c r="S591" s="136"/>
      <c r="T591" s="137"/>
      <c r="U591" s="135"/>
      <c r="V591" s="136"/>
      <c r="W591" s="138"/>
      <c r="X591" s="136"/>
      <c r="Y591" s="137"/>
      <c r="Z591" s="135"/>
      <c r="AA591" s="136"/>
      <c r="AB591" s="138"/>
      <c r="AC591" s="136"/>
      <c r="AD591" s="138"/>
      <c r="AE591" s="139">
        <f t="shared" si="39"/>
        <v>4</v>
      </c>
    </row>
    <row r="592" ht="15.75" customHeight="1" spans="1:31">
      <c r="A592" s="125">
        <v>677</v>
      </c>
      <c r="B592" s="126"/>
      <c r="C592" s="126" t="s">
        <v>3411</v>
      </c>
      <c r="D592" s="126" t="s">
        <v>3945</v>
      </c>
      <c r="E592" s="128" t="b">
        <v>0</v>
      </c>
      <c r="F592" s="129" t="b">
        <v>1</v>
      </c>
      <c r="G592" s="129" t="b">
        <v>1</v>
      </c>
      <c r="H592" s="130" t="b">
        <v>1</v>
      </c>
      <c r="I592" s="128"/>
      <c r="J592" s="129"/>
      <c r="K592" s="129"/>
      <c r="L592" s="130"/>
      <c r="M592" s="128"/>
      <c r="N592" s="129"/>
      <c r="O592" s="129"/>
      <c r="P592" s="130"/>
      <c r="Q592" s="128"/>
      <c r="R592" s="129"/>
      <c r="S592" s="129"/>
      <c r="T592" s="130"/>
      <c r="U592" s="128"/>
      <c r="V592" s="129"/>
      <c r="W592" s="131"/>
      <c r="X592" s="129"/>
      <c r="Y592" s="130"/>
      <c r="Z592" s="128"/>
      <c r="AA592" s="129"/>
      <c r="AB592" s="131"/>
      <c r="AC592" s="129"/>
      <c r="AD592" s="131"/>
      <c r="AE592" s="132">
        <f t="shared" si="39"/>
        <v>3</v>
      </c>
    </row>
    <row r="593" ht="15.75" customHeight="1" spans="1:31">
      <c r="A593" s="133">
        <v>678</v>
      </c>
      <c r="B593" s="134"/>
      <c r="C593" s="134" t="s">
        <v>3411</v>
      </c>
      <c r="D593" s="134" t="s">
        <v>3946</v>
      </c>
      <c r="E593" s="135" t="b">
        <v>1</v>
      </c>
      <c r="F593" s="136" t="b">
        <v>1</v>
      </c>
      <c r="G593" s="136" t="b">
        <v>1</v>
      </c>
      <c r="H593" s="137" t="b">
        <v>1</v>
      </c>
      <c r="I593" s="135"/>
      <c r="J593" s="136"/>
      <c r="K593" s="136"/>
      <c r="L593" s="137"/>
      <c r="M593" s="135"/>
      <c r="N593" s="136"/>
      <c r="O593" s="136"/>
      <c r="P593" s="137"/>
      <c r="Q593" s="135"/>
      <c r="R593" s="136"/>
      <c r="S593" s="136"/>
      <c r="T593" s="137"/>
      <c r="U593" s="135"/>
      <c r="V593" s="136"/>
      <c r="W593" s="138"/>
      <c r="X593" s="136"/>
      <c r="Y593" s="137"/>
      <c r="Z593" s="135"/>
      <c r="AA593" s="136"/>
      <c r="AB593" s="138"/>
      <c r="AC593" s="136"/>
      <c r="AD593" s="138"/>
      <c r="AE593" s="139">
        <f t="shared" si="39"/>
        <v>4</v>
      </c>
    </row>
    <row r="594" ht="15.75" customHeight="1" spans="1:31">
      <c r="A594" s="125">
        <v>679</v>
      </c>
      <c r="B594" s="126"/>
      <c r="C594" s="126" t="s">
        <v>2</v>
      </c>
      <c r="D594" s="126" t="s">
        <v>3947</v>
      </c>
      <c r="E594" s="128" t="b">
        <v>1</v>
      </c>
      <c r="F594" s="129" t="b">
        <v>1</v>
      </c>
      <c r="G594" s="129" t="b">
        <v>1</v>
      </c>
      <c r="H594" s="130" t="b">
        <v>1</v>
      </c>
      <c r="I594" s="128"/>
      <c r="J594" s="129"/>
      <c r="K594" s="129"/>
      <c r="L594" s="130"/>
      <c r="M594" s="128"/>
      <c r="N594" s="129"/>
      <c r="O594" s="129"/>
      <c r="P594" s="130"/>
      <c r="Q594" s="128"/>
      <c r="R594" s="129"/>
      <c r="S594" s="129"/>
      <c r="T594" s="130"/>
      <c r="U594" s="128"/>
      <c r="V594" s="129"/>
      <c r="W594" s="131"/>
      <c r="X594" s="129"/>
      <c r="Y594" s="130"/>
      <c r="Z594" s="128"/>
      <c r="AA594" s="129"/>
      <c r="AB594" s="131"/>
      <c r="AC594" s="129"/>
      <c r="AD594" s="131"/>
      <c r="AE594" s="132">
        <f t="shared" si="39"/>
        <v>4</v>
      </c>
    </row>
    <row r="595" ht="15.75" customHeight="1" spans="1:31">
      <c r="A595" s="133">
        <v>680</v>
      </c>
      <c r="B595" s="134"/>
      <c r="C595" s="134"/>
      <c r="D595" s="134" t="s">
        <v>3948</v>
      </c>
      <c r="E595" s="135" t="b">
        <v>0</v>
      </c>
      <c r="F595" s="136" t="b">
        <v>1</v>
      </c>
      <c r="G595" s="136" t="b">
        <v>0</v>
      </c>
      <c r="H595" s="137" t="b">
        <v>0</v>
      </c>
      <c r="I595" s="135"/>
      <c r="J595" s="136"/>
      <c r="K595" s="136"/>
      <c r="L595" s="137"/>
      <c r="M595" s="135"/>
      <c r="N595" s="136"/>
      <c r="O595" s="136"/>
      <c r="P595" s="137"/>
      <c r="Q595" s="135"/>
      <c r="R595" s="136"/>
      <c r="S595" s="136"/>
      <c r="T595" s="137"/>
      <c r="U595" s="135"/>
      <c r="V595" s="136"/>
      <c r="W595" s="138"/>
      <c r="X595" s="136"/>
      <c r="Y595" s="137"/>
      <c r="Z595" s="135"/>
      <c r="AA595" s="136"/>
      <c r="AB595" s="138"/>
      <c r="AC595" s="136"/>
      <c r="AD595" s="138"/>
      <c r="AE595" s="139">
        <f t="shared" si="39"/>
        <v>1</v>
      </c>
    </row>
    <row r="596" ht="15.75" customHeight="1" spans="1:31">
      <c r="A596" s="125">
        <v>681</v>
      </c>
      <c r="B596" s="126"/>
      <c r="C596" s="126"/>
      <c r="D596" s="126" t="s">
        <v>3949</v>
      </c>
      <c r="E596" s="128" t="b">
        <v>0</v>
      </c>
      <c r="F596" s="129" t="b">
        <v>1</v>
      </c>
      <c r="G596" s="129" t="b">
        <v>0</v>
      </c>
      <c r="H596" s="130" t="b">
        <v>0</v>
      </c>
      <c r="I596" s="128"/>
      <c r="J596" s="129"/>
      <c r="K596" s="129"/>
      <c r="L596" s="130"/>
      <c r="M596" s="128"/>
      <c r="N596" s="129"/>
      <c r="O596" s="129"/>
      <c r="P596" s="130"/>
      <c r="Q596" s="128"/>
      <c r="R596" s="129"/>
      <c r="S596" s="129"/>
      <c r="T596" s="130"/>
      <c r="U596" s="128"/>
      <c r="V596" s="129"/>
      <c r="W596" s="131"/>
      <c r="X596" s="129"/>
      <c r="Y596" s="130"/>
      <c r="Z596" s="128"/>
      <c r="AA596" s="129"/>
      <c r="AB596" s="131"/>
      <c r="AC596" s="129"/>
      <c r="AD596" s="131"/>
      <c r="AE596" s="132">
        <f t="shared" si="39"/>
        <v>1</v>
      </c>
    </row>
    <row r="597" ht="15.75" customHeight="1" spans="1:31">
      <c r="A597" s="133">
        <v>682</v>
      </c>
      <c r="C597" s="140" t="s">
        <v>3413</v>
      </c>
      <c r="D597" s="140" t="s">
        <v>3950</v>
      </c>
      <c r="E597" s="141" t="b">
        <v>1</v>
      </c>
      <c r="F597" s="149" t="b">
        <v>1</v>
      </c>
      <c r="G597" s="149" t="b">
        <v>1</v>
      </c>
      <c r="H597" s="150" t="b">
        <v>1</v>
      </c>
      <c r="I597" s="144"/>
      <c r="J597" s="142"/>
      <c r="K597" s="142"/>
      <c r="L597" s="143"/>
      <c r="M597" s="144"/>
      <c r="N597" s="142"/>
      <c r="O597" s="142"/>
      <c r="P597" s="143"/>
      <c r="Q597" s="144"/>
      <c r="R597" s="142"/>
      <c r="S597" s="142"/>
      <c r="T597" s="143"/>
      <c r="U597" s="144"/>
      <c r="V597" s="142"/>
      <c r="X597" s="142"/>
      <c r="Y597" s="143"/>
      <c r="Z597" s="144"/>
      <c r="AA597" s="142"/>
      <c r="AC597" s="142"/>
    </row>
    <row r="598" ht="15.75" customHeight="1" spans="1:31">
      <c r="A598" s="125">
        <v>683</v>
      </c>
      <c r="B598" s="126"/>
      <c r="C598" s="126" t="s">
        <v>3</v>
      </c>
      <c r="D598" s="126" t="s">
        <v>1539</v>
      </c>
      <c r="E598" s="128" t="b">
        <v>1</v>
      </c>
      <c r="F598" s="129" t="b">
        <v>1</v>
      </c>
      <c r="G598" s="129" t="b">
        <v>1</v>
      </c>
      <c r="H598" s="130" t="b">
        <v>1</v>
      </c>
      <c r="I598" s="128"/>
      <c r="J598" s="129"/>
      <c r="K598" s="129"/>
      <c r="L598" s="130"/>
      <c r="M598" s="128"/>
      <c r="N598" s="129"/>
      <c r="O598" s="129"/>
      <c r="P598" s="130"/>
      <c r="Q598" s="128"/>
      <c r="R598" s="129"/>
      <c r="S598" s="129"/>
      <c r="T598" s="130"/>
      <c r="U598" s="128"/>
      <c r="V598" s="129"/>
      <c r="W598" s="131"/>
      <c r="X598" s="129"/>
      <c r="Y598" s="130"/>
      <c r="Z598" s="128"/>
      <c r="AA598" s="129"/>
      <c r="AB598" s="131"/>
      <c r="AC598" s="129"/>
      <c r="AD598" s="131"/>
      <c r="AE598" s="132">
        <f t="shared" ref="AE598:AE620" si="40">COUNTIF(E598:AD598,"TRUE")</f>
        <v>4</v>
      </c>
    </row>
    <row r="599" ht="15.75" customHeight="1" spans="1:31">
      <c r="A599" s="133">
        <v>684</v>
      </c>
      <c r="B599" s="134"/>
      <c r="C599" s="134" t="s">
        <v>2</v>
      </c>
      <c r="D599" s="134" t="s">
        <v>3951</v>
      </c>
      <c r="E599" s="138" t="b">
        <v>1</v>
      </c>
      <c r="F599" s="138" t="b">
        <v>1</v>
      </c>
      <c r="G599" s="138" t="b">
        <v>1</v>
      </c>
      <c r="H599" s="138" t="b">
        <v>1</v>
      </c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  <c r="AD599" s="138"/>
      <c r="AE599" s="139">
        <f t="shared" si="40"/>
        <v>4</v>
      </c>
    </row>
    <row r="600" ht="15.75" customHeight="1" spans="1:31">
      <c r="A600" s="125">
        <v>685</v>
      </c>
      <c r="B600" s="126"/>
      <c r="C600" s="126"/>
      <c r="D600" s="126" t="s">
        <v>3952</v>
      </c>
      <c r="E600" s="128" t="b">
        <v>1</v>
      </c>
      <c r="F600" s="129" t="b">
        <v>0</v>
      </c>
      <c r="G600" s="129" t="b">
        <v>1</v>
      </c>
      <c r="H600" s="130" t="b">
        <v>1</v>
      </c>
      <c r="I600" s="128"/>
      <c r="J600" s="129"/>
      <c r="K600" s="129"/>
      <c r="L600" s="130"/>
      <c r="M600" s="128"/>
      <c r="N600" s="129"/>
      <c r="O600" s="129"/>
      <c r="P600" s="130"/>
      <c r="Q600" s="128"/>
      <c r="R600" s="129"/>
      <c r="S600" s="129"/>
      <c r="T600" s="130"/>
      <c r="U600" s="128"/>
      <c r="V600" s="129"/>
      <c r="W600" s="131"/>
      <c r="X600" s="129"/>
      <c r="Y600" s="130"/>
      <c r="Z600" s="128"/>
      <c r="AA600" s="129"/>
      <c r="AB600" s="131"/>
      <c r="AC600" s="129"/>
      <c r="AD600" s="131"/>
      <c r="AE600" s="132">
        <f t="shared" si="40"/>
        <v>3</v>
      </c>
    </row>
    <row r="601" ht="15.75" customHeight="1" spans="1:31">
      <c r="A601" s="133">
        <v>686</v>
      </c>
      <c r="B601" s="134"/>
      <c r="C601" s="134" t="s">
        <v>3411</v>
      </c>
      <c r="D601" s="134" t="s">
        <v>3953</v>
      </c>
      <c r="E601" s="135" t="b">
        <v>0</v>
      </c>
      <c r="F601" s="136" t="b">
        <v>0</v>
      </c>
      <c r="G601" s="136" t="b">
        <v>0</v>
      </c>
      <c r="H601" s="137" t="b">
        <v>0</v>
      </c>
      <c r="I601" s="135"/>
      <c r="J601" s="136"/>
      <c r="K601" s="136"/>
      <c r="L601" s="137"/>
      <c r="M601" s="135"/>
      <c r="N601" s="136"/>
      <c r="O601" s="136"/>
      <c r="P601" s="137"/>
      <c r="Q601" s="135"/>
      <c r="R601" s="136"/>
      <c r="S601" s="136"/>
      <c r="T601" s="137"/>
      <c r="U601" s="135"/>
      <c r="V601" s="136"/>
      <c r="W601" s="138"/>
      <c r="X601" s="136"/>
      <c r="Y601" s="137"/>
      <c r="Z601" s="135"/>
      <c r="AA601" s="136"/>
      <c r="AB601" s="138"/>
      <c r="AC601" s="136"/>
      <c r="AD601" s="138"/>
      <c r="AE601" s="139">
        <f t="shared" si="40"/>
        <v>0</v>
      </c>
    </row>
    <row r="602" ht="15.75" customHeight="1" spans="1:31">
      <c r="A602" s="125">
        <v>687</v>
      </c>
      <c r="B602" s="126"/>
      <c r="C602" s="126" t="s">
        <v>2</v>
      </c>
      <c r="D602" s="126" t="s">
        <v>3954</v>
      </c>
      <c r="E602" s="128" t="b">
        <v>0</v>
      </c>
      <c r="F602" s="129" t="b">
        <v>0</v>
      </c>
      <c r="G602" s="129" t="b">
        <v>0</v>
      </c>
      <c r="H602" s="130" t="b">
        <v>0</v>
      </c>
      <c r="I602" s="128"/>
      <c r="J602" s="129"/>
      <c r="K602" s="129"/>
      <c r="L602" s="130"/>
      <c r="M602" s="128"/>
      <c r="N602" s="129"/>
      <c r="O602" s="129"/>
      <c r="P602" s="130"/>
      <c r="Q602" s="128"/>
      <c r="R602" s="129"/>
      <c r="S602" s="129"/>
      <c r="T602" s="130"/>
      <c r="U602" s="128"/>
      <c r="V602" s="129"/>
      <c r="W602" s="131"/>
      <c r="X602" s="129"/>
      <c r="Y602" s="130"/>
      <c r="Z602" s="128"/>
      <c r="AA602" s="129"/>
      <c r="AB602" s="131"/>
      <c r="AC602" s="129"/>
      <c r="AD602" s="131"/>
      <c r="AE602" s="132">
        <f t="shared" si="40"/>
        <v>0</v>
      </c>
    </row>
    <row r="603" ht="15.75" customHeight="1" spans="1:31">
      <c r="A603" s="133">
        <v>688</v>
      </c>
      <c r="B603" s="134"/>
      <c r="C603" s="140" t="s">
        <v>3413</v>
      </c>
      <c r="D603" s="134" t="s">
        <v>3955</v>
      </c>
      <c r="E603" s="135" t="b">
        <v>1</v>
      </c>
      <c r="F603" s="136" t="b">
        <v>1</v>
      </c>
      <c r="G603" s="136" t="b">
        <v>1</v>
      </c>
      <c r="H603" s="137" t="b">
        <v>1</v>
      </c>
      <c r="I603" s="135"/>
      <c r="J603" s="136"/>
      <c r="K603" s="136"/>
      <c r="L603" s="137"/>
      <c r="M603" s="135"/>
      <c r="N603" s="136"/>
      <c r="O603" s="136"/>
      <c r="P603" s="137"/>
      <c r="Q603" s="135"/>
      <c r="R603" s="136"/>
      <c r="S603" s="136"/>
      <c r="T603" s="137"/>
      <c r="U603" s="135"/>
      <c r="V603" s="136"/>
      <c r="W603" s="138"/>
      <c r="X603" s="136"/>
      <c r="Y603" s="137"/>
      <c r="Z603" s="135"/>
      <c r="AA603" s="136"/>
      <c r="AB603" s="138"/>
      <c r="AC603" s="136"/>
      <c r="AD603" s="138"/>
      <c r="AE603" s="139">
        <f t="shared" si="40"/>
        <v>4</v>
      </c>
    </row>
    <row r="604" ht="15.75" customHeight="1" spans="1:31">
      <c r="A604" s="125">
        <v>689</v>
      </c>
      <c r="B604" s="126"/>
      <c r="C604" s="126" t="s">
        <v>2</v>
      </c>
      <c r="D604" s="126" t="s">
        <v>3956</v>
      </c>
      <c r="E604" s="128" t="b">
        <v>0</v>
      </c>
      <c r="F604" s="129" t="b">
        <v>1</v>
      </c>
      <c r="G604" s="129" t="b">
        <v>0</v>
      </c>
      <c r="H604" s="130" t="b">
        <v>0</v>
      </c>
      <c r="I604" s="128"/>
      <c r="J604" s="129"/>
      <c r="K604" s="129"/>
      <c r="L604" s="130"/>
      <c r="M604" s="128"/>
      <c r="N604" s="129"/>
      <c r="O604" s="129"/>
      <c r="P604" s="130"/>
      <c r="Q604" s="128"/>
      <c r="R604" s="129"/>
      <c r="S604" s="129"/>
      <c r="T604" s="130"/>
      <c r="U604" s="128"/>
      <c r="V604" s="129"/>
      <c r="W604" s="131"/>
      <c r="X604" s="129"/>
      <c r="Y604" s="130"/>
      <c r="Z604" s="128"/>
      <c r="AA604" s="129"/>
      <c r="AB604" s="131"/>
      <c r="AC604" s="129"/>
      <c r="AD604" s="131"/>
      <c r="AE604" s="132">
        <f t="shared" si="40"/>
        <v>1</v>
      </c>
    </row>
    <row r="605" ht="15.75" customHeight="1" spans="1:31">
      <c r="A605" s="133">
        <v>690</v>
      </c>
      <c r="B605" s="134"/>
      <c r="C605" s="134" t="s">
        <v>3411</v>
      </c>
      <c r="D605" s="134" t="s">
        <v>3957</v>
      </c>
      <c r="E605" s="135" t="b">
        <v>1</v>
      </c>
      <c r="F605" s="136" t="b">
        <v>0</v>
      </c>
      <c r="G605" s="136" t="b">
        <v>1</v>
      </c>
      <c r="H605" s="137" t="b">
        <v>1</v>
      </c>
      <c r="I605" s="135"/>
      <c r="J605" s="136"/>
      <c r="K605" s="136"/>
      <c r="L605" s="137"/>
      <c r="M605" s="135"/>
      <c r="N605" s="136"/>
      <c r="O605" s="136"/>
      <c r="P605" s="137"/>
      <c r="Q605" s="135"/>
      <c r="R605" s="136"/>
      <c r="S605" s="136"/>
      <c r="T605" s="137"/>
      <c r="U605" s="135"/>
      <c r="V605" s="136"/>
      <c r="W605" s="138"/>
      <c r="X605" s="136"/>
      <c r="Y605" s="137"/>
      <c r="Z605" s="135"/>
      <c r="AA605" s="136"/>
      <c r="AB605" s="138"/>
      <c r="AC605" s="136"/>
      <c r="AD605" s="138"/>
      <c r="AE605" s="139">
        <f t="shared" si="40"/>
        <v>3</v>
      </c>
    </row>
    <row r="606" ht="15.75" customHeight="1" spans="1:31">
      <c r="A606" s="125">
        <v>692</v>
      </c>
      <c r="B606" s="127" t="s">
        <v>3434</v>
      </c>
      <c r="C606" s="126"/>
      <c r="D606" s="127" t="s">
        <v>3958</v>
      </c>
      <c r="E606" s="128" t="b">
        <v>0</v>
      </c>
      <c r="F606" s="129" t="b">
        <v>0</v>
      </c>
      <c r="G606" s="129" t="b">
        <v>1</v>
      </c>
      <c r="H606" s="130" t="b">
        <v>1</v>
      </c>
      <c r="I606" s="128"/>
      <c r="J606" s="129"/>
      <c r="K606" s="129"/>
      <c r="L606" s="130"/>
      <c r="M606" s="128"/>
      <c r="N606" s="129"/>
      <c r="O606" s="129"/>
      <c r="P606" s="130"/>
      <c r="Q606" s="128"/>
      <c r="R606" s="129"/>
      <c r="S606" s="129"/>
      <c r="T606" s="130"/>
      <c r="U606" s="128"/>
      <c r="V606" s="129"/>
      <c r="W606" s="131"/>
      <c r="X606" s="129"/>
      <c r="Y606" s="130"/>
      <c r="Z606" s="128"/>
      <c r="AA606" s="129"/>
      <c r="AB606" s="131"/>
      <c r="AC606" s="129"/>
      <c r="AD606" s="131"/>
      <c r="AE606" s="132">
        <f t="shared" si="40"/>
        <v>2</v>
      </c>
    </row>
    <row r="607" ht="15.75" customHeight="1" spans="1:31">
      <c r="A607" s="125">
        <v>693</v>
      </c>
      <c r="B607" s="126"/>
      <c r="C607" s="126" t="s">
        <v>3411</v>
      </c>
      <c r="D607" s="126" t="s">
        <v>3959</v>
      </c>
      <c r="E607" s="128" t="b">
        <v>1</v>
      </c>
      <c r="F607" s="129" t="b">
        <v>1</v>
      </c>
      <c r="G607" s="129" t="b">
        <v>0</v>
      </c>
      <c r="H607" s="130" t="b">
        <v>1</v>
      </c>
      <c r="I607" s="128"/>
      <c r="J607" s="129"/>
      <c r="K607" s="129"/>
      <c r="L607" s="130"/>
      <c r="M607" s="128"/>
      <c r="N607" s="129"/>
      <c r="O607" s="129"/>
      <c r="P607" s="130"/>
      <c r="Q607" s="128"/>
      <c r="R607" s="129"/>
      <c r="S607" s="129"/>
      <c r="T607" s="130"/>
      <c r="U607" s="128"/>
      <c r="V607" s="129"/>
      <c r="W607" s="131"/>
      <c r="X607" s="129"/>
      <c r="Y607" s="130"/>
      <c r="Z607" s="128"/>
      <c r="AA607" s="129"/>
      <c r="AB607" s="131"/>
      <c r="AC607" s="129"/>
      <c r="AD607" s="131"/>
      <c r="AE607" s="132">
        <f t="shared" si="40"/>
        <v>3</v>
      </c>
    </row>
    <row r="608" ht="15.75" customHeight="1" spans="1:31">
      <c r="A608" s="133">
        <v>694</v>
      </c>
      <c r="B608" s="134"/>
      <c r="C608" s="134"/>
      <c r="D608" s="134" t="s">
        <v>3127</v>
      </c>
      <c r="E608" s="135" t="b">
        <v>1</v>
      </c>
      <c r="F608" s="136" t="b">
        <v>1</v>
      </c>
      <c r="G608" s="136" t="b">
        <v>1</v>
      </c>
      <c r="H608" s="137" t="b">
        <v>1</v>
      </c>
      <c r="I608" s="135"/>
      <c r="J608" s="136"/>
      <c r="K608" s="136"/>
      <c r="L608" s="137"/>
      <c r="M608" s="135"/>
      <c r="N608" s="136"/>
      <c r="O608" s="136"/>
      <c r="P608" s="137"/>
      <c r="Q608" s="135"/>
      <c r="R608" s="136"/>
      <c r="S608" s="136"/>
      <c r="T608" s="137"/>
      <c r="U608" s="135"/>
      <c r="V608" s="136"/>
      <c r="W608" s="138"/>
      <c r="X608" s="136"/>
      <c r="Y608" s="137"/>
      <c r="Z608" s="135"/>
      <c r="AA608" s="136"/>
      <c r="AB608" s="138"/>
      <c r="AC608" s="136"/>
      <c r="AD608" s="138"/>
      <c r="AE608" s="139">
        <f t="shared" si="40"/>
        <v>4</v>
      </c>
    </row>
    <row r="609" ht="15.75" customHeight="1" spans="1:31">
      <c r="A609" s="125">
        <v>696</v>
      </c>
      <c r="B609" s="126"/>
      <c r="C609" s="126"/>
      <c r="D609" s="126" t="s">
        <v>3960</v>
      </c>
      <c r="E609" s="128" t="b">
        <v>1</v>
      </c>
      <c r="F609" s="129" t="b">
        <v>1</v>
      </c>
      <c r="G609" s="129" t="b">
        <v>1</v>
      </c>
      <c r="H609" s="130" t="b">
        <v>0</v>
      </c>
      <c r="I609" s="128"/>
      <c r="J609" s="129"/>
      <c r="K609" s="129"/>
      <c r="L609" s="130"/>
      <c r="M609" s="128"/>
      <c r="N609" s="129"/>
      <c r="O609" s="129"/>
      <c r="P609" s="130"/>
      <c r="Q609" s="128"/>
      <c r="R609" s="129"/>
      <c r="S609" s="129"/>
      <c r="T609" s="130"/>
      <c r="U609" s="128"/>
      <c r="V609" s="129"/>
      <c r="W609" s="131"/>
      <c r="X609" s="129"/>
      <c r="Y609" s="130"/>
      <c r="Z609" s="128"/>
      <c r="AA609" s="129"/>
      <c r="AB609" s="131"/>
      <c r="AC609" s="129"/>
      <c r="AD609" s="131"/>
      <c r="AE609" s="132">
        <f t="shared" si="40"/>
        <v>3</v>
      </c>
    </row>
    <row r="610" ht="15.75" customHeight="1" spans="1:31">
      <c r="A610" s="133">
        <v>697</v>
      </c>
      <c r="B610" s="134"/>
      <c r="C610" s="134"/>
      <c r="D610" s="134" t="s">
        <v>3961</v>
      </c>
      <c r="E610" s="135" t="b">
        <v>1</v>
      </c>
      <c r="F610" s="136" t="b">
        <v>1</v>
      </c>
      <c r="G610" s="136" t="b">
        <v>1</v>
      </c>
      <c r="H610" s="137" t="b">
        <v>0</v>
      </c>
      <c r="I610" s="135"/>
      <c r="J610" s="136"/>
      <c r="K610" s="136"/>
      <c r="L610" s="137"/>
      <c r="M610" s="135"/>
      <c r="N610" s="136"/>
      <c r="O610" s="136"/>
      <c r="P610" s="137"/>
      <c r="Q610" s="135"/>
      <c r="R610" s="136"/>
      <c r="S610" s="136"/>
      <c r="T610" s="137"/>
      <c r="U610" s="135"/>
      <c r="V610" s="136"/>
      <c r="W610" s="138"/>
      <c r="X610" s="136"/>
      <c r="Y610" s="137"/>
      <c r="Z610" s="135"/>
      <c r="AA610" s="136"/>
      <c r="AB610" s="138"/>
      <c r="AC610" s="136"/>
      <c r="AD610" s="138"/>
      <c r="AE610" s="139">
        <f t="shared" si="40"/>
        <v>3</v>
      </c>
    </row>
    <row r="611" ht="15.75" customHeight="1" spans="1:31">
      <c r="A611" s="125">
        <v>698</v>
      </c>
      <c r="B611" s="126"/>
      <c r="C611" s="126"/>
      <c r="D611" s="126" t="s">
        <v>3962</v>
      </c>
      <c r="E611" s="128" t="b">
        <v>1</v>
      </c>
      <c r="F611" s="129" t="b">
        <v>1</v>
      </c>
      <c r="G611" s="129" t="b">
        <v>1</v>
      </c>
      <c r="H611" s="130" t="b">
        <v>1</v>
      </c>
      <c r="I611" s="128"/>
      <c r="J611" s="129"/>
      <c r="K611" s="129"/>
      <c r="L611" s="130"/>
      <c r="M611" s="128"/>
      <c r="N611" s="129"/>
      <c r="O611" s="129"/>
      <c r="P611" s="130"/>
      <c r="Q611" s="128"/>
      <c r="R611" s="129"/>
      <c r="S611" s="129"/>
      <c r="T611" s="130"/>
      <c r="U611" s="128"/>
      <c r="V611" s="129"/>
      <c r="W611" s="131"/>
      <c r="X611" s="129"/>
      <c r="Y611" s="130"/>
      <c r="Z611" s="128"/>
      <c r="AA611" s="129"/>
      <c r="AB611" s="131"/>
      <c r="AC611" s="129"/>
      <c r="AD611" s="131"/>
      <c r="AE611" s="132">
        <f t="shared" si="40"/>
        <v>4</v>
      </c>
    </row>
    <row r="612" ht="15.75" customHeight="1" spans="1:31">
      <c r="A612" s="133">
        <v>699</v>
      </c>
      <c r="B612" s="134"/>
      <c r="C612" s="140" t="s">
        <v>3411</v>
      </c>
      <c r="D612" s="140" t="s">
        <v>3963</v>
      </c>
      <c r="E612" s="135" t="b">
        <v>0</v>
      </c>
      <c r="F612" s="136" t="b">
        <v>0</v>
      </c>
      <c r="G612" s="136" t="b">
        <v>1</v>
      </c>
      <c r="H612" s="137" t="b">
        <v>1</v>
      </c>
      <c r="I612" s="135"/>
      <c r="J612" s="136"/>
      <c r="K612" s="136"/>
      <c r="L612" s="137"/>
      <c r="M612" s="135"/>
      <c r="N612" s="136"/>
      <c r="O612" s="136"/>
      <c r="P612" s="137"/>
      <c r="Q612" s="135"/>
      <c r="R612" s="136"/>
      <c r="S612" s="136"/>
      <c r="T612" s="137"/>
      <c r="U612" s="135"/>
      <c r="V612" s="136"/>
      <c r="W612" s="138"/>
      <c r="X612" s="136"/>
      <c r="Y612" s="137"/>
      <c r="Z612" s="135"/>
      <c r="AA612" s="136"/>
      <c r="AB612" s="138"/>
      <c r="AC612" s="136"/>
      <c r="AD612" s="138"/>
      <c r="AE612" s="139">
        <f t="shared" si="40"/>
        <v>2</v>
      </c>
    </row>
    <row r="613" ht="15.75" customHeight="1" spans="1:31">
      <c r="A613" s="125">
        <v>700</v>
      </c>
      <c r="B613" s="126"/>
      <c r="C613" s="126" t="s">
        <v>3411</v>
      </c>
      <c r="D613" s="126" t="s">
        <v>3964</v>
      </c>
      <c r="E613" s="128" t="b">
        <v>0</v>
      </c>
      <c r="F613" s="129" t="b">
        <v>0</v>
      </c>
      <c r="G613" s="129" t="b">
        <v>0</v>
      </c>
      <c r="H613" s="130" t="b">
        <v>0</v>
      </c>
      <c r="I613" s="128"/>
      <c r="J613" s="129"/>
      <c r="K613" s="129"/>
      <c r="L613" s="130"/>
      <c r="M613" s="128"/>
      <c r="N613" s="129"/>
      <c r="O613" s="129"/>
      <c r="P613" s="130"/>
      <c r="Q613" s="128"/>
      <c r="R613" s="129"/>
      <c r="S613" s="129"/>
      <c r="T613" s="130"/>
      <c r="U613" s="128"/>
      <c r="V613" s="129"/>
      <c r="W613" s="131"/>
      <c r="X613" s="129"/>
      <c r="Y613" s="130"/>
      <c r="Z613" s="128"/>
      <c r="AA613" s="129"/>
      <c r="AB613" s="131"/>
      <c r="AC613" s="129"/>
      <c r="AD613" s="131"/>
      <c r="AE613" s="132">
        <f t="shared" si="40"/>
        <v>0</v>
      </c>
    </row>
    <row r="614" ht="15.75" customHeight="1" spans="1:31">
      <c r="A614" s="125"/>
      <c r="B614" s="126"/>
      <c r="C614" s="126" t="s">
        <v>3411</v>
      </c>
      <c r="D614" s="126" t="s">
        <v>3965</v>
      </c>
      <c r="E614" s="128" t="b">
        <v>0</v>
      </c>
      <c r="F614" s="129" t="b">
        <v>0</v>
      </c>
      <c r="G614" s="129" t="b">
        <v>0</v>
      </c>
      <c r="H614" s="130" t="b">
        <v>0</v>
      </c>
      <c r="I614" s="128"/>
      <c r="J614" s="129"/>
      <c r="K614" s="129"/>
      <c r="L614" s="130"/>
      <c r="M614" s="128"/>
      <c r="N614" s="129"/>
      <c r="O614" s="129"/>
      <c r="P614" s="130"/>
      <c r="Q614" s="128"/>
      <c r="R614" s="129"/>
      <c r="S614" s="129"/>
      <c r="T614" s="130"/>
      <c r="U614" s="128"/>
      <c r="V614" s="129"/>
      <c r="W614" s="131"/>
      <c r="X614" s="129"/>
      <c r="Y614" s="130"/>
      <c r="Z614" s="128"/>
      <c r="AA614" s="129"/>
      <c r="AB614" s="131"/>
      <c r="AC614" s="129"/>
      <c r="AD614" s="131"/>
      <c r="AE614" s="132">
        <f t="shared" si="40"/>
        <v>0</v>
      </c>
    </row>
    <row r="615" ht="15.75" customHeight="1" spans="1:31">
      <c r="A615" s="133"/>
      <c r="B615" s="134"/>
      <c r="C615" s="134" t="s">
        <v>2</v>
      </c>
      <c r="D615" s="134" t="s">
        <v>3966</v>
      </c>
      <c r="E615" s="138" t="b">
        <v>0</v>
      </c>
      <c r="F615" s="138" t="b">
        <v>1</v>
      </c>
      <c r="G615" s="138" t="b">
        <v>0</v>
      </c>
      <c r="H615" s="138" t="b">
        <v>0</v>
      </c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38"/>
      <c r="AD615" s="138"/>
      <c r="AE615" s="139">
        <f t="shared" si="40"/>
        <v>1</v>
      </c>
    </row>
    <row r="616" ht="15.75" customHeight="1" spans="1:31">
      <c r="A616" s="125"/>
      <c r="B616" s="126"/>
      <c r="C616" s="126" t="s">
        <v>2</v>
      </c>
      <c r="D616" s="126" t="s">
        <v>2130</v>
      </c>
      <c r="E616" s="128" t="b">
        <v>1</v>
      </c>
      <c r="F616" s="129" t="b">
        <v>1</v>
      </c>
      <c r="G616" s="129" t="b">
        <v>1</v>
      </c>
      <c r="H616" s="130" t="b">
        <v>1</v>
      </c>
      <c r="I616" s="128"/>
      <c r="J616" s="129"/>
      <c r="K616" s="129"/>
      <c r="L616" s="130"/>
      <c r="M616" s="128"/>
      <c r="N616" s="129"/>
      <c r="O616" s="129"/>
      <c r="P616" s="130"/>
      <c r="Q616" s="128"/>
      <c r="R616" s="129"/>
      <c r="S616" s="129"/>
      <c r="T616" s="130"/>
      <c r="U616" s="128"/>
      <c r="V616" s="129"/>
      <c r="W616" s="131"/>
      <c r="X616" s="129"/>
      <c r="Y616" s="130"/>
      <c r="Z616" s="128"/>
      <c r="AA616" s="129"/>
      <c r="AB616" s="131"/>
      <c r="AC616" s="129"/>
      <c r="AD616" s="131"/>
      <c r="AE616" s="132">
        <f t="shared" si="40"/>
        <v>4</v>
      </c>
    </row>
    <row r="617" ht="15.75" customHeight="1" spans="1:31">
      <c r="A617" s="133"/>
      <c r="B617" s="134"/>
      <c r="C617" s="134" t="s">
        <v>3411</v>
      </c>
      <c r="D617" s="134" t="s">
        <v>3967</v>
      </c>
      <c r="E617" s="135" t="b">
        <v>1</v>
      </c>
      <c r="F617" s="136" t="b">
        <v>1</v>
      </c>
      <c r="G617" s="136" t="b">
        <v>1</v>
      </c>
      <c r="H617" s="137" t="b">
        <v>1</v>
      </c>
      <c r="I617" s="135"/>
      <c r="J617" s="136"/>
      <c r="K617" s="136"/>
      <c r="L617" s="137"/>
      <c r="M617" s="135"/>
      <c r="N617" s="136"/>
      <c r="O617" s="136"/>
      <c r="P617" s="137"/>
      <c r="Q617" s="135"/>
      <c r="R617" s="136"/>
      <c r="S617" s="136"/>
      <c r="T617" s="137"/>
      <c r="U617" s="135"/>
      <c r="V617" s="136"/>
      <c r="W617" s="138"/>
      <c r="X617" s="136"/>
      <c r="Y617" s="137"/>
      <c r="Z617" s="135"/>
      <c r="AA617" s="136"/>
      <c r="AB617" s="138"/>
      <c r="AC617" s="136"/>
      <c r="AD617" s="138"/>
      <c r="AE617" s="139">
        <f t="shared" si="40"/>
        <v>4</v>
      </c>
    </row>
    <row r="618" ht="15.75" customHeight="1" spans="1:31">
      <c r="A618" s="125"/>
      <c r="B618" s="126"/>
      <c r="C618" s="126" t="s">
        <v>3</v>
      </c>
      <c r="D618" s="126" t="s">
        <v>3968</v>
      </c>
      <c r="E618" s="128" t="b">
        <v>1</v>
      </c>
      <c r="F618" s="129" t="b">
        <v>1</v>
      </c>
      <c r="G618" s="129" t="b">
        <v>1</v>
      </c>
      <c r="H618" s="130" t="b">
        <v>1</v>
      </c>
      <c r="I618" s="128"/>
      <c r="J618" s="129"/>
      <c r="K618" s="129"/>
      <c r="L618" s="130"/>
      <c r="M618" s="128"/>
      <c r="N618" s="129"/>
      <c r="O618" s="129"/>
      <c r="P618" s="130"/>
      <c r="Q618" s="128"/>
      <c r="R618" s="129"/>
      <c r="S618" s="129"/>
      <c r="T618" s="130"/>
      <c r="U618" s="128"/>
      <c r="V618" s="129"/>
      <c r="W618" s="131"/>
      <c r="X618" s="129"/>
      <c r="Y618" s="130"/>
      <c r="Z618" s="128"/>
      <c r="AA618" s="129"/>
      <c r="AB618" s="131"/>
      <c r="AC618" s="129"/>
      <c r="AD618" s="131"/>
      <c r="AE618" s="132">
        <f t="shared" si="40"/>
        <v>4</v>
      </c>
    </row>
    <row r="619" ht="15.75" customHeight="1" spans="1:31">
      <c r="A619" s="155"/>
      <c r="B619" s="156"/>
      <c r="C619" s="156" t="s">
        <v>2</v>
      </c>
      <c r="D619" s="156" t="s">
        <v>3969</v>
      </c>
      <c r="E619" s="157" t="b">
        <v>0</v>
      </c>
      <c r="F619" s="157" t="b">
        <v>0</v>
      </c>
      <c r="G619" s="157" t="b">
        <v>0</v>
      </c>
      <c r="H619" s="157" t="b">
        <v>0</v>
      </c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8">
        <f t="shared" si="40"/>
        <v>0</v>
      </c>
    </row>
    <row r="620" ht="15.75" customHeight="1" spans="1:31">
      <c r="A620" s="159"/>
      <c r="B620" s="160"/>
      <c r="C620" s="160" t="s">
        <v>3</v>
      </c>
      <c r="D620" s="160" t="s">
        <v>3970</v>
      </c>
      <c r="E620" s="161" t="b">
        <v>1</v>
      </c>
      <c r="F620" s="161" t="b">
        <v>0</v>
      </c>
      <c r="G620" s="161" t="b">
        <v>1</v>
      </c>
      <c r="H620" s="161" t="b">
        <v>1</v>
      </c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2">
        <f t="shared" si="40"/>
        <v>3</v>
      </c>
    </row>
    <row r="621" ht="15.75" customHeight="1" spans="1:31">
      <c r="A621" s="159"/>
      <c r="B621" s="160"/>
      <c r="C621" s="160"/>
      <c r="D621" s="163" t="s">
        <v>3971</v>
      </c>
      <c r="E621" s="160" t="b">
        <v>0</v>
      </c>
      <c r="F621" s="163" t="b">
        <v>1</v>
      </c>
      <c r="G621" s="160" t="b">
        <v>0</v>
      </c>
      <c r="H621" s="160" t="b">
        <v>0</v>
      </c>
      <c r="I621" s="160"/>
      <c r="J621" s="16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  <c r="AA621" s="160"/>
      <c r="AB621" s="160"/>
      <c r="AC621" s="160"/>
      <c r="AD621" s="160"/>
      <c r="AE621" s="164"/>
    </row>
    <row r="622" ht="15.75" customHeight="1" spans="1:31">
      <c r="A622" s="159"/>
      <c r="B622" s="165" t="s">
        <v>3434</v>
      </c>
      <c r="C622" s="12"/>
      <c r="D622" s="165" t="s">
        <v>3972</v>
      </c>
      <c r="E622" s="93" t="b">
        <v>0</v>
      </c>
      <c r="F622" s="93" t="b">
        <v>1</v>
      </c>
      <c r="G622" s="93" t="b">
        <v>1</v>
      </c>
      <c r="H622" s="93" t="b">
        <v>1</v>
      </c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  <c r="AC622" s="93"/>
      <c r="AD622" s="93"/>
      <c r="AE622" s="33">
        <f t="shared" ref="AE622:AE631" si="41">COUNTIF(E622:AD622,"TRUE")</f>
        <v>3</v>
      </c>
    </row>
    <row r="623" ht="15.75" customHeight="1" spans="1:31">
      <c r="A623" s="159"/>
      <c r="B623" s="12"/>
      <c r="C623" s="12" t="s">
        <v>3411</v>
      </c>
      <c r="D623" s="12" t="s">
        <v>3973</v>
      </c>
      <c r="E623" s="93" t="b">
        <v>0</v>
      </c>
      <c r="F623" s="93" t="b">
        <v>0</v>
      </c>
      <c r="G623" s="93" t="b">
        <v>0</v>
      </c>
      <c r="H623" s="93" t="b">
        <v>0</v>
      </c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  <c r="AC623" s="93"/>
      <c r="AD623" s="93"/>
      <c r="AE623" s="33">
        <f t="shared" si="41"/>
        <v>0</v>
      </c>
    </row>
    <row r="624" ht="15.75" customHeight="1" spans="1:31">
      <c r="A624" s="159"/>
      <c r="B624" s="160"/>
      <c r="C624" s="12" t="s">
        <v>3411</v>
      </c>
      <c r="D624" s="160" t="s">
        <v>3974</v>
      </c>
      <c r="E624" s="161" t="b">
        <v>0</v>
      </c>
      <c r="F624" s="161" t="b">
        <v>0</v>
      </c>
      <c r="G624" s="161" t="b">
        <v>0</v>
      </c>
      <c r="H624" s="161" t="b">
        <v>0</v>
      </c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2">
        <f t="shared" si="41"/>
        <v>0</v>
      </c>
    </row>
    <row r="625" ht="15.75" customHeight="1" spans="1:31">
      <c r="A625" s="159"/>
      <c r="B625" s="160"/>
      <c r="C625" s="160"/>
      <c r="D625" s="160" t="s">
        <v>3975</v>
      </c>
      <c r="E625" s="161" t="b">
        <v>0</v>
      </c>
      <c r="F625" s="161" t="b">
        <v>1</v>
      </c>
      <c r="G625" s="161" t="b">
        <v>0</v>
      </c>
      <c r="H625" s="161" t="b">
        <v>0</v>
      </c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2">
        <f t="shared" si="41"/>
        <v>1</v>
      </c>
    </row>
    <row r="626" ht="15.75" customHeight="1" spans="1:31">
      <c r="A626" s="159"/>
      <c r="B626" s="160"/>
      <c r="C626" s="160"/>
      <c r="D626" s="160" t="s">
        <v>3976</v>
      </c>
      <c r="E626" s="161" t="b">
        <v>0</v>
      </c>
      <c r="F626" s="161" t="b">
        <v>1</v>
      </c>
      <c r="G626" s="161" t="b">
        <v>0</v>
      </c>
      <c r="H626" s="161" t="b">
        <v>0</v>
      </c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2">
        <f t="shared" si="41"/>
        <v>1</v>
      </c>
    </row>
    <row r="627" ht="15.75" customHeight="1" spans="1:31">
      <c r="A627" s="159"/>
      <c r="B627" s="160"/>
      <c r="C627" s="160"/>
      <c r="D627" s="160" t="s">
        <v>3977</v>
      </c>
      <c r="E627" s="161" t="b">
        <v>0</v>
      </c>
      <c r="F627" s="161" t="b">
        <v>1</v>
      </c>
      <c r="G627" s="161" t="b">
        <v>0</v>
      </c>
      <c r="H627" s="161" t="b">
        <v>0</v>
      </c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2">
        <f t="shared" si="41"/>
        <v>1</v>
      </c>
    </row>
    <row r="628" ht="15.75" customHeight="1" spans="1:31">
      <c r="A628" s="159"/>
      <c r="B628" s="160"/>
      <c r="C628" s="160"/>
      <c r="D628" s="163" t="s">
        <v>3978</v>
      </c>
      <c r="E628" s="161" t="b">
        <v>0</v>
      </c>
      <c r="F628" s="161" t="b">
        <v>1</v>
      </c>
      <c r="G628" s="161" t="b">
        <v>0</v>
      </c>
      <c r="H628" s="161" t="b">
        <v>0</v>
      </c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2">
        <f t="shared" si="41"/>
        <v>1</v>
      </c>
    </row>
    <row r="629" ht="15.75" customHeight="1" spans="1:31">
      <c r="A629" s="159"/>
      <c r="B629" s="160"/>
      <c r="C629" s="160" t="s">
        <v>2</v>
      </c>
      <c r="D629" s="160" t="s">
        <v>3979</v>
      </c>
      <c r="E629" s="161" t="b">
        <v>0</v>
      </c>
      <c r="F629" s="161" t="b">
        <v>0</v>
      </c>
      <c r="G629" s="161" t="b">
        <v>0</v>
      </c>
      <c r="H629" s="161" t="b">
        <v>0</v>
      </c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2">
        <f t="shared" si="41"/>
        <v>0</v>
      </c>
    </row>
    <row r="630" ht="15.75" customHeight="1" spans="1:31">
      <c r="A630" s="159"/>
      <c r="B630" s="163" t="s">
        <v>3434</v>
      </c>
      <c r="C630" s="160"/>
      <c r="D630" s="163" t="s">
        <v>3980</v>
      </c>
      <c r="E630" s="161" t="b">
        <v>0</v>
      </c>
      <c r="F630" s="161" t="b">
        <v>1</v>
      </c>
      <c r="G630" s="161" t="b">
        <v>1</v>
      </c>
      <c r="H630" s="161" t="b">
        <v>1</v>
      </c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2">
        <f t="shared" si="41"/>
        <v>3</v>
      </c>
    </row>
    <row r="631" ht="15.75" customHeight="1" spans="1:31">
      <c r="A631" s="159"/>
      <c r="B631" s="160"/>
      <c r="C631" s="160"/>
      <c r="D631" s="160" t="s">
        <v>3981</v>
      </c>
      <c r="E631" s="161" t="b">
        <v>1</v>
      </c>
      <c r="F631" s="161" t="b">
        <v>0</v>
      </c>
      <c r="G631" s="161" t="b">
        <v>0</v>
      </c>
      <c r="H631" s="161" t="b">
        <v>0</v>
      </c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2">
        <f t="shared" si="41"/>
        <v>1</v>
      </c>
    </row>
    <row r="632" ht="15.75" customHeight="1" spans="1:31">
      <c r="A632" s="159"/>
      <c r="B632" s="160"/>
      <c r="C632" s="163" t="s">
        <v>3413</v>
      </c>
      <c r="D632" s="163" t="s">
        <v>3982</v>
      </c>
      <c r="E632" s="163" t="b">
        <v>1</v>
      </c>
      <c r="F632" s="160" t="b">
        <v>0</v>
      </c>
      <c r="G632" s="163" t="b">
        <v>1</v>
      </c>
      <c r="H632" s="160" t="b">
        <v>0</v>
      </c>
      <c r="I632" s="16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  <c r="AA632" s="160"/>
      <c r="AB632" s="160"/>
      <c r="AC632" s="160"/>
      <c r="AD632" s="160"/>
      <c r="AE632" s="164"/>
    </row>
    <row r="633" ht="15.75" customHeight="1" spans="1:31">
      <c r="A633" s="159"/>
      <c r="B633" s="163" t="s">
        <v>3434</v>
      </c>
      <c r="C633" s="160"/>
      <c r="D633" s="166" t="s">
        <v>3983</v>
      </c>
      <c r="E633" s="161" t="b">
        <v>0</v>
      </c>
      <c r="F633" s="161" t="b">
        <v>0</v>
      </c>
      <c r="G633" s="161" t="b">
        <v>1</v>
      </c>
      <c r="H633" s="161" t="b">
        <v>1</v>
      </c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2">
        <f t="shared" ref="AE633:AE646" si="42">COUNTIF(E633:AD633,"TRUE")</f>
        <v>2</v>
      </c>
    </row>
    <row r="634" ht="15.75" customHeight="1" spans="1:31">
      <c r="A634" s="159"/>
      <c r="B634" s="160"/>
      <c r="C634" s="160" t="s">
        <v>2</v>
      </c>
      <c r="D634" s="160" t="s">
        <v>3984</v>
      </c>
      <c r="E634" s="161" t="b">
        <v>1</v>
      </c>
      <c r="F634" s="161" t="b">
        <v>1</v>
      </c>
      <c r="G634" s="161" t="b">
        <v>1</v>
      </c>
      <c r="H634" s="161" t="b">
        <v>0</v>
      </c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2">
        <f t="shared" si="42"/>
        <v>3</v>
      </c>
    </row>
    <row r="635" ht="15.75" customHeight="1" spans="1:31">
      <c r="A635" s="159"/>
      <c r="B635" s="12"/>
      <c r="C635" s="12" t="s">
        <v>3</v>
      </c>
      <c r="D635" s="12" t="s">
        <v>1593</v>
      </c>
      <c r="E635" s="93" t="b">
        <v>1</v>
      </c>
      <c r="F635" s="93" t="b">
        <v>1</v>
      </c>
      <c r="G635" s="93" t="b">
        <v>1</v>
      </c>
      <c r="H635" s="93" t="b">
        <v>1</v>
      </c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  <c r="AC635" s="93"/>
      <c r="AD635" s="93"/>
      <c r="AE635" s="33">
        <f t="shared" si="42"/>
        <v>4</v>
      </c>
    </row>
    <row r="636" ht="15.75" customHeight="1" spans="1:31">
      <c r="A636" s="159"/>
      <c r="B636" s="160"/>
      <c r="C636" s="160" t="s">
        <v>2</v>
      </c>
      <c r="D636" s="160" t="s">
        <v>3985</v>
      </c>
      <c r="E636" s="161" t="b">
        <v>1</v>
      </c>
      <c r="F636" s="161" t="b">
        <v>1</v>
      </c>
      <c r="G636" s="161" t="b">
        <v>1</v>
      </c>
      <c r="H636" s="161" t="b">
        <v>1</v>
      </c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2">
        <f t="shared" si="42"/>
        <v>4</v>
      </c>
    </row>
    <row r="637" ht="15.75" customHeight="1" spans="1:31">
      <c r="A637" s="159"/>
      <c r="B637" s="160"/>
      <c r="C637" s="160" t="s">
        <v>2</v>
      </c>
      <c r="D637" s="160" t="s">
        <v>3986</v>
      </c>
      <c r="E637" s="161" t="b">
        <v>1</v>
      </c>
      <c r="F637" s="161" t="b">
        <v>1</v>
      </c>
      <c r="G637" s="161" t="b">
        <v>1</v>
      </c>
      <c r="H637" s="161" t="b">
        <v>1</v>
      </c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2">
        <f t="shared" si="42"/>
        <v>4</v>
      </c>
    </row>
    <row r="638" ht="15.75" customHeight="1" spans="1:31">
      <c r="A638" s="159"/>
      <c r="B638" s="12"/>
      <c r="C638" s="12" t="s">
        <v>3411</v>
      </c>
      <c r="D638" s="12" t="s">
        <v>3987</v>
      </c>
      <c r="E638" s="93" t="b">
        <v>0</v>
      </c>
      <c r="F638" s="93" t="b">
        <v>0</v>
      </c>
      <c r="G638" s="93" t="b">
        <v>0</v>
      </c>
      <c r="H638" s="93" t="b">
        <v>0</v>
      </c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  <c r="AC638" s="93"/>
      <c r="AD638" s="93"/>
      <c r="AE638" s="33">
        <f t="shared" si="42"/>
        <v>0</v>
      </c>
    </row>
    <row r="639" ht="15.75" customHeight="1" spans="1:31">
      <c r="A639" s="159"/>
      <c r="B639" s="160"/>
      <c r="C639" s="160" t="s">
        <v>3</v>
      </c>
      <c r="D639" s="160" t="s">
        <v>3988</v>
      </c>
      <c r="E639" s="161" t="b">
        <v>1</v>
      </c>
      <c r="F639" s="161" t="b">
        <v>0</v>
      </c>
      <c r="G639" s="161" t="b">
        <v>0</v>
      </c>
      <c r="H639" s="161" t="b">
        <v>1</v>
      </c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2">
        <f t="shared" si="42"/>
        <v>2</v>
      </c>
    </row>
    <row r="640" ht="15.75" customHeight="1" spans="1:31">
      <c r="A640" s="159"/>
      <c r="B640" s="160"/>
      <c r="C640" s="160" t="s">
        <v>3411</v>
      </c>
      <c r="D640" s="160" t="s">
        <v>3989</v>
      </c>
      <c r="E640" s="161" t="b">
        <v>1</v>
      </c>
      <c r="F640" s="161" t="b">
        <v>1</v>
      </c>
      <c r="G640" s="161" t="b">
        <v>1</v>
      </c>
      <c r="H640" s="161" t="b">
        <v>1</v>
      </c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2">
        <f t="shared" si="42"/>
        <v>4</v>
      </c>
    </row>
    <row r="641" ht="15.75" customHeight="1" spans="1:31">
      <c r="A641" s="159"/>
      <c r="B641" s="160"/>
      <c r="C641" s="160" t="s">
        <v>2</v>
      </c>
      <c r="D641" s="160" t="s">
        <v>2146</v>
      </c>
      <c r="E641" s="161" t="b">
        <v>1</v>
      </c>
      <c r="F641" s="161" t="b">
        <v>1</v>
      </c>
      <c r="G641" s="161" t="b">
        <v>1</v>
      </c>
      <c r="H641" s="161" t="b">
        <v>1</v>
      </c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2">
        <f t="shared" si="42"/>
        <v>4</v>
      </c>
    </row>
    <row r="642" ht="15.75" customHeight="1" spans="1:31">
      <c r="A642" s="159"/>
      <c r="B642" s="160"/>
      <c r="C642" s="163" t="s">
        <v>2</v>
      </c>
      <c r="D642" s="163" t="s">
        <v>3990</v>
      </c>
      <c r="E642" s="161" t="b">
        <v>1</v>
      </c>
      <c r="F642" s="161" t="b">
        <v>1</v>
      </c>
      <c r="G642" s="161" t="b">
        <v>1</v>
      </c>
      <c r="H642" s="161" t="b">
        <v>1</v>
      </c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2">
        <f t="shared" si="42"/>
        <v>4</v>
      </c>
    </row>
    <row r="643" ht="15.75" customHeight="1" spans="1:31">
      <c r="A643" s="159"/>
      <c r="B643" s="160"/>
      <c r="C643" s="160" t="s">
        <v>3411</v>
      </c>
      <c r="D643" s="160" t="s">
        <v>3991</v>
      </c>
      <c r="E643" s="161" t="b">
        <v>1</v>
      </c>
      <c r="F643" s="161" t="b">
        <v>0</v>
      </c>
      <c r="G643" s="161" t="b">
        <v>1</v>
      </c>
      <c r="H643" s="161" t="b">
        <v>1</v>
      </c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2">
        <f t="shared" si="42"/>
        <v>3</v>
      </c>
    </row>
    <row r="644" ht="15.75" customHeight="1" spans="1:31">
      <c r="A644" s="159"/>
      <c r="B644" s="160"/>
      <c r="C644" s="160" t="s">
        <v>3411</v>
      </c>
      <c r="D644" s="160" t="s">
        <v>3992</v>
      </c>
      <c r="E644" s="161" t="b">
        <v>1</v>
      </c>
      <c r="F644" s="161" t="b">
        <v>0</v>
      </c>
      <c r="G644" s="161" t="b">
        <v>1</v>
      </c>
      <c r="H644" s="161" t="b">
        <v>1</v>
      </c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2">
        <f t="shared" si="42"/>
        <v>3</v>
      </c>
    </row>
    <row r="645" ht="15.75" customHeight="1" spans="1:31">
      <c r="A645" s="159"/>
      <c r="B645" s="160"/>
      <c r="C645" s="160" t="s">
        <v>2</v>
      </c>
      <c r="D645" s="160" t="s">
        <v>3163</v>
      </c>
      <c r="E645" s="161" t="b">
        <v>1</v>
      </c>
      <c r="F645" s="161" t="b">
        <v>1</v>
      </c>
      <c r="G645" s="161" t="b">
        <v>1</v>
      </c>
      <c r="H645" s="161" t="b">
        <v>1</v>
      </c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2">
        <f t="shared" si="42"/>
        <v>4</v>
      </c>
    </row>
    <row r="646" ht="15.75" customHeight="1" spans="1:31">
      <c r="A646" s="159"/>
      <c r="B646" s="160"/>
      <c r="C646" s="163" t="s">
        <v>3411</v>
      </c>
      <c r="D646" s="160" t="s">
        <v>3993</v>
      </c>
      <c r="E646" s="161" t="b">
        <v>1</v>
      </c>
      <c r="F646" s="161" t="b">
        <v>1</v>
      </c>
      <c r="G646" s="161" t="b">
        <v>1</v>
      </c>
      <c r="H646" s="161" t="b">
        <v>1</v>
      </c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2">
        <f t="shared" si="42"/>
        <v>4</v>
      </c>
    </row>
    <row r="647" ht="15.75" customHeight="1" spans="1:31">
      <c r="A647" s="159"/>
      <c r="B647" s="160"/>
      <c r="C647" s="163" t="s">
        <v>3</v>
      </c>
      <c r="D647" s="163" t="s">
        <v>3994</v>
      </c>
      <c r="E647" s="160" t="b">
        <v>0</v>
      </c>
      <c r="F647" s="160" t="b">
        <v>0</v>
      </c>
      <c r="G647" s="163" t="b">
        <v>0</v>
      </c>
      <c r="H647" s="160" t="b">
        <v>0</v>
      </c>
      <c r="I647" s="16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  <c r="AA647" s="160"/>
      <c r="AB647" s="160"/>
      <c r="AC647" s="160"/>
      <c r="AD647" s="160"/>
      <c r="AE647" s="164"/>
    </row>
    <row r="648" ht="15.75" customHeight="1" spans="1:31">
      <c r="A648" s="159"/>
      <c r="B648" s="12"/>
      <c r="C648" s="12" t="s">
        <v>3411</v>
      </c>
      <c r="D648" s="12" t="s">
        <v>3995</v>
      </c>
      <c r="E648" s="93" t="b">
        <v>1</v>
      </c>
      <c r="F648" s="93" t="b">
        <v>1</v>
      </c>
      <c r="G648" s="93" t="b">
        <v>1</v>
      </c>
      <c r="H648" s="93" t="b">
        <v>1</v>
      </c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  <c r="AC648" s="93"/>
      <c r="AD648" s="93"/>
      <c r="AE648" s="33">
        <f t="shared" ref="AE648:AE659" si="43">COUNTIF(E648:AD648,"TRUE")</f>
        <v>4</v>
      </c>
    </row>
    <row r="649" ht="15.75" customHeight="1" spans="1:31">
      <c r="A649" s="159"/>
      <c r="B649" s="160"/>
      <c r="C649" s="160" t="s">
        <v>3</v>
      </c>
      <c r="D649" s="160" t="s">
        <v>3996</v>
      </c>
      <c r="E649" s="161" t="b">
        <v>0</v>
      </c>
      <c r="F649" s="161" t="b">
        <v>0</v>
      </c>
      <c r="G649" s="161" t="b">
        <v>0</v>
      </c>
      <c r="H649" s="161" t="b">
        <v>0</v>
      </c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2">
        <f t="shared" si="43"/>
        <v>0</v>
      </c>
    </row>
    <row r="650" ht="15.75" customHeight="1" spans="1:31">
      <c r="A650" s="159"/>
      <c r="B650" s="160"/>
      <c r="C650" s="160" t="s">
        <v>3411</v>
      </c>
      <c r="D650" s="160" t="s">
        <v>3997</v>
      </c>
      <c r="E650" s="161" t="b">
        <v>0</v>
      </c>
      <c r="F650" s="161" t="b">
        <v>0</v>
      </c>
      <c r="G650" s="161" t="b">
        <v>1</v>
      </c>
      <c r="H650" s="161" t="b">
        <v>0</v>
      </c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2">
        <f t="shared" si="43"/>
        <v>1</v>
      </c>
    </row>
    <row r="651" ht="15.75" customHeight="1" spans="1:31">
      <c r="A651" s="159"/>
      <c r="B651" s="160"/>
      <c r="C651" s="160" t="s">
        <v>2</v>
      </c>
      <c r="D651" s="160" t="s">
        <v>3998</v>
      </c>
      <c r="E651" s="161" t="b">
        <v>1</v>
      </c>
      <c r="F651" s="161" t="b">
        <v>1</v>
      </c>
      <c r="G651" s="161" t="b">
        <v>1</v>
      </c>
      <c r="H651" s="161" t="b">
        <v>0</v>
      </c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2">
        <f t="shared" si="43"/>
        <v>3</v>
      </c>
    </row>
    <row r="652" ht="15.75" customHeight="1" spans="1:31">
      <c r="A652" s="159"/>
      <c r="B652" s="160"/>
      <c r="C652" s="160" t="s">
        <v>2</v>
      </c>
      <c r="D652" s="160" t="s">
        <v>2166</v>
      </c>
      <c r="E652" s="161" t="b">
        <v>1</v>
      </c>
      <c r="F652" s="161" t="b">
        <v>1</v>
      </c>
      <c r="G652" s="161" t="b">
        <v>1</v>
      </c>
      <c r="H652" s="161" t="b">
        <v>1</v>
      </c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2">
        <f t="shared" si="43"/>
        <v>4</v>
      </c>
    </row>
    <row r="653" ht="15.75" customHeight="1" spans="1:31">
      <c r="A653" s="159"/>
      <c r="B653" s="160"/>
      <c r="C653" s="160" t="s">
        <v>3411</v>
      </c>
      <c r="D653" s="160" t="s">
        <v>3999</v>
      </c>
      <c r="E653" s="161" t="b">
        <v>1</v>
      </c>
      <c r="F653" s="161" t="b">
        <v>1</v>
      </c>
      <c r="G653" s="161" t="b">
        <v>1</v>
      </c>
      <c r="H653" s="161" t="b">
        <v>1</v>
      </c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2">
        <f t="shared" si="43"/>
        <v>4</v>
      </c>
    </row>
    <row r="654" ht="15.75" customHeight="1" spans="1:31">
      <c r="A654" s="159"/>
      <c r="B654" s="160"/>
      <c r="C654" s="160" t="s">
        <v>3413</v>
      </c>
      <c r="D654" s="160" t="s">
        <v>4000</v>
      </c>
      <c r="E654" s="161" t="b">
        <v>1</v>
      </c>
      <c r="F654" s="161" t="b">
        <v>1</v>
      </c>
      <c r="G654" s="161" t="b">
        <v>1</v>
      </c>
      <c r="H654" s="161" t="b">
        <v>1</v>
      </c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2">
        <f t="shared" si="43"/>
        <v>4</v>
      </c>
    </row>
    <row r="655" ht="15.75" customHeight="1" spans="1:31">
      <c r="A655" s="159"/>
      <c r="B655" s="160"/>
      <c r="C655" s="160" t="s">
        <v>3411</v>
      </c>
      <c r="D655" s="160" t="s">
        <v>4001</v>
      </c>
      <c r="E655" s="161" t="b">
        <v>1</v>
      </c>
      <c r="F655" s="161" t="b">
        <v>1</v>
      </c>
      <c r="G655" s="161" t="b">
        <v>1</v>
      </c>
      <c r="H655" s="161" t="b">
        <v>1</v>
      </c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2">
        <f t="shared" si="43"/>
        <v>4</v>
      </c>
    </row>
    <row r="656" ht="15.75" customHeight="1" spans="1:31">
      <c r="A656" s="159"/>
      <c r="B656" s="160"/>
      <c r="C656" s="160" t="s">
        <v>3</v>
      </c>
      <c r="D656" s="160" t="s">
        <v>1635</v>
      </c>
      <c r="E656" s="161" t="b">
        <v>1</v>
      </c>
      <c r="F656" s="161" t="b">
        <v>1</v>
      </c>
      <c r="G656" s="161" t="b">
        <v>1</v>
      </c>
      <c r="H656" s="161" t="b">
        <v>1</v>
      </c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2">
        <f t="shared" si="43"/>
        <v>4</v>
      </c>
    </row>
    <row r="657" ht="15.75" customHeight="1" spans="1:31">
      <c r="A657" s="159"/>
      <c r="B657" s="160"/>
      <c r="C657" s="160"/>
      <c r="D657" s="160" t="s">
        <v>4002</v>
      </c>
      <c r="E657" s="161" t="b">
        <v>1</v>
      </c>
      <c r="F657" s="161" t="b">
        <v>1</v>
      </c>
      <c r="G657" s="161" t="b">
        <v>0</v>
      </c>
      <c r="H657" s="161" t="b">
        <v>0</v>
      </c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2">
        <f t="shared" si="43"/>
        <v>2</v>
      </c>
    </row>
    <row r="658" ht="15.75" customHeight="1" spans="1:31">
      <c r="A658" s="159"/>
      <c r="B658" s="160"/>
      <c r="C658" s="160"/>
      <c r="D658" s="160" t="s">
        <v>4003</v>
      </c>
      <c r="E658" s="161" t="b">
        <v>1</v>
      </c>
      <c r="F658" s="161" t="b">
        <v>1</v>
      </c>
      <c r="G658" s="161" t="b">
        <v>0</v>
      </c>
      <c r="H658" s="161" t="b">
        <v>0</v>
      </c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2">
        <f t="shared" si="43"/>
        <v>2</v>
      </c>
    </row>
    <row r="659" ht="15.75" customHeight="1" spans="1:31">
      <c r="A659" s="159"/>
      <c r="B659" s="160"/>
      <c r="C659" s="160" t="s">
        <v>3411</v>
      </c>
      <c r="D659" s="160" t="s">
        <v>4004</v>
      </c>
      <c r="E659" s="161" t="b">
        <v>1</v>
      </c>
      <c r="F659" s="161" t="b">
        <v>0</v>
      </c>
      <c r="G659" s="161" t="b">
        <v>1</v>
      </c>
      <c r="H659" s="161" t="b">
        <v>0</v>
      </c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2">
        <f t="shared" si="43"/>
        <v>2</v>
      </c>
    </row>
    <row r="660" ht="15.75" customHeight="1" spans="1:31">
      <c r="A660" s="159"/>
      <c r="B660" s="160"/>
      <c r="C660" s="160"/>
      <c r="D660" s="160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  <c r="AA660" s="160"/>
      <c r="AB660" s="160"/>
      <c r="AC660" s="160"/>
      <c r="AD660" s="160"/>
      <c r="AE660" s="164"/>
    </row>
    <row r="661" ht="15.75" customHeight="1" spans="1:31">
      <c r="A661" s="159"/>
      <c r="B661" s="160"/>
      <c r="C661" s="160"/>
      <c r="D661" s="160"/>
      <c r="E661" s="160"/>
      <c r="F661" s="160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  <c r="AA661" s="160"/>
      <c r="AB661" s="160"/>
      <c r="AC661" s="160"/>
      <c r="AD661" s="160"/>
      <c r="AE661" s="164"/>
    </row>
    <row r="662" ht="15.75" customHeight="1" spans="1:31">
      <c r="A662" s="159"/>
      <c r="B662" s="160"/>
      <c r="C662" s="160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  <c r="AA662" s="160"/>
      <c r="AB662" s="160"/>
      <c r="AC662" s="160"/>
      <c r="AD662" s="160"/>
      <c r="AE662" s="164"/>
    </row>
    <row r="663" ht="15.75" customHeight="1" spans="1:31">
      <c r="A663" s="159"/>
      <c r="B663" s="160"/>
      <c r="C663" s="160"/>
      <c r="D663" s="160"/>
      <c r="E663" s="160"/>
      <c r="F663" s="160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  <c r="AA663" s="160"/>
      <c r="AB663" s="160"/>
      <c r="AC663" s="160"/>
      <c r="AD663" s="160"/>
      <c r="AE663" s="164"/>
    </row>
    <row r="664" ht="15.75" customHeight="1" spans="1:31">
      <c r="A664" s="159"/>
      <c r="B664" s="160"/>
      <c r="C664" s="160"/>
      <c r="D664" s="160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  <c r="AA664" s="160"/>
      <c r="AB664" s="160"/>
      <c r="AC664" s="160"/>
      <c r="AD664" s="160"/>
      <c r="AE664" s="164"/>
    </row>
    <row r="665" ht="15.75" customHeight="1" spans="1:31">
      <c r="A665" s="159"/>
      <c r="B665" s="160"/>
      <c r="C665" s="160"/>
      <c r="D665" s="160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  <c r="AA665" s="160"/>
      <c r="AB665" s="160"/>
      <c r="AC665" s="160"/>
      <c r="AD665" s="160"/>
      <c r="AE665" s="164"/>
    </row>
    <row r="666" ht="15.75" customHeight="1" spans="1:31">
      <c r="A666" s="159"/>
      <c r="B666" s="160"/>
      <c r="C666" s="160"/>
      <c r="D666" s="160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  <c r="AA666" s="160"/>
      <c r="AB666" s="160"/>
      <c r="AC666" s="160"/>
      <c r="AD666" s="160"/>
      <c r="AE666" s="164"/>
    </row>
    <row r="667" ht="15.75" customHeight="1" spans="1:31">
      <c r="A667" s="159"/>
      <c r="B667" s="160"/>
      <c r="C667" s="160"/>
      <c r="D667" s="160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  <c r="AA667" s="160"/>
      <c r="AB667" s="160"/>
      <c r="AC667" s="160"/>
      <c r="AD667" s="160"/>
      <c r="AE667" s="164"/>
    </row>
    <row r="668" ht="15.75" customHeight="1" spans="1:31">
      <c r="A668" s="159"/>
      <c r="B668" s="160"/>
      <c r="C668" s="160"/>
      <c r="D668" s="160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  <c r="AA668" s="160"/>
      <c r="AB668" s="160"/>
      <c r="AC668" s="160"/>
      <c r="AD668" s="160"/>
      <c r="AE668" s="164"/>
    </row>
    <row r="669" ht="15.75" customHeight="1" spans="1:31">
      <c r="A669" s="159"/>
      <c r="B669" s="160"/>
      <c r="C669" s="160"/>
      <c r="D669" s="160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  <c r="AA669" s="160"/>
      <c r="AB669" s="160"/>
      <c r="AC669" s="160"/>
      <c r="AD669" s="160"/>
      <c r="AE669" s="164"/>
    </row>
    <row r="670" ht="15.75" customHeight="1" spans="1:31">
      <c r="A670" s="159"/>
      <c r="B670" s="160"/>
      <c r="C670" s="160"/>
      <c r="D670" s="160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  <c r="AA670" s="160"/>
      <c r="AB670" s="160"/>
      <c r="AC670" s="160"/>
      <c r="AD670" s="160"/>
      <c r="AE670" s="164"/>
    </row>
    <row r="671" ht="15.75" customHeight="1" spans="1:31">
      <c r="A671" s="159"/>
      <c r="B671" s="160"/>
      <c r="C671" s="160"/>
      <c r="D671" s="160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  <c r="AA671" s="160"/>
      <c r="AB671" s="160"/>
      <c r="AC671" s="160"/>
      <c r="AD671" s="160"/>
      <c r="AE671" s="164"/>
    </row>
    <row r="672" ht="15.75" customHeight="1" spans="1:31">
      <c r="A672" s="159"/>
      <c r="B672" s="160"/>
      <c r="C672" s="160"/>
      <c r="D672" s="160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  <c r="AA672" s="160"/>
      <c r="AB672" s="160"/>
      <c r="AC672" s="160"/>
      <c r="AD672" s="160"/>
      <c r="AE672" s="164"/>
    </row>
    <row r="673" ht="15.75" customHeight="1" spans="1:31">
      <c r="A673" s="159"/>
      <c r="B673" s="160"/>
      <c r="C673" s="160"/>
      <c r="D673" s="160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  <c r="AA673" s="160"/>
      <c r="AB673" s="160"/>
      <c r="AC673" s="160"/>
      <c r="AD673" s="160"/>
      <c r="AE673" s="164"/>
    </row>
    <row r="674" ht="15.75" customHeight="1" spans="1:31">
      <c r="A674" s="159"/>
      <c r="B674" s="160"/>
      <c r="C674" s="160"/>
      <c r="D674" s="160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  <c r="AA674" s="160"/>
      <c r="AB674" s="160"/>
      <c r="AC674" s="160"/>
      <c r="AD674" s="160"/>
      <c r="AE674" s="164"/>
    </row>
    <row r="675" ht="15.75" customHeight="1" spans="1:31">
      <c r="A675" s="159"/>
      <c r="B675" s="160"/>
      <c r="C675" s="160"/>
      <c r="D675" s="160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  <c r="AA675" s="160"/>
      <c r="AB675" s="160"/>
      <c r="AC675" s="160"/>
      <c r="AD675" s="160"/>
      <c r="AE675" s="164"/>
    </row>
    <row r="676" ht="15.75" customHeight="1" spans="1:31">
      <c r="A676" s="159"/>
      <c r="B676" s="160"/>
      <c r="C676" s="160"/>
      <c r="D676" s="160"/>
      <c r="E676" s="160"/>
      <c r="F676" s="160"/>
      <c r="G676" s="160"/>
      <c r="H676" s="163" t="b">
        <v>1</v>
      </c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  <c r="AA676" s="160"/>
      <c r="AB676" s="160"/>
      <c r="AC676" s="160"/>
      <c r="AD676" s="160"/>
      <c r="AE676" s="164"/>
    </row>
    <row r="677" ht="15.75" customHeight="1" spans="1:31">
      <c r="A677" s="159"/>
      <c r="B677" s="160"/>
      <c r="C677" s="160"/>
      <c r="D677" s="160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  <c r="AA677" s="160"/>
      <c r="AB677" s="160"/>
      <c r="AC677" s="160"/>
      <c r="AD677" s="160"/>
      <c r="AE677" s="164"/>
    </row>
    <row r="678" ht="15.75" customHeight="1" spans="1:31">
      <c r="A678" s="159"/>
      <c r="B678" s="160"/>
      <c r="C678" s="160"/>
      <c r="D678" s="160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  <c r="AA678" s="160"/>
      <c r="AB678" s="160"/>
      <c r="AC678" s="160"/>
      <c r="AD678" s="160"/>
      <c r="AE678" s="164"/>
    </row>
    <row r="679" ht="15.75" customHeight="1" spans="1:31">
      <c r="A679" s="159"/>
      <c r="H679" s="165" t="b">
        <v>1</v>
      </c>
    </row>
    <row r="680" ht="15.75" customHeight="1" spans="1:31">
      <c r="A680" s="159"/>
      <c r="H680" s="165" t="b">
        <v>1</v>
      </c>
    </row>
    <row r="681" ht="15.75" customHeight="1" spans="1:31">
      <c r="A681" s="159"/>
      <c r="B681" s="160"/>
      <c r="C681" s="160"/>
      <c r="D681" s="160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  <c r="AA681" s="160"/>
      <c r="AB681" s="160"/>
      <c r="AC681" s="160"/>
      <c r="AD681" s="160"/>
      <c r="AE681" s="164"/>
    </row>
    <row r="682" ht="15.75" customHeight="1" spans="1:31">
      <c r="A682" s="159"/>
      <c r="B682" s="160"/>
      <c r="C682" s="160"/>
      <c r="D682" s="160"/>
      <c r="E682" s="160"/>
      <c r="F682" s="160"/>
      <c r="G682" s="160"/>
      <c r="H682" s="163" t="b">
        <v>1</v>
      </c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  <c r="AA682" s="160"/>
      <c r="AB682" s="160"/>
      <c r="AC682" s="160"/>
      <c r="AD682" s="160"/>
      <c r="AE682" s="164"/>
    </row>
    <row r="683" ht="15.75" customHeight="1" spans="1:31">
      <c r="A683" s="159"/>
      <c r="B683" s="160"/>
      <c r="C683" s="160"/>
      <c r="D683" s="160"/>
      <c r="E683" s="160"/>
      <c r="F683" s="160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  <c r="AA683" s="160"/>
      <c r="AB683" s="160"/>
      <c r="AC683" s="160"/>
      <c r="AD683" s="160"/>
      <c r="AE683" s="164"/>
    </row>
    <row r="684" ht="15.75" customHeight="1" spans="1:31">
      <c r="A684" s="159"/>
      <c r="B684" s="160"/>
      <c r="C684" s="160"/>
      <c r="D684" s="160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  <c r="AA684" s="160"/>
      <c r="AB684" s="160"/>
      <c r="AC684" s="160"/>
      <c r="AD684" s="160"/>
      <c r="AE684" s="164"/>
    </row>
    <row r="685" ht="15.75" customHeight="1" spans="1:31">
      <c r="A685" s="159"/>
      <c r="B685" s="160"/>
      <c r="C685" s="160"/>
      <c r="D685" s="160"/>
      <c r="E685" s="160"/>
      <c r="F685" s="160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  <c r="AA685" s="160"/>
      <c r="AB685" s="160"/>
      <c r="AC685" s="160"/>
      <c r="AD685" s="160"/>
      <c r="AE685" s="164"/>
    </row>
    <row r="686" ht="15.75" customHeight="1" spans="1:31">
      <c r="A686" s="159"/>
      <c r="B686" s="160"/>
      <c r="C686" s="160"/>
      <c r="D686" s="160"/>
      <c r="E686" s="160"/>
      <c r="F686" s="160"/>
      <c r="G686" s="160"/>
      <c r="H686" s="163" t="b">
        <v>1</v>
      </c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  <c r="AA686" s="160"/>
      <c r="AB686" s="160"/>
      <c r="AC686" s="160"/>
      <c r="AD686" s="160"/>
      <c r="AE686" s="164"/>
    </row>
    <row r="687" ht="15.75" customHeight="1" spans="1:31">
      <c r="A687" s="159"/>
      <c r="B687" s="160"/>
      <c r="C687" s="160"/>
      <c r="D687" s="160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  <c r="AA687" s="160"/>
      <c r="AB687" s="160"/>
      <c r="AC687" s="160"/>
      <c r="AD687" s="160"/>
      <c r="AE687" s="164"/>
    </row>
    <row r="688" ht="15.75" customHeight="1" spans="1:31">
      <c r="A688" s="159"/>
      <c r="B688" s="160"/>
      <c r="C688" s="160"/>
      <c r="D688" s="160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  <c r="AA688" s="160"/>
      <c r="AB688" s="160"/>
      <c r="AC688" s="160"/>
      <c r="AD688" s="160"/>
      <c r="AE688" s="164"/>
    </row>
    <row r="689" ht="15.75" customHeight="1" spans="1:31">
      <c r="A689" s="159"/>
    </row>
    <row r="690" ht="15.75" customHeight="1" spans="1:31">
      <c r="A690" s="159"/>
      <c r="C690" s="160"/>
      <c r="D690" s="160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  <c r="AA690" s="160"/>
      <c r="AB690" s="160"/>
      <c r="AC690" s="160"/>
      <c r="AD690" s="160"/>
      <c r="AE690" s="164"/>
    </row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 spans="1:31">
      <c r="H697" s="165" t="b">
        <v>0</v>
      </c>
    </row>
    <row r="698" ht="15.75" customHeight="1" spans="1:31">
      <c r="H698" s="165" t="b">
        <v>1</v>
      </c>
    </row>
    <row r="699" ht="15.75" customHeight="1"/>
    <row r="700" ht="15.75" customHeight="1"/>
    <row r="701" ht="15.75" customHeight="1" spans="1:31">
      <c r="H701" s="165" t="b">
        <v>1</v>
      </c>
    </row>
    <row r="702" ht="15.75" customHeight="1"/>
    <row r="703" ht="15.75" customHeight="1"/>
    <row r="704" ht="15.75" customHeight="1"/>
    <row r="705" ht="15.75" customHeight="1"/>
    <row r="706" ht="15.75" customHeight="1" spans="8:8">
      <c r="H706" s="165" t="b">
        <v>1</v>
      </c>
    </row>
    <row r="707" ht="15.75" customHeight="1" spans="8:8">
      <c r="H707" s="165" t="b">
        <v>0</v>
      </c>
    </row>
    <row r="708" ht="15.75" customHeight="1" spans="8:8">
      <c r="H708" s="165" t="b">
        <v>0</v>
      </c>
    </row>
    <row r="709" ht="15.75" customHeight="1"/>
    <row r="710" ht="15.75" customHeight="1" spans="8:8">
      <c r="H710" s="165" t="b">
        <v>1</v>
      </c>
    </row>
    <row r="711" ht="15.75" customHeight="1" spans="8:8">
      <c r="H711" s="165" t="b">
        <v>1</v>
      </c>
    </row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 spans="8:8">
      <c r="H718" s="165" t="b">
        <v>1</v>
      </c>
    </row>
    <row r="719" ht="15.75" customHeight="1" spans="8:8">
      <c r="H719" s="165" t="b">
        <v>1</v>
      </c>
    </row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 spans="5:8">
      <c r="E726" s="12" t="b">
        <v>0</v>
      </c>
      <c r="F726" s="12" t="b">
        <v>0</v>
      </c>
      <c r="G726" s="12" t="b">
        <v>0</v>
      </c>
      <c r="H726" s="12" t="b">
        <v>0</v>
      </c>
    </row>
    <row r="727" ht="15.75" customHeight="1" spans="5:8">
      <c r="E727" s="12" t="b">
        <v>0</v>
      </c>
      <c r="F727" s="12" t="b">
        <v>0</v>
      </c>
      <c r="G727" s="12" t="b">
        <v>0</v>
      </c>
      <c r="H727" s="12" t="b">
        <v>0</v>
      </c>
    </row>
    <row r="728" ht="15.75" customHeight="1" spans="5:8">
      <c r="E728" s="12" t="b">
        <v>0</v>
      </c>
      <c r="F728" s="12" t="b">
        <v>0</v>
      </c>
      <c r="G728" s="12" t="b">
        <v>0</v>
      </c>
      <c r="H728" s="12" t="b">
        <v>0</v>
      </c>
    </row>
    <row r="729" ht="15.75" customHeight="1" spans="5:8">
      <c r="E729" s="12" t="b">
        <v>0</v>
      </c>
      <c r="F729" s="12" t="b">
        <v>0</v>
      </c>
      <c r="G729" s="12" t="b">
        <v>0</v>
      </c>
      <c r="H729" s="12" t="b">
        <v>0</v>
      </c>
    </row>
    <row r="730" ht="15.75" customHeight="1" spans="5:8">
      <c r="E730" s="12" t="b">
        <v>0</v>
      </c>
      <c r="F730" s="12" t="b">
        <v>0</v>
      </c>
      <c r="G730" s="12" t="b">
        <v>0</v>
      </c>
      <c r="H730" s="12" t="b">
        <v>0</v>
      </c>
    </row>
    <row r="731" ht="15.75" customHeight="1" spans="5:8">
      <c r="E731" s="12" t="b">
        <v>0</v>
      </c>
      <c r="F731" s="12" t="b">
        <v>0</v>
      </c>
      <c r="G731" s="12" t="b">
        <v>0</v>
      </c>
      <c r="H731" s="12" t="b">
        <v>0</v>
      </c>
    </row>
    <row r="732" ht="15.75" customHeight="1" spans="5:8">
      <c r="E732" s="12" t="b">
        <v>0</v>
      </c>
      <c r="F732" s="12" t="b">
        <v>0</v>
      </c>
      <c r="G732" s="12" t="b">
        <v>0</v>
      </c>
      <c r="H732" s="12" t="b">
        <v>0</v>
      </c>
    </row>
    <row r="733" ht="15.75" customHeight="1" spans="5:8">
      <c r="E733" s="12" t="b">
        <v>0</v>
      </c>
      <c r="F733" s="12" t="b">
        <v>0</v>
      </c>
      <c r="G733" s="12" t="b">
        <v>0</v>
      </c>
      <c r="H733" s="12" t="b">
        <v>0</v>
      </c>
    </row>
    <row r="734" ht="15.75" customHeight="1" spans="5:8">
      <c r="E734" s="12" t="b">
        <v>0</v>
      </c>
      <c r="F734" s="12" t="b">
        <v>0</v>
      </c>
      <c r="G734" s="12" t="b">
        <v>0</v>
      </c>
      <c r="H734" s="12" t="b">
        <v>0</v>
      </c>
    </row>
    <row r="735" ht="15.75" customHeight="1" spans="5:8">
      <c r="E735" s="12" t="b">
        <v>0</v>
      </c>
      <c r="F735" s="12" t="b">
        <v>0</v>
      </c>
      <c r="G735" s="12" t="b">
        <v>0</v>
      </c>
      <c r="H735" s="12" t="b">
        <v>0</v>
      </c>
    </row>
    <row r="736" ht="15.75" customHeight="1" spans="5:8">
      <c r="E736" s="12" t="b">
        <v>0</v>
      </c>
      <c r="F736" s="12" t="b">
        <v>0</v>
      </c>
      <c r="G736" s="12" t="b">
        <v>0</v>
      </c>
      <c r="H736" s="12" t="b">
        <v>0</v>
      </c>
    </row>
    <row r="737" ht="15.75" customHeight="1" spans="5:8">
      <c r="E737" s="12" t="b">
        <v>0</v>
      </c>
      <c r="F737" s="12" t="b">
        <v>0</v>
      </c>
      <c r="G737" s="12" t="b">
        <v>0</v>
      </c>
      <c r="H737" s="12" t="b">
        <v>0</v>
      </c>
    </row>
    <row r="738" ht="15.75" customHeight="1" spans="5:8">
      <c r="E738" s="12" t="b">
        <v>0</v>
      </c>
      <c r="F738" s="12" t="b">
        <v>0</v>
      </c>
      <c r="G738" s="12" t="b">
        <v>0</v>
      </c>
      <c r="H738" s="12" t="b">
        <v>0</v>
      </c>
    </row>
    <row r="739" ht="15.75" customHeight="1" spans="5:8">
      <c r="E739" s="12" t="b">
        <v>0</v>
      </c>
      <c r="F739" s="12" t="b">
        <v>0</v>
      </c>
      <c r="G739" s="12" t="b">
        <v>0</v>
      </c>
      <c r="H739" s="12" t="b">
        <v>0</v>
      </c>
    </row>
    <row r="740" ht="15.75" customHeight="1" spans="5:8">
      <c r="E740" s="12" t="b">
        <v>0</v>
      </c>
      <c r="F740" s="12" t="b">
        <v>0</v>
      </c>
      <c r="G740" s="12" t="b">
        <v>0</v>
      </c>
      <c r="H740" s="12" t="b">
        <v>0</v>
      </c>
    </row>
    <row r="741" ht="15.75" customHeight="1" spans="5:8">
      <c r="E741" s="12" t="b">
        <v>0</v>
      </c>
      <c r="F741" s="12" t="b">
        <v>0</v>
      </c>
      <c r="G741" s="12" t="b">
        <v>0</v>
      </c>
      <c r="H741" s="12" t="b">
        <v>0</v>
      </c>
    </row>
    <row r="742" ht="15.75" customHeight="1" spans="5:8">
      <c r="E742" s="12" t="b">
        <v>0</v>
      </c>
      <c r="F742" s="12" t="b">
        <v>0</v>
      </c>
      <c r="G742" s="12" t="b">
        <v>0</v>
      </c>
      <c r="H742" s="12" t="b">
        <v>0</v>
      </c>
    </row>
    <row r="743" ht="15.75" customHeight="1" spans="5:8">
      <c r="E743" s="12" t="b">
        <v>0</v>
      </c>
      <c r="F743" s="12" t="b">
        <v>0</v>
      </c>
      <c r="G743" s="12" t="b">
        <v>0</v>
      </c>
      <c r="H743" s="12" t="b">
        <v>0</v>
      </c>
    </row>
    <row r="744" ht="15.75" customHeight="1" spans="5:8">
      <c r="E744" s="12" t="b">
        <v>0</v>
      </c>
      <c r="F744" s="12" t="b">
        <v>0</v>
      </c>
      <c r="G744" s="12" t="b">
        <v>0</v>
      </c>
      <c r="H744" s="12" t="b">
        <v>0</v>
      </c>
    </row>
    <row r="745" ht="15.75" customHeight="1" spans="5:8">
      <c r="E745" s="12" t="b">
        <v>0</v>
      </c>
      <c r="F745" s="12" t="b">
        <v>0</v>
      </c>
      <c r="G745" s="12" t="b">
        <v>0</v>
      </c>
      <c r="H745" s="12" t="b">
        <v>0</v>
      </c>
    </row>
    <row r="746" ht="15.75" customHeight="1" spans="5:8">
      <c r="E746" s="12" t="b">
        <v>0</v>
      </c>
      <c r="F746" s="12" t="b">
        <v>0</v>
      </c>
      <c r="G746" s="12" t="b">
        <v>0</v>
      </c>
      <c r="H746" s="12" t="b">
        <v>0</v>
      </c>
    </row>
    <row r="747" ht="15.75" customHeight="1" spans="5:8">
      <c r="E747" s="12" t="b">
        <v>0</v>
      </c>
      <c r="F747" s="12" t="b">
        <v>0</v>
      </c>
      <c r="G747" s="12" t="b">
        <v>0</v>
      </c>
      <c r="H747" s="12" t="b">
        <v>0</v>
      </c>
    </row>
    <row r="748" ht="15.75" customHeight="1" spans="5:8">
      <c r="E748" s="12" t="b">
        <v>0</v>
      </c>
      <c r="F748" s="12" t="b">
        <v>0</v>
      </c>
      <c r="G748" s="12" t="b">
        <v>0</v>
      </c>
      <c r="H748" s="12" t="b">
        <v>0</v>
      </c>
    </row>
    <row r="749" ht="15.75" customHeight="1" spans="5:8">
      <c r="E749" s="12" t="b">
        <v>0</v>
      </c>
      <c r="F749" s="12" t="b">
        <v>0</v>
      </c>
      <c r="G749" s="12" t="b">
        <v>0</v>
      </c>
      <c r="H749" s="12" t="b">
        <v>0</v>
      </c>
    </row>
    <row r="750" ht="15.75" customHeight="1" spans="5:8">
      <c r="E750" s="12" t="b">
        <v>0</v>
      </c>
      <c r="F750" s="12" t="b">
        <v>0</v>
      </c>
      <c r="G750" s="12" t="b">
        <v>0</v>
      </c>
      <c r="H750" s="12" t="b">
        <v>0</v>
      </c>
    </row>
    <row r="751" ht="15.75" customHeight="1" spans="5:8">
      <c r="E751" s="12" t="b">
        <v>0</v>
      </c>
      <c r="F751" s="12" t="b">
        <v>0</v>
      </c>
      <c r="G751" s="12" t="b">
        <v>0</v>
      </c>
      <c r="H751" s="12" t="b">
        <v>0</v>
      </c>
    </row>
    <row r="752" ht="15.75" customHeight="1" spans="5:8">
      <c r="E752" s="12" t="b">
        <v>0</v>
      </c>
      <c r="F752" s="12" t="b">
        <v>0</v>
      </c>
      <c r="G752" s="12" t="b">
        <v>0</v>
      </c>
      <c r="H752" s="12" t="b">
        <v>0</v>
      </c>
    </row>
    <row r="753" ht="15.75" customHeight="1" spans="5:8">
      <c r="E753" s="12" t="b">
        <v>0</v>
      </c>
      <c r="F753" s="12" t="b">
        <v>0</v>
      </c>
      <c r="G753" s="12" t="b">
        <v>0</v>
      </c>
      <c r="H753" s="12" t="b">
        <v>0</v>
      </c>
    </row>
    <row r="754" ht="15.75" customHeight="1" spans="5:8">
      <c r="E754" s="12" t="b">
        <v>0</v>
      </c>
      <c r="F754" s="12" t="b">
        <v>0</v>
      </c>
      <c r="G754" s="12" t="b">
        <v>0</v>
      </c>
      <c r="H754" s="12" t="b">
        <v>0</v>
      </c>
    </row>
    <row r="755" ht="15.75" customHeight="1" spans="5:8">
      <c r="E755" s="12" t="b">
        <v>0</v>
      </c>
      <c r="F755" s="12" t="b">
        <v>0</v>
      </c>
      <c r="G755" s="12" t="b">
        <v>0</v>
      </c>
      <c r="H755" s="12" t="b">
        <v>0</v>
      </c>
    </row>
    <row r="756" ht="15.75" customHeight="1" spans="5:8">
      <c r="E756" s="12" t="b">
        <v>0</v>
      </c>
      <c r="F756" s="12" t="b">
        <v>0</v>
      </c>
      <c r="G756" s="12" t="b">
        <v>0</v>
      </c>
      <c r="H756" s="12" t="b">
        <v>0</v>
      </c>
    </row>
    <row r="757" ht="15.75" customHeight="1" spans="5:8">
      <c r="E757" s="12" t="b">
        <v>0</v>
      </c>
      <c r="F757" s="12" t="b">
        <v>0</v>
      </c>
      <c r="G757" s="12" t="b">
        <v>0</v>
      </c>
      <c r="H757" s="12" t="b">
        <v>0</v>
      </c>
    </row>
    <row r="758" ht="15.75" customHeight="1" spans="5:8">
      <c r="E758" s="12" t="b">
        <v>0</v>
      </c>
      <c r="F758" s="12" t="b">
        <v>0</v>
      </c>
      <c r="G758" s="12" t="b">
        <v>0</v>
      </c>
      <c r="H758" s="12" t="b">
        <v>0</v>
      </c>
    </row>
    <row r="759" ht="15.75" customHeight="1" spans="5:8">
      <c r="E759" s="12" t="b">
        <v>0</v>
      </c>
      <c r="F759" s="12" t="b">
        <v>0</v>
      </c>
      <c r="G759" s="12" t="b">
        <v>0</v>
      </c>
      <c r="H759" s="12" t="b">
        <v>0</v>
      </c>
    </row>
    <row r="760" ht="15.75" customHeight="1" spans="5:8">
      <c r="E760" s="12" t="b">
        <v>0</v>
      </c>
      <c r="F760" s="12" t="b">
        <v>0</v>
      </c>
      <c r="G760" s="12" t="b">
        <v>0</v>
      </c>
      <c r="H760" s="12" t="b">
        <v>0</v>
      </c>
    </row>
    <row r="761" ht="15.75" customHeight="1" spans="5:8">
      <c r="E761" s="12" t="b">
        <v>0</v>
      </c>
      <c r="F761" s="12" t="b">
        <v>0</v>
      </c>
      <c r="G761" s="12" t="b">
        <v>0</v>
      </c>
      <c r="H761" s="12" t="b">
        <v>0</v>
      </c>
    </row>
    <row r="762" ht="15.75" customHeight="1" spans="5:8">
      <c r="E762" s="12" t="b">
        <v>0</v>
      </c>
      <c r="F762" s="12" t="b">
        <v>0</v>
      </c>
      <c r="G762" s="12" t="b">
        <v>0</v>
      </c>
      <c r="H762" s="12" t="b">
        <v>0</v>
      </c>
    </row>
    <row r="763" ht="15.75" customHeight="1" spans="5:8">
      <c r="E763" s="12" t="b">
        <v>0</v>
      </c>
      <c r="F763" s="12" t="b">
        <v>0</v>
      </c>
      <c r="G763" s="12" t="b">
        <v>0</v>
      </c>
      <c r="H763" s="12" t="b">
        <v>0</v>
      </c>
    </row>
    <row r="764" ht="15.75" customHeight="1" spans="5:8">
      <c r="E764" s="12" t="b">
        <v>0</v>
      </c>
      <c r="F764" s="12" t="b">
        <v>0</v>
      </c>
      <c r="G764" s="12" t="b">
        <v>0</v>
      </c>
      <c r="H764" s="12" t="b">
        <v>0</v>
      </c>
    </row>
    <row r="765" ht="15.75" customHeight="1" spans="5:8">
      <c r="E765" s="12" t="b">
        <v>0</v>
      </c>
      <c r="F765" s="12" t="b">
        <v>0</v>
      </c>
      <c r="G765" s="12" t="b">
        <v>0</v>
      </c>
      <c r="H765" s="12" t="b">
        <v>0</v>
      </c>
    </row>
    <row r="766" ht="15.75" customHeight="1" spans="5:8">
      <c r="E766" s="12" t="b">
        <v>0</v>
      </c>
      <c r="F766" s="12" t="b">
        <v>0</v>
      </c>
      <c r="G766" s="12" t="b">
        <v>0</v>
      </c>
      <c r="H766" s="12" t="b">
        <v>0</v>
      </c>
    </row>
    <row r="767" ht="15.75" customHeight="1" spans="5:8">
      <c r="E767" s="12" t="b">
        <v>0</v>
      </c>
      <c r="F767" s="12" t="b">
        <v>0</v>
      </c>
      <c r="G767" s="12" t="b">
        <v>0</v>
      </c>
      <c r="H767" s="12" t="b">
        <v>0</v>
      </c>
    </row>
    <row r="768" ht="15.75" customHeight="1" spans="5:8">
      <c r="E768" s="12" t="b">
        <v>0</v>
      </c>
      <c r="F768" s="12" t="b">
        <v>0</v>
      </c>
      <c r="G768" s="12" t="b">
        <v>0</v>
      </c>
      <c r="H768" s="12" t="b">
        <v>0</v>
      </c>
    </row>
    <row r="769" ht="15.75" customHeight="1" spans="5:8">
      <c r="E769" s="12" t="b">
        <v>0</v>
      </c>
      <c r="F769" s="12" t="b">
        <v>0</v>
      </c>
      <c r="G769" s="12" t="b">
        <v>0</v>
      </c>
      <c r="H769" s="12" t="b">
        <v>0</v>
      </c>
    </row>
    <row r="770" ht="15.75" customHeight="1" spans="5:8">
      <c r="E770" s="12" t="b">
        <v>0</v>
      </c>
      <c r="F770" s="12" t="b">
        <v>0</v>
      </c>
      <c r="G770" s="12" t="b">
        <v>0</v>
      </c>
      <c r="H770" s="12" t="b">
        <v>0</v>
      </c>
    </row>
    <row r="771" ht="15.75" customHeight="1" spans="5:8">
      <c r="E771" s="12" t="b">
        <v>0</v>
      </c>
      <c r="F771" s="12" t="b">
        <v>0</v>
      </c>
      <c r="G771" s="12" t="b">
        <v>0</v>
      </c>
      <c r="H771" s="12" t="b">
        <v>0</v>
      </c>
    </row>
    <row r="772" ht="15.75" customHeight="1" spans="5:8">
      <c r="E772" s="12" t="b">
        <v>0</v>
      </c>
      <c r="F772" s="12" t="b">
        <v>0</v>
      </c>
      <c r="G772" s="12" t="b">
        <v>0</v>
      </c>
      <c r="H772" s="12" t="b">
        <v>0</v>
      </c>
    </row>
    <row r="773" ht="15.75" customHeight="1" spans="5:8">
      <c r="E773" s="12" t="b">
        <v>0</v>
      </c>
      <c r="F773" s="12" t="b">
        <v>0</v>
      </c>
      <c r="G773" s="12" t="b">
        <v>0</v>
      </c>
      <c r="H773" s="12" t="b">
        <v>0</v>
      </c>
    </row>
    <row r="774" ht="15.75" customHeight="1" spans="5:8">
      <c r="E774" s="12" t="b">
        <v>0</v>
      </c>
      <c r="F774" s="12" t="b">
        <v>0</v>
      </c>
      <c r="G774" s="12" t="b">
        <v>0</v>
      </c>
      <c r="H774" s="12" t="b">
        <v>0</v>
      </c>
    </row>
    <row r="775" ht="15.75" customHeight="1" spans="5:8">
      <c r="E775" s="12" t="b">
        <v>0</v>
      </c>
      <c r="F775" s="12" t="b">
        <v>0</v>
      </c>
      <c r="G775" s="12" t="b">
        <v>0</v>
      </c>
      <c r="H775" s="12" t="b">
        <v>0</v>
      </c>
    </row>
    <row r="776" ht="15.75" customHeight="1" spans="5:8">
      <c r="E776" s="12" t="b">
        <v>0</v>
      </c>
      <c r="F776" s="12" t="b">
        <v>0</v>
      </c>
      <c r="G776" s="12" t="b">
        <v>0</v>
      </c>
      <c r="H776" s="12" t="b">
        <v>0</v>
      </c>
    </row>
    <row r="777" ht="15.75" customHeight="1" spans="5:8">
      <c r="E777" s="12" t="b">
        <v>0</v>
      </c>
      <c r="F777" s="12" t="b">
        <v>0</v>
      </c>
      <c r="G777" s="12" t="b">
        <v>0</v>
      </c>
      <c r="H777" s="12" t="b">
        <v>0</v>
      </c>
    </row>
    <row r="778" ht="15.75" customHeight="1" spans="5:8">
      <c r="E778" s="12" t="b">
        <v>0</v>
      </c>
      <c r="F778" s="12" t="b">
        <v>0</v>
      </c>
      <c r="G778" s="12" t="b">
        <v>0</v>
      </c>
      <c r="H778" s="12" t="b">
        <v>0</v>
      </c>
    </row>
    <row r="779" ht="15.75" customHeight="1" spans="5:8">
      <c r="E779" s="12" t="b">
        <v>0</v>
      </c>
      <c r="F779" s="12" t="b">
        <v>0</v>
      </c>
      <c r="G779" s="12" t="b">
        <v>0</v>
      </c>
      <c r="H779" s="12" t="b">
        <v>0</v>
      </c>
    </row>
    <row r="780" ht="15.75" customHeight="1" spans="5:8">
      <c r="E780" s="12" t="b">
        <v>0</v>
      </c>
      <c r="F780" s="12" t="b">
        <v>0</v>
      </c>
      <c r="G780" s="12" t="b">
        <v>0</v>
      </c>
      <c r="H780" s="12" t="b">
        <v>0</v>
      </c>
    </row>
    <row r="781" ht="15.75" customHeight="1" spans="5:8">
      <c r="E781" s="12" t="b">
        <v>0</v>
      </c>
      <c r="F781" s="12" t="b">
        <v>0</v>
      </c>
      <c r="G781" s="12" t="b">
        <v>0</v>
      </c>
      <c r="H781" s="12" t="b">
        <v>0</v>
      </c>
    </row>
    <row r="782" ht="15.75" customHeight="1" spans="5:8">
      <c r="E782" s="12" t="b">
        <v>0</v>
      </c>
      <c r="F782" s="12" t="b">
        <v>0</v>
      </c>
      <c r="G782" s="12" t="b">
        <v>0</v>
      </c>
      <c r="H782" s="12" t="b">
        <v>0</v>
      </c>
    </row>
    <row r="783" ht="15.75" customHeight="1" spans="5:8">
      <c r="E783" s="12" t="b">
        <v>0</v>
      </c>
      <c r="F783" s="12" t="b">
        <v>0</v>
      </c>
      <c r="G783" s="12" t="b">
        <v>0</v>
      </c>
      <c r="H783" s="12" t="b">
        <v>0</v>
      </c>
    </row>
    <row r="784" ht="15.75" customHeight="1" spans="5:8">
      <c r="E784" s="12" t="b">
        <v>0</v>
      </c>
      <c r="F784" s="12" t="b">
        <v>0</v>
      </c>
      <c r="G784" s="12" t="b">
        <v>0</v>
      </c>
      <c r="H784" s="12" t="b">
        <v>0</v>
      </c>
    </row>
    <row r="785" ht="15.75" customHeight="1" spans="5:8">
      <c r="E785" s="12" t="b">
        <v>0</v>
      </c>
      <c r="F785" s="12" t="b">
        <v>0</v>
      </c>
      <c r="G785" s="12" t="b">
        <v>0</v>
      </c>
      <c r="H785" s="12" t="b">
        <v>0</v>
      </c>
    </row>
    <row r="786" ht="15.75" customHeight="1" spans="5:8">
      <c r="E786" s="12" t="b">
        <v>0</v>
      </c>
      <c r="F786" s="12" t="b">
        <v>0</v>
      </c>
      <c r="G786" s="12" t="b">
        <v>0</v>
      </c>
      <c r="H786" s="12" t="b">
        <v>0</v>
      </c>
    </row>
    <row r="787" ht="15.75" customHeight="1" spans="5:8">
      <c r="E787" s="12" t="b">
        <v>0</v>
      </c>
      <c r="F787" s="12" t="b">
        <v>0</v>
      </c>
      <c r="G787" s="12" t="b">
        <v>0</v>
      </c>
      <c r="H787" s="12" t="b">
        <v>0</v>
      </c>
    </row>
    <row r="788" ht="15.75" customHeight="1" spans="5:8">
      <c r="E788" s="12" t="b">
        <v>0</v>
      </c>
      <c r="F788" s="12" t="b">
        <v>0</v>
      </c>
      <c r="G788" s="12" t="b">
        <v>0</v>
      </c>
      <c r="H788" s="12" t="b">
        <v>0</v>
      </c>
    </row>
    <row r="789" ht="15.75" customHeight="1" spans="5:8">
      <c r="E789" s="12" t="b">
        <v>0</v>
      </c>
      <c r="F789" s="12" t="b">
        <v>0</v>
      </c>
      <c r="G789" s="12" t="b">
        <v>0</v>
      </c>
      <c r="H789" s="12" t="b">
        <v>0</v>
      </c>
    </row>
    <row r="790" ht="15.75" customHeight="1" spans="5:8">
      <c r="E790" s="12" t="b">
        <v>0</v>
      </c>
      <c r="F790" s="12" t="b">
        <v>0</v>
      </c>
      <c r="G790" s="12" t="b">
        <v>0</v>
      </c>
      <c r="H790" s="12" t="b">
        <v>0</v>
      </c>
    </row>
    <row r="791" ht="15.75" customHeight="1" spans="5:8">
      <c r="E791" s="12" t="b">
        <v>0</v>
      </c>
      <c r="F791" s="12" t="b">
        <v>0</v>
      </c>
      <c r="G791" s="12" t="b">
        <v>0</v>
      </c>
      <c r="H791" s="12" t="b">
        <v>0</v>
      </c>
    </row>
    <row r="792" ht="15.75" customHeight="1" spans="5:8">
      <c r="E792" s="12" t="b">
        <v>0</v>
      </c>
      <c r="F792" s="12" t="b">
        <v>0</v>
      </c>
      <c r="G792" s="12" t="b">
        <v>0</v>
      </c>
      <c r="H792" s="12" t="b">
        <v>0</v>
      </c>
    </row>
    <row r="793" ht="15.75" customHeight="1" spans="5:8">
      <c r="E793" s="12" t="b">
        <v>0</v>
      </c>
      <c r="F793" s="12" t="b">
        <v>0</v>
      </c>
      <c r="G793" s="12" t="b">
        <v>0</v>
      </c>
      <c r="H793" s="12" t="b">
        <v>0</v>
      </c>
    </row>
    <row r="794" ht="15.75" customHeight="1" spans="5:8">
      <c r="E794" s="12" t="b">
        <v>0</v>
      </c>
      <c r="F794" s="12" t="b">
        <v>0</v>
      </c>
      <c r="G794" s="12" t="b">
        <v>0</v>
      </c>
      <c r="H794" s="12" t="b">
        <v>0</v>
      </c>
    </row>
    <row r="795" ht="15.75" customHeight="1" spans="5:8">
      <c r="E795" s="12" t="b">
        <v>0</v>
      </c>
      <c r="F795" s="12" t="b">
        <v>0</v>
      </c>
      <c r="G795" s="12" t="b">
        <v>0</v>
      </c>
      <c r="H795" s="12" t="b">
        <v>0</v>
      </c>
    </row>
    <row r="796" ht="15.75" customHeight="1" spans="5:8">
      <c r="E796" s="12" t="b">
        <v>0</v>
      </c>
      <c r="F796" s="12" t="b">
        <v>0</v>
      </c>
      <c r="G796" s="12" t="b">
        <v>0</v>
      </c>
      <c r="H796" s="12" t="b">
        <v>0</v>
      </c>
    </row>
    <row r="797" ht="15.75" customHeight="1" spans="5:8">
      <c r="E797" s="12" t="b">
        <v>0</v>
      </c>
      <c r="F797" s="12" t="b">
        <v>0</v>
      </c>
      <c r="G797" s="12" t="b">
        <v>0</v>
      </c>
      <c r="H797" s="12" t="b">
        <v>0</v>
      </c>
    </row>
    <row r="798" ht="15.75" customHeight="1" spans="5:8">
      <c r="E798" s="12" t="b">
        <v>0</v>
      </c>
      <c r="F798" s="12" t="b">
        <v>0</v>
      </c>
      <c r="G798" s="12" t="b">
        <v>0</v>
      </c>
      <c r="H798" s="12" t="b">
        <v>0</v>
      </c>
    </row>
    <row r="799" ht="15.75" customHeight="1" spans="5:8">
      <c r="E799" s="12" t="b">
        <v>0</v>
      </c>
      <c r="F799" s="12" t="b">
        <v>0</v>
      </c>
      <c r="G799" s="12" t="b">
        <v>0</v>
      </c>
      <c r="H799" s="12" t="b">
        <v>0</v>
      </c>
    </row>
    <row r="800" ht="15.75" customHeight="1" spans="5:8">
      <c r="E800" s="12" t="b">
        <v>0</v>
      </c>
      <c r="F800" s="12" t="b">
        <v>0</v>
      </c>
      <c r="G800" s="12" t="b">
        <v>0</v>
      </c>
      <c r="H800" s="12" t="b">
        <v>0</v>
      </c>
    </row>
    <row r="801" ht="15.75" customHeight="1" spans="5:8">
      <c r="E801" s="12" t="b">
        <v>0</v>
      </c>
      <c r="F801" s="12" t="b">
        <v>0</v>
      </c>
      <c r="G801" s="12" t="b">
        <v>0</v>
      </c>
      <c r="H801" s="12" t="b">
        <v>0</v>
      </c>
    </row>
    <row r="802" ht="15.75" customHeight="1" spans="5:8">
      <c r="E802" s="12" t="b">
        <v>0</v>
      </c>
      <c r="F802" s="12" t="b">
        <v>0</v>
      </c>
      <c r="G802" s="12" t="b">
        <v>0</v>
      </c>
      <c r="H802" s="12" t="b">
        <v>0</v>
      </c>
    </row>
    <row r="803" ht="15.75" customHeight="1" spans="5:8">
      <c r="E803" s="12" t="b">
        <v>0</v>
      </c>
      <c r="F803" s="12" t="b">
        <v>0</v>
      </c>
      <c r="G803" s="12" t="b">
        <v>0</v>
      </c>
      <c r="H803" s="12" t="b">
        <v>0</v>
      </c>
    </row>
    <row r="804" ht="15.75" customHeight="1" spans="5:8">
      <c r="E804" s="12" t="b">
        <v>0</v>
      </c>
      <c r="F804" s="12" t="b">
        <v>0</v>
      </c>
      <c r="G804" s="12" t="b">
        <v>0</v>
      </c>
      <c r="H804" s="12" t="b">
        <v>0</v>
      </c>
    </row>
    <row r="805" ht="15.75" customHeight="1" spans="5:8">
      <c r="E805" s="12" t="b">
        <v>0</v>
      </c>
      <c r="F805" s="12" t="b">
        <v>0</v>
      </c>
      <c r="G805" s="12" t="b">
        <v>0</v>
      </c>
      <c r="H805" s="12" t="b">
        <v>0</v>
      </c>
    </row>
    <row r="806" ht="15.75" customHeight="1" spans="5:8">
      <c r="E806" s="12" t="b">
        <v>0</v>
      </c>
      <c r="F806" s="12" t="b">
        <v>0</v>
      </c>
      <c r="G806" s="12" t="b">
        <v>0</v>
      </c>
      <c r="H806" s="12" t="b">
        <v>0</v>
      </c>
    </row>
    <row r="807" ht="15.75" customHeight="1" spans="5:8">
      <c r="E807" s="12" t="b">
        <v>0</v>
      </c>
      <c r="F807" s="12" t="b">
        <v>0</v>
      </c>
      <c r="G807" s="12" t="b">
        <v>0</v>
      </c>
      <c r="H807" s="12" t="b">
        <v>0</v>
      </c>
    </row>
    <row r="808" ht="15.75" customHeight="1" spans="5:8">
      <c r="E808" s="12" t="b">
        <v>0</v>
      </c>
      <c r="F808" s="12" t="b">
        <v>0</v>
      </c>
      <c r="G808" s="12" t="b">
        <v>0</v>
      </c>
      <c r="H808" s="12" t="b">
        <v>0</v>
      </c>
    </row>
    <row r="809" ht="15.75" customHeight="1" spans="5:8">
      <c r="E809" s="12" t="b">
        <v>0</v>
      </c>
      <c r="F809" s="12" t="b">
        <v>0</v>
      </c>
      <c r="G809" s="12" t="b">
        <v>0</v>
      </c>
      <c r="H809" s="12" t="b">
        <v>0</v>
      </c>
    </row>
    <row r="810" ht="15.75" customHeight="1" spans="5:8">
      <c r="E810" s="12" t="b">
        <v>0</v>
      </c>
      <c r="F810" s="12" t="b">
        <v>0</v>
      </c>
      <c r="G810" s="12" t="b">
        <v>0</v>
      </c>
      <c r="H810" s="12" t="b">
        <v>0</v>
      </c>
    </row>
    <row r="811" ht="15.75" customHeight="1" spans="5:8">
      <c r="E811" s="12" t="b">
        <v>0</v>
      </c>
      <c r="F811" s="12" t="b">
        <v>0</v>
      </c>
      <c r="G811" s="12" t="b">
        <v>0</v>
      </c>
      <c r="H811" s="12" t="b">
        <v>0</v>
      </c>
    </row>
    <row r="812" ht="15.75" customHeight="1" spans="5:8">
      <c r="E812" s="12" t="b">
        <v>0</v>
      </c>
      <c r="F812" s="12" t="b">
        <v>0</v>
      </c>
      <c r="G812" s="12" t="b">
        <v>0</v>
      </c>
      <c r="H812" s="12" t="b">
        <v>0</v>
      </c>
    </row>
    <row r="813" ht="15.75" customHeight="1" spans="5:8">
      <c r="E813" s="12" t="b">
        <v>0</v>
      </c>
      <c r="F813" s="12" t="b">
        <v>0</v>
      </c>
      <c r="G813" s="12" t="b">
        <v>0</v>
      </c>
      <c r="H813" s="12" t="b">
        <v>0</v>
      </c>
    </row>
    <row r="814" ht="15.75" customHeight="1" spans="5:8">
      <c r="E814" s="12" t="b">
        <v>0</v>
      </c>
      <c r="F814" s="12" t="b">
        <v>0</v>
      </c>
      <c r="G814" s="12" t="b">
        <v>0</v>
      </c>
      <c r="H814" s="12" t="b">
        <v>0</v>
      </c>
    </row>
    <row r="815" ht="15.75" customHeight="1" spans="5:8">
      <c r="E815" s="12" t="b">
        <v>0</v>
      </c>
      <c r="F815" s="12" t="b">
        <v>0</v>
      </c>
      <c r="G815" s="12" t="b">
        <v>0</v>
      </c>
      <c r="H815" s="12" t="b">
        <v>0</v>
      </c>
    </row>
    <row r="816" ht="15.75" customHeight="1" spans="5:8">
      <c r="E816" s="12" t="b">
        <v>0</v>
      </c>
      <c r="F816" s="12" t="b">
        <v>0</v>
      </c>
      <c r="G816" s="12" t="b">
        <v>0</v>
      </c>
      <c r="H816" s="12" t="b">
        <v>0</v>
      </c>
    </row>
    <row r="817" ht="15.75" customHeight="1" spans="5:8">
      <c r="E817" s="12" t="b">
        <v>0</v>
      </c>
      <c r="F817" s="12" t="b">
        <v>0</v>
      </c>
      <c r="G817" s="12" t="b">
        <v>0</v>
      </c>
      <c r="H817" s="12" t="b">
        <v>0</v>
      </c>
    </row>
    <row r="818" ht="15.75" customHeight="1" spans="5:8">
      <c r="E818" s="12" t="b">
        <v>0</v>
      </c>
      <c r="F818" s="12" t="b">
        <v>0</v>
      </c>
      <c r="G818" s="12" t="b">
        <v>0</v>
      </c>
      <c r="H818" s="12" t="b">
        <v>0</v>
      </c>
    </row>
    <row r="819" ht="15.75" customHeight="1" spans="5:8">
      <c r="E819" s="12" t="b">
        <v>0</v>
      </c>
      <c r="F819" s="12" t="b">
        <v>0</v>
      </c>
      <c r="G819" s="12" t="b">
        <v>0</v>
      </c>
      <c r="H819" s="12" t="b">
        <v>0</v>
      </c>
    </row>
    <row r="820" ht="15.75" customHeight="1" spans="5:8">
      <c r="E820" s="12" t="b">
        <v>0</v>
      </c>
      <c r="F820" s="12" t="b">
        <v>0</v>
      </c>
      <c r="G820" s="12" t="b">
        <v>0</v>
      </c>
      <c r="H820" s="12" t="b">
        <v>0</v>
      </c>
    </row>
    <row r="821" ht="15.75" customHeight="1" spans="5:8">
      <c r="E821" s="12" t="b">
        <v>0</v>
      </c>
      <c r="F821" s="12" t="b">
        <v>0</v>
      </c>
      <c r="G821" s="12" t="b">
        <v>0</v>
      </c>
      <c r="H821" s="12" t="b">
        <v>0</v>
      </c>
    </row>
    <row r="822" ht="15.75" customHeight="1" spans="5:8">
      <c r="E822" s="12" t="b">
        <v>0</v>
      </c>
      <c r="F822" s="12" t="b">
        <v>0</v>
      </c>
      <c r="G822" s="12" t="b">
        <v>0</v>
      </c>
      <c r="H822" s="12" t="b">
        <v>0</v>
      </c>
    </row>
    <row r="823" ht="15.75" customHeight="1" spans="5:8">
      <c r="E823" s="12" t="b">
        <v>0</v>
      </c>
      <c r="F823" s="12" t="b">
        <v>0</v>
      </c>
      <c r="G823" s="12" t="b">
        <v>0</v>
      </c>
      <c r="H823" s="12" t="b">
        <v>0</v>
      </c>
    </row>
    <row r="824" ht="15.75" customHeight="1" spans="5:8">
      <c r="E824" s="12" t="b">
        <v>0</v>
      </c>
      <c r="F824" s="12" t="b">
        <v>0</v>
      </c>
      <c r="G824" s="12" t="b">
        <v>0</v>
      </c>
      <c r="H824" s="12" t="b">
        <v>0</v>
      </c>
    </row>
    <row r="825" ht="15.75" customHeight="1" spans="5:8">
      <c r="E825" s="12" t="b">
        <v>0</v>
      </c>
      <c r="F825" s="12" t="b">
        <v>0</v>
      </c>
      <c r="G825" s="12" t="b">
        <v>0</v>
      </c>
      <c r="H825" s="12" t="b">
        <v>0</v>
      </c>
    </row>
    <row r="826" ht="15.75" customHeight="1" spans="5:8">
      <c r="E826" s="12" t="b">
        <v>0</v>
      </c>
      <c r="F826" s="12" t="b">
        <v>0</v>
      </c>
      <c r="G826" s="12" t="b">
        <v>0</v>
      </c>
      <c r="H826" s="12" t="b">
        <v>0</v>
      </c>
    </row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</sheetData>
  <autoFilter xmlns:etc="http://www.wps.cn/officeDocument/2017/etCustomData" ref="B10:AE826" etc:filterBottomFollowUsedRange="0">
    <sortState ref="B10:AE826">
      <sortCondition ref="D10:D826"/>
    </sortState>
    <extLst/>
  </autoFilter>
  <mergeCells count="7">
    <mergeCell ref="E5:AD5"/>
    <mergeCell ref="E6:H6"/>
    <mergeCell ref="I6:L6"/>
    <mergeCell ref="M6:P6"/>
    <mergeCell ref="Q6:T6"/>
    <mergeCell ref="U6:Y6"/>
    <mergeCell ref="Z6:AD6"/>
  </mergeCells>
  <pageMargins left="0.7" right="0.7" top="0.75" bottom="0.75" header="0" footer="0"/>
  <pageSetup paperSize="1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BJ1000"/>
  <sheetViews>
    <sheetView showGridLines="0" workbookViewId="0">
      <pane xSplit="10" ySplit="7" topLeftCell="K33" activePane="bottomRight" state="frozen"/>
      <selection/>
      <selection pane="topRight"/>
      <selection pane="bottomLeft"/>
      <selection pane="bottomRight" activeCell="F34" sqref="F34"/>
    </sheetView>
  </sheetViews>
  <sheetFormatPr defaultColWidth="12.6333333333333" defaultRowHeight="15" customHeight="1"/>
  <cols>
    <col min="1" max="2" width="15.25" customWidth="1"/>
    <col min="3" max="3" width="2.38333333333333" customWidth="1"/>
    <col min="4" max="4" width="4" customWidth="1"/>
    <col min="5" max="5" width="17.25" customWidth="1"/>
    <col min="6" max="6" width="9.88333333333333" customWidth="1"/>
    <col min="7" max="7" width="14.5" customWidth="1"/>
    <col min="8" max="8" width="15.6333333333333" customWidth="1"/>
    <col min="9" max="9" width="16.3833333333333" customWidth="1"/>
    <col min="10" max="10" width="22.75" customWidth="1" outlineLevel="1"/>
    <col min="11" max="11" width="9.13333333333333" customWidth="1" outlineLevel="1"/>
    <col min="12" max="12" width="23.75" customWidth="1" outlineLevel="1"/>
    <col min="13" max="13" width="16.1333333333333" customWidth="1" outlineLevel="1"/>
    <col min="14" max="14" width="13.6333333333333" customWidth="1" outlineLevel="1"/>
    <col min="15" max="15" width="15" customWidth="1" outlineLevel="1"/>
    <col min="16" max="16" width="23.75" customWidth="1" outlineLevel="1"/>
    <col min="17" max="17" width="15.3833333333333" customWidth="1" outlineLevel="1"/>
    <col min="18" max="18" width="5.63333333333333" customWidth="1" outlineLevel="1"/>
    <col min="19" max="19" width="14.3833333333333" customWidth="1" outlineLevel="1"/>
    <col min="20" max="20" width="17.8833333333333" customWidth="1" outlineLevel="1"/>
    <col min="21" max="21" width="7.25" customWidth="1" outlineLevel="1"/>
    <col min="22" max="22" width="22.6333333333333" customWidth="1" outlineLevel="1"/>
    <col min="23" max="23" width="15.75" customWidth="1" outlineLevel="1"/>
    <col min="24" max="24" width="16.25" customWidth="1" outlineLevel="1"/>
    <col min="25" max="25" width="19.1333333333333" customWidth="1" outlineLevel="1"/>
    <col min="26" max="26" width="10.75" customWidth="1" outlineLevel="1"/>
    <col min="27" max="27" width="17.6333333333333" customWidth="1" outlineLevel="1"/>
    <col min="28" max="28" width="13.8833333333333" customWidth="1" outlineLevel="1"/>
    <col min="29" max="29" width="20" customWidth="1" outlineLevel="1"/>
    <col min="30" max="30" width="16.1333333333333" customWidth="1" outlineLevel="1"/>
    <col min="31" max="31" width="14.3833333333333" customWidth="1" outlineLevel="1"/>
    <col min="32" max="32" width="3" customWidth="1"/>
    <col min="33" max="38" width="5" customWidth="1"/>
    <col min="39" max="58" width="5.25" customWidth="1"/>
    <col min="59" max="59" width="12.3833333333333" customWidth="1"/>
    <col min="60" max="61" width="5.25" customWidth="1"/>
    <col min="62" max="62" width="8.75" customWidth="1"/>
  </cols>
  <sheetData>
    <row r="1" ht="3.75" customHeight="1" spans="1:62">
      <c r="A1" s="29"/>
      <c r="B1" s="29"/>
      <c r="C1" s="29"/>
      <c r="D1" s="30"/>
      <c r="E1" s="31"/>
      <c r="F1" s="31"/>
      <c r="G1" s="32"/>
      <c r="H1" s="32"/>
      <c r="I1" s="33"/>
      <c r="J1" s="32"/>
      <c r="K1" s="32"/>
      <c r="L1" s="32"/>
      <c r="M1" s="32"/>
      <c r="N1" s="32"/>
      <c r="O1" s="32"/>
      <c r="P1" s="32"/>
      <c r="Q1" s="34"/>
      <c r="R1" s="33"/>
      <c r="S1" s="27"/>
      <c r="T1" s="27"/>
      <c r="U1" s="27"/>
      <c r="V1" s="35"/>
      <c r="W1" s="30"/>
      <c r="X1" s="33"/>
      <c r="Y1" s="36"/>
      <c r="Z1" s="37"/>
      <c r="AA1" s="27"/>
      <c r="AB1" s="27"/>
      <c r="AC1" s="27"/>
      <c r="AD1" s="27"/>
      <c r="AE1" s="27"/>
      <c r="AF1" s="27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27"/>
      <c r="BI1" s="27"/>
      <c r="BJ1" s="27"/>
    </row>
    <row r="2" ht="25.5" customHeight="1" spans="1:62">
      <c r="A2" s="38"/>
      <c r="B2" s="39" t="s">
        <v>3359</v>
      </c>
      <c r="C2" s="39"/>
      <c r="D2" s="40"/>
      <c r="E2" s="39"/>
      <c r="F2" s="39"/>
      <c r="G2" s="39"/>
      <c r="H2" s="39"/>
      <c r="I2" s="39"/>
      <c r="J2" s="39"/>
      <c r="K2" s="39"/>
      <c r="L2" s="39"/>
      <c r="M2" s="41"/>
      <c r="N2" s="42"/>
      <c r="O2" s="42"/>
      <c r="P2" s="42"/>
      <c r="Q2" s="42"/>
      <c r="R2" s="42"/>
      <c r="S2" s="42"/>
      <c r="T2" s="42"/>
      <c r="U2" s="42"/>
      <c r="V2" s="43"/>
      <c r="W2" s="42"/>
      <c r="X2" s="42"/>
      <c r="Y2" s="42"/>
      <c r="Z2" s="44"/>
      <c r="AA2" s="42"/>
      <c r="AB2" s="42"/>
      <c r="AC2" s="42"/>
      <c r="AD2" s="42"/>
      <c r="AE2" s="42"/>
      <c r="AF2" s="45" t="s">
        <v>4005</v>
      </c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27"/>
      <c r="BI2" s="27"/>
      <c r="BJ2" s="27"/>
    </row>
    <row r="3" ht="30.75" customHeight="1" spans="1:62">
      <c r="A3" s="38"/>
      <c r="B3" s="46" t="s">
        <v>4006</v>
      </c>
      <c r="C3" s="46"/>
      <c r="D3" s="47"/>
      <c r="E3" s="46"/>
      <c r="F3" s="46"/>
      <c r="G3" s="46"/>
      <c r="H3" s="46"/>
      <c r="I3" s="46"/>
      <c r="J3" s="46"/>
      <c r="K3" s="46"/>
      <c r="L3" s="46"/>
      <c r="M3" s="41"/>
      <c r="N3" s="42"/>
      <c r="O3" s="42"/>
      <c r="P3" s="42"/>
      <c r="Q3" s="42"/>
      <c r="R3" s="42"/>
      <c r="S3" s="42"/>
      <c r="T3" s="42"/>
      <c r="U3" s="42"/>
      <c r="V3" s="43"/>
      <c r="W3" s="42"/>
      <c r="X3" s="42"/>
      <c r="Y3" s="42"/>
      <c r="Z3" s="44"/>
      <c r="AA3" s="42"/>
      <c r="AB3" s="42"/>
      <c r="AC3" s="42"/>
      <c r="AD3" s="42"/>
      <c r="AE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27"/>
      <c r="BI3" s="27"/>
      <c r="BJ3" s="27"/>
    </row>
    <row r="4" customHeight="1" spans="1:62">
      <c r="A4" s="29"/>
      <c r="B4" s="29"/>
      <c r="C4" s="29"/>
      <c r="D4" s="30"/>
      <c r="E4" s="31"/>
      <c r="F4" s="31"/>
      <c r="G4" s="32"/>
      <c r="H4" s="32"/>
      <c r="I4" s="33"/>
      <c r="J4" s="32"/>
      <c r="K4" s="32"/>
      <c r="L4" s="32"/>
      <c r="M4" s="32"/>
      <c r="N4" s="32"/>
      <c r="O4" s="32"/>
      <c r="P4" s="32"/>
      <c r="Q4" s="34"/>
      <c r="R4" s="33"/>
      <c r="S4" s="27"/>
      <c r="T4" s="27"/>
      <c r="U4" s="27"/>
      <c r="V4" s="35"/>
      <c r="W4" s="30"/>
      <c r="X4" s="33"/>
      <c r="Y4" s="36"/>
      <c r="Z4" s="37"/>
      <c r="AA4" s="27"/>
      <c r="AB4" s="27"/>
      <c r="AC4" s="27"/>
      <c r="AD4" s="27"/>
      <c r="AE4" s="27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27"/>
      <c r="BI4" s="27"/>
      <c r="BJ4" s="27"/>
    </row>
    <row r="5" customHeight="1" spans="1:62">
      <c r="A5" s="48" t="s">
        <v>3361</v>
      </c>
      <c r="B5" s="27"/>
      <c r="C5" s="29"/>
      <c r="D5" s="30"/>
      <c r="E5" s="31"/>
      <c r="F5" s="31"/>
      <c r="G5" s="32"/>
      <c r="H5" s="32"/>
      <c r="I5" s="33"/>
      <c r="J5" s="32"/>
      <c r="K5" s="32"/>
      <c r="L5" s="32"/>
      <c r="M5" s="32"/>
      <c r="N5" s="32"/>
      <c r="O5" s="32"/>
      <c r="P5" s="32"/>
      <c r="Q5" s="34"/>
      <c r="R5" s="33"/>
      <c r="S5" s="27"/>
      <c r="T5" s="27"/>
      <c r="U5" s="27"/>
      <c r="V5" s="35"/>
      <c r="W5" s="30"/>
      <c r="X5" s="33"/>
      <c r="Y5" s="36"/>
      <c r="Z5" s="37"/>
      <c r="AA5" s="27"/>
      <c r="AB5" s="27"/>
      <c r="AC5" s="27"/>
      <c r="AD5" s="27"/>
      <c r="AE5" s="27"/>
      <c r="AG5" s="49">
        <v>2026</v>
      </c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33"/>
      <c r="BH5" s="27"/>
      <c r="BI5" s="27"/>
      <c r="BJ5" s="27"/>
    </row>
    <row r="6" ht="16.5" customHeight="1" spans="1:62">
      <c r="A6" s="29"/>
      <c r="B6" s="29"/>
      <c r="C6" s="51"/>
      <c r="D6" s="27"/>
      <c r="E6" s="52"/>
      <c r="F6" s="52"/>
      <c r="G6" s="32"/>
      <c r="H6" s="32"/>
      <c r="I6" s="33"/>
      <c r="J6" s="32"/>
      <c r="K6" s="32"/>
      <c r="L6" s="32"/>
      <c r="M6" s="32"/>
      <c r="N6" s="32"/>
      <c r="O6" s="32"/>
      <c r="P6" s="32"/>
      <c r="Q6" s="34"/>
      <c r="R6" s="33"/>
      <c r="S6" s="27"/>
      <c r="T6" s="27"/>
      <c r="U6" s="27"/>
      <c r="V6" s="35"/>
      <c r="W6" s="30"/>
      <c r="X6" s="33"/>
      <c r="Y6" s="36"/>
      <c r="Z6" s="37"/>
      <c r="AA6" s="27"/>
      <c r="AB6" s="27"/>
      <c r="AC6" s="27"/>
      <c r="AD6" s="27"/>
      <c r="AE6" s="27"/>
      <c r="AG6" s="53" t="s">
        <v>3362</v>
      </c>
      <c r="AH6" s="54"/>
      <c r="AI6" s="54"/>
      <c r="AJ6" s="55"/>
      <c r="AK6" s="53" t="s">
        <v>3363</v>
      </c>
      <c r="AL6" s="54"/>
      <c r="AM6" s="54"/>
      <c r="AN6" s="55"/>
      <c r="AO6" s="53" t="s">
        <v>3364</v>
      </c>
      <c r="AP6" s="54"/>
      <c r="AQ6" s="54"/>
      <c r="AR6" s="55"/>
      <c r="AS6" s="53" t="s">
        <v>3365</v>
      </c>
      <c r="AT6" s="54"/>
      <c r="AU6" s="54"/>
      <c r="AV6" s="55"/>
      <c r="AW6" s="53" t="s">
        <v>3366</v>
      </c>
      <c r="AX6" s="54"/>
      <c r="AY6" s="54"/>
      <c r="AZ6" s="54"/>
      <c r="BA6" s="55"/>
      <c r="BB6" s="53" t="s">
        <v>3367</v>
      </c>
      <c r="BC6" s="54"/>
      <c r="BD6" s="54"/>
      <c r="BE6" s="54"/>
      <c r="BF6" s="55"/>
      <c r="BG6" s="33"/>
      <c r="BH6" s="27"/>
      <c r="BI6" s="27"/>
      <c r="BJ6" s="27"/>
    </row>
    <row r="7" ht="33" customHeight="1" spans="1:62">
      <c r="A7" s="56" t="s">
        <v>4007</v>
      </c>
      <c r="B7" s="57">
        <f>SUBTOTAL(3,'VA-H300'!$H$8:$H$352)</f>
        <v>28</v>
      </c>
      <c r="C7" s="58"/>
      <c r="D7" s="59" t="s">
        <v>4008</v>
      </c>
      <c r="E7" s="59" t="s">
        <v>4009</v>
      </c>
      <c r="F7" s="59" t="s">
        <v>4010</v>
      </c>
      <c r="G7" s="60" t="s">
        <v>4011</v>
      </c>
      <c r="H7" s="60" t="s">
        <v>4012</v>
      </c>
      <c r="I7" s="60" t="s">
        <v>4013</v>
      </c>
      <c r="J7" s="61" t="s">
        <v>16</v>
      </c>
      <c r="K7" s="60" t="s">
        <v>4014</v>
      </c>
      <c r="L7" s="60" t="s">
        <v>4015</v>
      </c>
      <c r="M7" s="60" t="s">
        <v>4016</v>
      </c>
      <c r="N7" s="60" t="s">
        <v>4017</v>
      </c>
      <c r="O7" s="60" t="s">
        <v>4018</v>
      </c>
      <c r="P7" s="60" t="s">
        <v>4019</v>
      </c>
      <c r="Q7" s="62" t="s">
        <v>4020</v>
      </c>
      <c r="R7" s="63" t="s">
        <v>4021</v>
      </c>
      <c r="S7" s="63" t="s">
        <v>4022</v>
      </c>
      <c r="T7" s="63" t="s">
        <v>4023</v>
      </c>
      <c r="U7" s="63" t="s">
        <v>4024</v>
      </c>
      <c r="V7" s="64" t="s">
        <v>4025</v>
      </c>
      <c r="W7" s="59" t="s">
        <v>4026</v>
      </c>
      <c r="X7" s="63" t="s">
        <v>4027</v>
      </c>
      <c r="Y7" s="65" t="s">
        <v>4028</v>
      </c>
      <c r="Z7" s="66" t="s">
        <v>4029</v>
      </c>
      <c r="AA7" s="63" t="s">
        <v>4030</v>
      </c>
      <c r="AB7" s="63" t="s">
        <v>4031</v>
      </c>
      <c r="AC7" s="63" t="s">
        <v>4032</v>
      </c>
      <c r="AD7" s="63" t="s">
        <v>4033</v>
      </c>
      <c r="AE7" s="63" t="s">
        <v>4034</v>
      </c>
      <c r="AF7" s="67" t="s">
        <v>3373</v>
      </c>
      <c r="AG7" s="68" t="s">
        <v>4035</v>
      </c>
      <c r="AH7" s="69" t="s">
        <v>4036</v>
      </c>
      <c r="AI7" s="69" t="s">
        <v>4037</v>
      </c>
      <c r="AJ7" s="70" t="s">
        <v>4038</v>
      </c>
      <c r="AK7" s="68" t="s">
        <v>4039</v>
      </c>
      <c r="AL7" s="69" t="s">
        <v>4040</v>
      </c>
      <c r="AM7" s="69" t="s">
        <v>4041</v>
      </c>
      <c r="AN7" s="70" t="s">
        <v>4042</v>
      </c>
      <c r="AO7" s="68" t="s">
        <v>4043</v>
      </c>
      <c r="AP7" s="69" t="s">
        <v>4044</v>
      </c>
      <c r="AQ7" s="69" t="s">
        <v>4045</v>
      </c>
      <c r="AR7" s="70" t="s">
        <v>4046</v>
      </c>
      <c r="AS7" s="68" t="s">
        <v>4047</v>
      </c>
      <c r="AT7" s="69" t="s">
        <v>4048</v>
      </c>
      <c r="AU7" s="69" t="s">
        <v>4049</v>
      </c>
      <c r="AV7" s="69" t="s">
        <v>4050</v>
      </c>
      <c r="AW7" s="68" t="s">
        <v>4051</v>
      </c>
      <c r="AX7" s="69" t="s">
        <v>4052</v>
      </c>
      <c r="AY7" s="69" t="s">
        <v>4053</v>
      </c>
      <c r="AZ7" s="69" t="s">
        <v>4054</v>
      </c>
      <c r="BA7" s="70" t="s">
        <v>4055</v>
      </c>
      <c r="BB7" s="68" t="s">
        <v>4056</v>
      </c>
      <c r="BC7" s="69" t="s">
        <v>4057</v>
      </c>
      <c r="BD7" s="69" t="s">
        <v>4058</v>
      </c>
      <c r="BE7" s="69" t="s">
        <v>4059</v>
      </c>
      <c r="BF7" s="70" t="s">
        <v>4060</v>
      </c>
      <c r="BG7" s="71" t="s">
        <v>3371</v>
      </c>
      <c r="BH7" s="67"/>
      <c r="BI7" s="67"/>
      <c r="BJ7" s="67"/>
    </row>
    <row r="8" ht="3" customHeight="1" spans="1:62">
      <c r="A8" s="72"/>
      <c r="B8" s="72"/>
      <c r="C8" s="58"/>
      <c r="D8" s="73"/>
      <c r="E8" s="74"/>
      <c r="F8" s="74"/>
      <c r="G8" s="75"/>
      <c r="H8" s="75"/>
      <c r="I8" s="76"/>
      <c r="J8" s="32" t="str">
        <f t="shared" ref="J8:J352" si="0">IF(AND(H8="",G8=""),"",CONCATENATE(G8,", ",H8))</f>
        <v/>
      </c>
      <c r="K8" s="75"/>
      <c r="L8" s="75"/>
      <c r="M8" s="75"/>
      <c r="N8" s="75"/>
      <c r="O8" s="77"/>
      <c r="P8" s="77"/>
      <c r="Q8" s="78"/>
      <c r="R8" s="73" t="str">
        <f ca="1" t="shared" ref="R8:R9" si="1">IF(Q8="","",DATEDIF(Q8,TODAY(),"Y"))</f>
        <v/>
      </c>
      <c r="S8" s="79"/>
      <c r="T8" s="79"/>
      <c r="U8" s="79"/>
      <c r="V8" s="80"/>
      <c r="W8" s="81"/>
      <c r="X8" s="73"/>
      <c r="Y8" s="82"/>
      <c r="Z8" s="83"/>
      <c r="AA8" s="79"/>
      <c r="AB8" s="79"/>
      <c r="AC8" s="79"/>
      <c r="AD8" s="79"/>
      <c r="AE8" s="79"/>
      <c r="AF8" s="67"/>
      <c r="AG8" s="84"/>
      <c r="AH8" s="67"/>
      <c r="AI8" s="67"/>
      <c r="AJ8" s="85"/>
      <c r="AK8" s="84"/>
      <c r="AL8" s="67"/>
      <c r="AM8" s="67"/>
      <c r="AN8" s="85"/>
      <c r="AO8" s="84"/>
      <c r="AP8" s="67"/>
      <c r="AQ8" s="67"/>
      <c r="AR8" s="85"/>
      <c r="AS8" s="84"/>
      <c r="AT8" s="67"/>
      <c r="AU8" s="67"/>
      <c r="AV8" s="67"/>
      <c r="AW8" s="84"/>
      <c r="AX8" s="67"/>
      <c r="AY8" s="67"/>
      <c r="AZ8" s="67"/>
      <c r="BA8" s="85"/>
      <c r="BB8" s="84"/>
      <c r="BC8" s="67"/>
      <c r="BD8" s="67"/>
      <c r="BE8" s="67"/>
      <c r="BF8" s="85"/>
      <c r="BG8" s="67"/>
      <c r="BH8" s="67"/>
      <c r="BI8" s="67"/>
      <c r="BJ8" s="67"/>
    </row>
    <row r="9" ht="3" customHeight="1" spans="1:62">
      <c r="A9" s="72"/>
      <c r="B9" s="72"/>
      <c r="C9" s="58"/>
      <c r="D9" s="73"/>
      <c r="E9" s="74"/>
      <c r="F9" s="74"/>
      <c r="G9" s="75"/>
      <c r="H9" s="75"/>
      <c r="I9" s="76"/>
      <c r="J9" s="32" t="str">
        <f t="shared" si="0"/>
        <v/>
      </c>
      <c r="K9" s="75"/>
      <c r="L9" s="75"/>
      <c r="M9" s="75"/>
      <c r="N9" s="75"/>
      <c r="O9" s="77"/>
      <c r="P9" s="77"/>
      <c r="Q9" s="78"/>
      <c r="R9" s="73" t="str">
        <f ca="1" t="shared" si="1"/>
        <v/>
      </c>
      <c r="S9" s="79"/>
      <c r="T9" s="79"/>
      <c r="U9" s="79"/>
      <c r="V9" s="80"/>
      <c r="W9" s="81"/>
      <c r="X9" s="73"/>
      <c r="Y9" s="82"/>
      <c r="Z9" s="83"/>
      <c r="AA9" s="79"/>
      <c r="AB9" s="79"/>
      <c r="AC9" s="79"/>
      <c r="AD9" s="79"/>
      <c r="AE9" s="79"/>
      <c r="AF9" s="67"/>
      <c r="AG9" s="84"/>
      <c r="AH9" s="67"/>
      <c r="AI9" s="67"/>
      <c r="AJ9" s="85"/>
      <c r="AK9" s="84"/>
      <c r="AL9" s="67"/>
      <c r="AM9" s="67"/>
      <c r="AN9" s="85"/>
      <c r="AO9" s="84"/>
      <c r="AP9" s="67"/>
      <c r="AQ9" s="67"/>
      <c r="AR9" s="85"/>
      <c r="AS9" s="84"/>
      <c r="AT9" s="67"/>
      <c r="AU9" s="67"/>
      <c r="AV9" s="67"/>
      <c r="AW9" s="84"/>
      <c r="AX9" s="67"/>
      <c r="AY9" s="67"/>
      <c r="AZ9" s="67"/>
      <c r="BA9" s="85"/>
      <c r="BB9" s="84"/>
      <c r="BC9" s="67"/>
      <c r="BD9" s="67"/>
      <c r="BE9" s="67"/>
      <c r="BF9" s="85"/>
      <c r="BG9" s="67"/>
      <c r="BH9" s="67"/>
      <c r="BI9" s="67"/>
      <c r="BJ9" s="67"/>
    </row>
    <row r="10" ht="14.4" spans="1:62">
      <c r="A10" s="29"/>
      <c r="B10" s="29"/>
      <c r="C10" s="29"/>
      <c r="D10" s="33">
        <v>1</v>
      </c>
      <c r="E10" s="86">
        <v>46208</v>
      </c>
      <c r="F10" s="87" t="s">
        <v>4061</v>
      </c>
      <c r="G10" s="87" t="s">
        <v>1312</v>
      </c>
      <c r="H10" s="87" t="s">
        <v>4062</v>
      </c>
      <c r="I10" s="33"/>
      <c r="J10" s="27" t="str">
        <f t="shared" si="0"/>
        <v>Lopez, Natalie</v>
      </c>
      <c r="K10" s="87" t="s">
        <v>57</v>
      </c>
      <c r="L10" s="87" t="s">
        <v>4063</v>
      </c>
      <c r="M10" s="87" t="s">
        <v>1088</v>
      </c>
      <c r="N10" s="32"/>
      <c r="O10" s="87" t="s">
        <v>4064</v>
      </c>
      <c r="P10" s="27"/>
      <c r="Q10" s="34"/>
      <c r="R10" s="88"/>
      <c r="S10" s="27"/>
      <c r="T10" s="27"/>
      <c r="U10" s="27"/>
      <c r="V10" s="89" t="s">
        <v>4065</v>
      </c>
      <c r="W10" s="30"/>
      <c r="X10" s="33"/>
      <c r="Y10" s="36"/>
      <c r="Z10" s="37"/>
      <c r="AA10" s="27"/>
      <c r="AB10" s="27"/>
      <c r="AC10" s="27"/>
      <c r="AD10" s="27"/>
      <c r="AE10" s="27"/>
      <c r="AF10" s="27"/>
      <c r="AG10" s="90" t="b">
        <v>1</v>
      </c>
      <c r="AH10" s="91" t="b">
        <v>0</v>
      </c>
      <c r="AI10" s="91" t="b">
        <v>0</v>
      </c>
      <c r="AJ10" s="92" t="b">
        <v>0</v>
      </c>
      <c r="AK10" s="90"/>
      <c r="AL10" s="91"/>
      <c r="AM10" s="91"/>
      <c r="AN10" s="92"/>
      <c r="AO10" s="90"/>
      <c r="AP10" s="91"/>
      <c r="AQ10" s="91"/>
      <c r="AR10" s="92"/>
      <c r="AS10" s="90"/>
      <c r="AT10" s="91"/>
      <c r="AU10" s="91"/>
      <c r="AV10" s="92"/>
      <c r="AW10" s="90"/>
      <c r="AX10" s="91"/>
      <c r="AY10" s="93"/>
      <c r="AZ10" s="91"/>
      <c r="BA10" s="92"/>
      <c r="BB10" s="90"/>
      <c r="BC10" s="91"/>
      <c r="BD10" s="93"/>
      <c r="BE10" s="91"/>
      <c r="BF10" s="92"/>
      <c r="BG10" s="33">
        <f t="shared" ref="BG10:BG352" si="2">COUNTIF(AG10:BF10,"P")</f>
        <v>0</v>
      </c>
      <c r="BH10" s="27"/>
      <c r="BI10" s="27"/>
      <c r="BJ10" s="27"/>
    </row>
    <row r="11" ht="14.4" spans="1:62">
      <c r="A11" s="29"/>
      <c r="B11" s="29"/>
      <c r="C11" s="29"/>
      <c r="D11" s="33">
        <v>2</v>
      </c>
      <c r="E11" s="86">
        <v>46208</v>
      </c>
      <c r="F11" s="31"/>
      <c r="G11" s="87" t="s">
        <v>4066</v>
      </c>
      <c r="H11" s="87" t="s">
        <v>4067</v>
      </c>
      <c r="I11" s="33"/>
      <c r="J11" s="27" t="str">
        <f t="shared" si="0"/>
        <v>Martillana, Harold</v>
      </c>
      <c r="K11" s="87" t="s">
        <v>1642</v>
      </c>
      <c r="L11" s="87" t="s">
        <v>2618</v>
      </c>
      <c r="M11" s="87" t="s">
        <v>1222</v>
      </c>
      <c r="N11" s="32"/>
      <c r="O11" s="87" t="s">
        <v>4068</v>
      </c>
      <c r="P11" s="32"/>
      <c r="Q11" s="34"/>
      <c r="R11" s="88" t="str">
        <f ca="1" t="shared" ref="R11:R14" si="3">IF(Q11="","",DATEDIF(Q11,TODAY(),"Y"))</f>
        <v/>
      </c>
      <c r="S11" s="27"/>
      <c r="T11" s="27"/>
      <c r="U11" s="27"/>
      <c r="V11" s="89" t="s">
        <v>4069</v>
      </c>
      <c r="W11" s="30"/>
      <c r="X11" s="33"/>
      <c r="Y11" s="36"/>
      <c r="Z11" s="37"/>
      <c r="AA11" s="27"/>
      <c r="AB11" s="27"/>
      <c r="AC11" s="27"/>
      <c r="AD11" s="27"/>
      <c r="AE11" s="27"/>
      <c r="AF11" s="27"/>
      <c r="AG11" s="90" t="b">
        <v>1</v>
      </c>
      <c r="AH11" s="91" t="b">
        <v>0</v>
      </c>
      <c r="AI11" s="91" t="b">
        <v>0</v>
      </c>
      <c r="AJ11" s="92" t="b">
        <v>0</v>
      </c>
      <c r="AK11" s="90"/>
      <c r="AL11" s="91"/>
      <c r="AM11" s="91"/>
      <c r="AN11" s="92"/>
      <c r="AO11" s="90"/>
      <c r="AP11" s="91"/>
      <c r="AQ11" s="91"/>
      <c r="AR11" s="92"/>
      <c r="AS11" s="90"/>
      <c r="AT11" s="91"/>
      <c r="AU11" s="91"/>
      <c r="AV11" s="92"/>
      <c r="AW11" s="90"/>
      <c r="AX11" s="91"/>
      <c r="AY11" s="93"/>
      <c r="AZ11" s="91"/>
      <c r="BA11" s="92"/>
      <c r="BB11" s="90"/>
      <c r="BC11" s="91"/>
      <c r="BD11" s="93"/>
      <c r="BE11" s="91"/>
      <c r="BF11" s="92"/>
      <c r="BG11" s="33">
        <f t="shared" si="2"/>
        <v>0</v>
      </c>
      <c r="BH11" s="27"/>
      <c r="BI11" s="27"/>
      <c r="BJ11" s="27"/>
    </row>
    <row r="12" ht="14.4" spans="1:62">
      <c r="A12" s="29"/>
      <c r="B12" s="29"/>
      <c r="C12" s="29"/>
      <c r="D12" s="33">
        <v>3</v>
      </c>
      <c r="E12" s="86">
        <v>46208</v>
      </c>
      <c r="F12" s="87" t="s">
        <v>2</v>
      </c>
      <c r="G12" s="87" t="s">
        <v>1312</v>
      </c>
      <c r="H12" s="87" t="s">
        <v>4070</v>
      </c>
      <c r="I12" s="33"/>
      <c r="J12" s="27" t="str">
        <f t="shared" si="0"/>
        <v>Lopez, Maureen</v>
      </c>
      <c r="K12" s="87" t="s">
        <v>57</v>
      </c>
      <c r="L12" s="87" t="s">
        <v>4063</v>
      </c>
      <c r="M12" s="87" t="s">
        <v>1088</v>
      </c>
      <c r="N12" s="32"/>
      <c r="O12" s="87" t="s">
        <v>4064</v>
      </c>
      <c r="P12" s="32"/>
      <c r="Q12" s="34"/>
      <c r="R12" s="88" t="str">
        <f ca="1" t="shared" si="3"/>
        <v/>
      </c>
      <c r="S12" s="27"/>
      <c r="T12" s="27"/>
      <c r="U12" s="27"/>
      <c r="V12" s="89" t="s">
        <v>4065</v>
      </c>
      <c r="W12" s="30"/>
      <c r="X12" s="33"/>
      <c r="Y12" s="36"/>
      <c r="Z12" s="37"/>
      <c r="AA12" s="27"/>
      <c r="AB12" s="27"/>
      <c r="AC12" s="27"/>
      <c r="AD12" s="27"/>
      <c r="AE12" s="27"/>
      <c r="AF12" s="27"/>
      <c r="AG12" s="90" t="b">
        <v>1</v>
      </c>
      <c r="AH12" s="91" t="b">
        <v>0</v>
      </c>
      <c r="AI12" s="91" t="b">
        <v>0</v>
      </c>
      <c r="AJ12" s="92" t="b">
        <v>0</v>
      </c>
      <c r="AK12" s="90"/>
      <c r="AL12" s="91"/>
      <c r="AM12" s="91"/>
      <c r="AN12" s="92"/>
      <c r="AO12" s="90"/>
      <c r="AP12" s="91"/>
      <c r="AQ12" s="91"/>
      <c r="AR12" s="92"/>
      <c r="AS12" s="90"/>
      <c r="AT12" s="91"/>
      <c r="AU12" s="91"/>
      <c r="AV12" s="92"/>
      <c r="AW12" s="90"/>
      <c r="AX12" s="91"/>
      <c r="AY12" s="93"/>
      <c r="AZ12" s="91"/>
      <c r="BA12" s="92"/>
      <c r="BB12" s="90"/>
      <c r="BC12" s="91"/>
      <c r="BD12" s="93"/>
      <c r="BE12" s="91"/>
      <c r="BF12" s="92"/>
      <c r="BG12" s="33">
        <f t="shared" si="2"/>
        <v>0</v>
      </c>
      <c r="BH12" s="27"/>
      <c r="BI12" s="27"/>
      <c r="BJ12" s="27"/>
    </row>
    <row r="13" ht="14.4" spans="1:62">
      <c r="A13" s="29"/>
      <c r="B13" s="29"/>
      <c r="C13" s="29"/>
      <c r="D13" s="33">
        <v>4</v>
      </c>
      <c r="E13" s="86">
        <v>46208</v>
      </c>
      <c r="F13" s="87" t="s">
        <v>3</v>
      </c>
      <c r="G13" s="87" t="s">
        <v>1312</v>
      </c>
      <c r="H13" s="87" t="s">
        <v>2126</v>
      </c>
      <c r="I13" s="33"/>
      <c r="J13" s="27" t="str">
        <f t="shared" si="0"/>
        <v>Lopez, Rolly</v>
      </c>
      <c r="K13" s="32"/>
      <c r="L13" s="87" t="s">
        <v>4063</v>
      </c>
      <c r="M13" s="87" t="s">
        <v>1088</v>
      </c>
      <c r="N13" s="32"/>
      <c r="O13" s="87" t="s">
        <v>4071</v>
      </c>
      <c r="P13" s="32"/>
      <c r="Q13" s="34"/>
      <c r="R13" s="88" t="str">
        <f ca="1" t="shared" si="3"/>
        <v/>
      </c>
      <c r="S13" s="27"/>
      <c r="T13" s="27"/>
      <c r="U13" s="27"/>
      <c r="V13" s="89" t="s">
        <v>4065</v>
      </c>
      <c r="W13" s="30"/>
      <c r="X13" s="33"/>
      <c r="Y13" s="36"/>
      <c r="Z13" s="37"/>
      <c r="AA13" s="27"/>
      <c r="AB13" s="27"/>
      <c r="AC13" s="27"/>
      <c r="AD13" s="27"/>
      <c r="AE13" s="27"/>
      <c r="AF13" s="27"/>
      <c r="AG13" s="90" t="b">
        <v>1</v>
      </c>
      <c r="AH13" s="91" t="b">
        <v>0</v>
      </c>
      <c r="AI13" s="91" t="b">
        <v>0</v>
      </c>
      <c r="AJ13" s="92" t="b">
        <v>0</v>
      </c>
      <c r="AK13" s="90"/>
      <c r="AL13" s="91"/>
      <c r="AM13" s="91"/>
      <c r="AN13" s="92"/>
      <c r="AO13" s="90"/>
      <c r="AP13" s="91"/>
      <c r="AQ13" s="91"/>
      <c r="AR13" s="92"/>
      <c r="AS13" s="90"/>
      <c r="AT13" s="91"/>
      <c r="AU13" s="91"/>
      <c r="AV13" s="92"/>
      <c r="AW13" s="90"/>
      <c r="AX13" s="91"/>
      <c r="AY13" s="93"/>
      <c r="AZ13" s="91"/>
      <c r="BA13" s="92"/>
      <c r="BB13" s="90"/>
      <c r="BC13" s="91"/>
      <c r="BD13" s="93"/>
      <c r="BE13" s="91"/>
      <c r="BF13" s="92"/>
      <c r="BG13" s="33">
        <f t="shared" si="2"/>
        <v>0</v>
      </c>
      <c r="BH13" s="27"/>
      <c r="BI13" s="27"/>
      <c r="BJ13" s="27"/>
    </row>
    <row r="14" ht="14.4" spans="1:62">
      <c r="A14" s="29"/>
      <c r="B14" s="29"/>
      <c r="C14" s="29"/>
      <c r="D14" s="33">
        <v>5</v>
      </c>
      <c r="E14" s="86">
        <v>46208</v>
      </c>
      <c r="F14" s="87" t="s">
        <v>3</v>
      </c>
      <c r="G14" s="87" t="s">
        <v>1917</v>
      </c>
      <c r="H14" s="87" t="s">
        <v>4072</v>
      </c>
      <c r="I14" s="94" t="s">
        <v>818</v>
      </c>
      <c r="J14" s="27" t="str">
        <f t="shared" si="0"/>
        <v>Eraldo, Federico Jr.</v>
      </c>
      <c r="K14" s="32"/>
      <c r="L14" s="87" t="s">
        <v>4073</v>
      </c>
      <c r="M14" s="87" t="s">
        <v>1016</v>
      </c>
      <c r="N14" s="32"/>
      <c r="O14" s="95" t="s">
        <v>1921</v>
      </c>
      <c r="P14" s="32"/>
      <c r="Q14" s="34"/>
      <c r="R14" s="88" t="str">
        <f ca="1" t="shared" si="3"/>
        <v/>
      </c>
      <c r="S14" s="27"/>
      <c r="T14" s="27"/>
      <c r="U14" s="27"/>
      <c r="V14" s="89" t="s">
        <v>4074</v>
      </c>
      <c r="W14" s="30"/>
      <c r="X14" s="33"/>
      <c r="Y14" s="36"/>
      <c r="Z14" s="37"/>
      <c r="AA14" s="27"/>
      <c r="AB14" s="27"/>
      <c r="AC14" s="27"/>
      <c r="AD14" s="27"/>
      <c r="AE14" s="27"/>
      <c r="AF14" s="27"/>
      <c r="AG14" s="90" t="b">
        <v>1</v>
      </c>
      <c r="AH14" s="91" t="b">
        <v>0</v>
      </c>
      <c r="AI14" s="91" t="b">
        <v>0</v>
      </c>
      <c r="AJ14" s="92" t="b">
        <v>0</v>
      </c>
      <c r="AK14" s="90"/>
      <c r="AL14" s="91"/>
      <c r="AM14" s="91"/>
      <c r="AN14" s="92"/>
      <c r="AO14" s="90"/>
      <c r="AP14" s="91"/>
      <c r="AQ14" s="91"/>
      <c r="AR14" s="92"/>
      <c r="AS14" s="90"/>
      <c r="AT14" s="91"/>
      <c r="AU14" s="91"/>
      <c r="AV14" s="92"/>
      <c r="AW14" s="90"/>
      <c r="AX14" s="91"/>
      <c r="AY14" s="93"/>
      <c r="AZ14" s="91"/>
      <c r="BA14" s="92"/>
      <c r="BB14" s="90"/>
      <c r="BC14" s="91"/>
      <c r="BD14" s="93"/>
      <c r="BE14" s="91"/>
      <c r="BF14" s="92"/>
      <c r="BG14" s="33">
        <f t="shared" si="2"/>
        <v>0</v>
      </c>
      <c r="BH14" s="27"/>
      <c r="BI14" s="27"/>
      <c r="BJ14" s="27"/>
    </row>
    <row r="15" ht="14.4" spans="1:62">
      <c r="A15" s="29"/>
      <c r="B15" s="29"/>
      <c r="C15" s="29"/>
      <c r="D15" s="33">
        <v>6</v>
      </c>
      <c r="E15" s="86">
        <v>46215</v>
      </c>
      <c r="F15" s="87" t="s">
        <v>4061</v>
      </c>
      <c r="G15" s="87" t="s">
        <v>4075</v>
      </c>
      <c r="H15" s="87" t="s">
        <v>906</v>
      </c>
      <c r="I15" s="94" t="s">
        <v>1041</v>
      </c>
      <c r="J15" s="27" t="str">
        <f t="shared" si="0"/>
        <v>Cabubas, Alma</v>
      </c>
      <c r="K15" s="87" t="s">
        <v>57</v>
      </c>
      <c r="L15" s="32"/>
      <c r="M15" s="32"/>
      <c r="N15" s="32"/>
      <c r="O15" s="87" t="s">
        <v>4076</v>
      </c>
      <c r="P15" s="32"/>
      <c r="Q15" s="34"/>
      <c r="R15" s="96">
        <v>34</v>
      </c>
      <c r="S15" s="27"/>
      <c r="T15" s="27"/>
      <c r="U15" s="27"/>
      <c r="V15" s="89"/>
      <c r="W15" s="30"/>
      <c r="X15" s="33"/>
      <c r="Y15" s="36"/>
      <c r="Z15" s="37"/>
      <c r="AA15" s="27"/>
      <c r="AB15" s="27"/>
      <c r="AC15" s="27"/>
      <c r="AD15" s="27"/>
      <c r="AE15" s="27"/>
      <c r="AF15" s="27"/>
      <c r="AG15" s="90" t="b">
        <v>0</v>
      </c>
      <c r="AH15" s="91" t="b">
        <v>1</v>
      </c>
      <c r="AI15" s="91" t="b">
        <v>0</v>
      </c>
      <c r="AJ15" s="92" t="b">
        <v>0</v>
      </c>
      <c r="AK15" s="90"/>
      <c r="AL15" s="91"/>
      <c r="AM15" s="91"/>
      <c r="AN15" s="92"/>
      <c r="AO15" s="90"/>
      <c r="AP15" s="91"/>
      <c r="AQ15" s="91"/>
      <c r="AR15" s="92"/>
      <c r="AS15" s="90"/>
      <c r="AT15" s="91"/>
      <c r="AU15" s="91"/>
      <c r="AV15" s="92"/>
      <c r="AW15" s="90"/>
      <c r="AX15" s="91"/>
      <c r="AY15" s="93"/>
      <c r="AZ15" s="91"/>
      <c r="BA15" s="92"/>
      <c r="BB15" s="90"/>
      <c r="BC15" s="91"/>
      <c r="BD15" s="93"/>
      <c r="BE15" s="91"/>
      <c r="BF15" s="92"/>
      <c r="BG15" s="33">
        <f t="shared" si="2"/>
        <v>0</v>
      </c>
      <c r="BH15" s="27"/>
      <c r="BI15" s="27"/>
      <c r="BJ15" s="27"/>
    </row>
    <row r="16" ht="14.4" spans="1:62">
      <c r="A16" s="29"/>
      <c r="B16" s="29"/>
      <c r="C16" s="29"/>
      <c r="D16" s="33">
        <v>7</v>
      </c>
      <c r="E16" s="86">
        <v>46215</v>
      </c>
      <c r="F16" s="87" t="s">
        <v>4061</v>
      </c>
      <c r="G16" s="87" t="s">
        <v>4077</v>
      </c>
      <c r="H16" s="87" t="s">
        <v>2207</v>
      </c>
      <c r="I16" s="33"/>
      <c r="J16" s="27" t="str">
        <f t="shared" si="0"/>
        <v>Anonuevo, Jun</v>
      </c>
      <c r="K16" s="87" t="s">
        <v>1642</v>
      </c>
      <c r="L16" s="32"/>
      <c r="M16" s="32"/>
      <c r="N16" s="32"/>
      <c r="O16" s="87"/>
      <c r="P16" s="27"/>
      <c r="Q16" s="34"/>
      <c r="R16" s="88" t="str">
        <f ca="1">IF(Q16="","",DATEDIF(Q16,TODAY(),"Y"))</f>
        <v/>
      </c>
      <c r="S16" s="27"/>
      <c r="T16" s="27"/>
      <c r="U16" s="27"/>
      <c r="V16" s="89" t="s">
        <v>4078</v>
      </c>
      <c r="W16" s="30"/>
      <c r="X16" s="33"/>
      <c r="Y16" s="36"/>
      <c r="Z16" s="37"/>
      <c r="AA16" s="27"/>
      <c r="AB16" s="27"/>
      <c r="AC16" s="27"/>
      <c r="AD16" s="27"/>
      <c r="AE16" s="27"/>
      <c r="AF16" s="27"/>
      <c r="AG16" s="90" t="b">
        <v>0</v>
      </c>
      <c r="AH16" s="91" t="b">
        <v>1</v>
      </c>
      <c r="AI16" s="91" t="b">
        <v>0</v>
      </c>
      <c r="AJ16" s="92" t="b">
        <v>0</v>
      </c>
      <c r="AK16" s="90"/>
      <c r="AL16" s="91"/>
      <c r="AM16" s="91"/>
      <c r="AN16" s="92"/>
      <c r="AO16" s="90"/>
      <c r="AP16" s="91"/>
      <c r="AQ16" s="91"/>
      <c r="AR16" s="92"/>
      <c r="AS16" s="90"/>
      <c r="AT16" s="91"/>
      <c r="AU16" s="91"/>
      <c r="AV16" s="92"/>
      <c r="AW16" s="90"/>
      <c r="AX16" s="91"/>
      <c r="AY16" s="93"/>
      <c r="AZ16" s="91"/>
      <c r="BA16" s="92"/>
      <c r="BB16" s="90"/>
      <c r="BC16" s="91"/>
      <c r="BD16" s="93"/>
      <c r="BE16" s="91"/>
      <c r="BF16" s="92"/>
      <c r="BG16" s="33">
        <f t="shared" si="2"/>
        <v>0</v>
      </c>
      <c r="BH16" s="27"/>
      <c r="BI16" s="27"/>
      <c r="BJ16" s="27"/>
    </row>
    <row r="17" ht="14.4" spans="1:62">
      <c r="A17" s="29"/>
      <c r="B17" s="29"/>
      <c r="C17" s="29"/>
      <c r="D17" s="33">
        <v>8</v>
      </c>
      <c r="E17" s="86">
        <v>46215</v>
      </c>
      <c r="F17" s="87" t="s">
        <v>4061</v>
      </c>
      <c r="G17" s="87" t="s">
        <v>4079</v>
      </c>
      <c r="H17" s="87" t="s">
        <v>4080</v>
      </c>
      <c r="I17" s="33"/>
      <c r="J17" s="27" t="str">
        <f t="shared" si="0"/>
        <v>Magamao, Jingle</v>
      </c>
      <c r="K17" s="87" t="s">
        <v>57</v>
      </c>
      <c r="L17" s="32"/>
      <c r="M17" s="32"/>
      <c r="N17" s="32"/>
      <c r="O17" s="32"/>
      <c r="P17" s="32"/>
      <c r="Q17" s="34"/>
      <c r="R17" s="96">
        <v>26</v>
      </c>
      <c r="S17" s="27"/>
      <c r="T17" s="27"/>
      <c r="U17" s="27"/>
      <c r="V17" s="89" t="s">
        <v>4081</v>
      </c>
      <c r="W17" s="30"/>
      <c r="X17" s="33"/>
      <c r="Y17" s="36"/>
      <c r="Z17" s="37"/>
      <c r="AA17" s="27"/>
      <c r="AB17" s="27"/>
      <c r="AC17" s="27"/>
      <c r="AD17" s="27"/>
      <c r="AE17" s="27"/>
      <c r="AF17" s="27"/>
      <c r="AG17" s="90" t="b">
        <v>0</v>
      </c>
      <c r="AH17" s="91" t="b">
        <v>1</v>
      </c>
      <c r="AI17" s="91" t="b">
        <v>0</v>
      </c>
      <c r="AJ17" s="92" t="b">
        <v>0</v>
      </c>
      <c r="AK17" s="90"/>
      <c r="AL17" s="91"/>
      <c r="AM17" s="91"/>
      <c r="AN17" s="92"/>
      <c r="AO17" s="90"/>
      <c r="AP17" s="91"/>
      <c r="AQ17" s="91"/>
      <c r="AR17" s="92"/>
      <c r="AS17" s="90"/>
      <c r="AT17" s="91"/>
      <c r="AU17" s="91"/>
      <c r="AV17" s="92"/>
      <c r="AW17" s="90"/>
      <c r="AX17" s="91"/>
      <c r="AY17" s="93"/>
      <c r="AZ17" s="91"/>
      <c r="BA17" s="92"/>
      <c r="BB17" s="90"/>
      <c r="BC17" s="91"/>
      <c r="BD17" s="93"/>
      <c r="BE17" s="91"/>
      <c r="BF17" s="92"/>
      <c r="BG17" s="33">
        <f t="shared" si="2"/>
        <v>0</v>
      </c>
      <c r="BH17" s="27"/>
      <c r="BI17" s="27"/>
      <c r="BJ17" s="27"/>
    </row>
    <row r="18" ht="14.4" spans="1:62">
      <c r="A18" s="29"/>
      <c r="B18" s="29"/>
      <c r="C18" s="29"/>
      <c r="D18" s="33">
        <v>9</v>
      </c>
      <c r="E18" s="86">
        <v>46215</v>
      </c>
      <c r="F18" s="87" t="s">
        <v>4061</v>
      </c>
      <c r="G18" s="87" t="s">
        <v>4082</v>
      </c>
      <c r="H18" s="87" t="s">
        <v>4083</v>
      </c>
      <c r="I18" s="33"/>
      <c r="J18" s="27" t="str">
        <f t="shared" si="0"/>
        <v>Galimba, Jordan</v>
      </c>
      <c r="K18" s="87" t="s">
        <v>1642</v>
      </c>
      <c r="L18" s="32"/>
      <c r="M18" s="32"/>
      <c r="N18" s="32"/>
      <c r="O18" s="32"/>
      <c r="P18" s="32"/>
      <c r="Q18" s="34"/>
      <c r="R18" s="88" t="str">
        <f ca="1">IF(Q18="","",DATEDIF(Q18,TODAY(),"Y"))</f>
        <v/>
      </c>
      <c r="S18" s="27"/>
      <c r="T18" s="27"/>
      <c r="U18" s="27"/>
      <c r="V18" s="89" t="s">
        <v>4084</v>
      </c>
      <c r="W18" s="30"/>
      <c r="X18" s="33"/>
      <c r="Y18" s="36"/>
      <c r="Z18" s="37"/>
      <c r="AA18" s="27"/>
      <c r="AB18" s="27"/>
      <c r="AC18" s="27"/>
      <c r="AD18" s="27"/>
      <c r="AE18" s="27"/>
      <c r="AF18" s="27"/>
      <c r="AG18" s="90" t="b">
        <v>0</v>
      </c>
      <c r="AH18" s="91" t="b">
        <v>1</v>
      </c>
      <c r="AI18" s="91" t="b">
        <v>0</v>
      </c>
      <c r="AJ18" s="92" t="b">
        <v>0</v>
      </c>
      <c r="AK18" s="90"/>
      <c r="AL18" s="91"/>
      <c r="AM18" s="91"/>
      <c r="AN18" s="92"/>
      <c r="AO18" s="90"/>
      <c r="AP18" s="91"/>
      <c r="AQ18" s="91"/>
      <c r="AR18" s="92"/>
      <c r="AS18" s="90"/>
      <c r="AT18" s="91"/>
      <c r="AU18" s="91"/>
      <c r="AV18" s="92"/>
      <c r="AW18" s="90"/>
      <c r="AX18" s="91"/>
      <c r="AY18" s="93"/>
      <c r="AZ18" s="91"/>
      <c r="BA18" s="92"/>
      <c r="BB18" s="90"/>
      <c r="BC18" s="91"/>
      <c r="BD18" s="93"/>
      <c r="BE18" s="91"/>
      <c r="BF18" s="92"/>
      <c r="BG18" s="33">
        <f t="shared" si="2"/>
        <v>0</v>
      </c>
      <c r="BH18" s="27"/>
      <c r="BI18" s="27"/>
      <c r="BJ18" s="27"/>
    </row>
    <row r="19" ht="14.4" spans="1:62">
      <c r="A19" s="29"/>
      <c r="B19" s="29"/>
      <c r="C19" s="29"/>
      <c r="D19" s="33">
        <v>10</v>
      </c>
      <c r="E19" s="86">
        <v>46222</v>
      </c>
      <c r="F19" s="87" t="s">
        <v>2</v>
      </c>
      <c r="G19" s="87" t="s">
        <v>1917</v>
      </c>
      <c r="H19" s="87" t="s">
        <v>4085</v>
      </c>
      <c r="I19" s="33"/>
      <c r="J19" s="27" t="str">
        <f t="shared" si="0"/>
        <v>Eraldo, Jenelyn</v>
      </c>
      <c r="K19" s="87" t="s">
        <v>57</v>
      </c>
      <c r="L19" s="32"/>
      <c r="M19" s="32"/>
      <c r="N19" s="32"/>
      <c r="O19" s="87" t="s">
        <v>4086</v>
      </c>
      <c r="P19" s="27"/>
      <c r="Q19" s="34"/>
      <c r="R19" s="96">
        <v>59</v>
      </c>
      <c r="S19" s="27"/>
      <c r="T19" s="27"/>
      <c r="U19" s="27"/>
      <c r="V19" s="89" t="s">
        <v>4087</v>
      </c>
      <c r="W19" s="30"/>
      <c r="X19" s="33"/>
      <c r="Y19" s="36"/>
      <c r="Z19" s="37"/>
      <c r="AA19" s="27"/>
      <c r="AB19" s="27"/>
      <c r="AC19" s="27"/>
      <c r="AD19" s="27"/>
      <c r="AE19" s="27"/>
      <c r="AF19" s="27"/>
      <c r="AG19" s="90" t="b">
        <v>0</v>
      </c>
      <c r="AH19" s="91" t="b">
        <v>0</v>
      </c>
      <c r="AI19" s="91" t="b">
        <v>1</v>
      </c>
      <c r="AJ19" s="92" t="b">
        <v>0</v>
      </c>
      <c r="AK19" s="90"/>
      <c r="AL19" s="91"/>
      <c r="AM19" s="91"/>
      <c r="AN19" s="92"/>
      <c r="AO19" s="90"/>
      <c r="AP19" s="91"/>
      <c r="AQ19" s="91"/>
      <c r="AR19" s="92"/>
      <c r="AS19" s="90"/>
      <c r="AT19" s="91"/>
      <c r="AU19" s="91"/>
      <c r="AV19" s="92"/>
      <c r="AW19" s="90"/>
      <c r="AX19" s="91"/>
      <c r="AY19" s="93"/>
      <c r="AZ19" s="91"/>
      <c r="BA19" s="92"/>
      <c r="BB19" s="90"/>
      <c r="BC19" s="91"/>
      <c r="BD19" s="93"/>
      <c r="BE19" s="91"/>
      <c r="BF19" s="92"/>
      <c r="BG19" s="33">
        <f t="shared" si="2"/>
        <v>0</v>
      </c>
      <c r="BH19" s="27"/>
      <c r="BI19" s="27"/>
      <c r="BJ19" s="27"/>
    </row>
    <row r="20" ht="14.4" spans="1:62">
      <c r="A20" s="29"/>
      <c r="B20" s="29"/>
      <c r="C20" s="29"/>
      <c r="D20" s="33">
        <v>11</v>
      </c>
      <c r="E20" s="86">
        <v>46222</v>
      </c>
      <c r="F20" s="87" t="s">
        <v>4061</v>
      </c>
      <c r="G20" s="87" t="s">
        <v>1917</v>
      </c>
      <c r="H20" s="87" t="s">
        <v>4088</v>
      </c>
      <c r="I20" s="33"/>
      <c r="J20" s="27" t="str">
        <f t="shared" si="0"/>
        <v>Eraldo, Irish</v>
      </c>
      <c r="K20" s="87" t="s">
        <v>57</v>
      </c>
      <c r="L20" s="32"/>
      <c r="M20" s="32"/>
      <c r="N20" s="32"/>
      <c r="O20" s="87" t="s">
        <v>4086</v>
      </c>
      <c r="P20" s="32"/>
      <c r="Q20" s="34"/>
      <c r="R20" s="96">
        <v>40</v>
      </c>
      <c r="S20" s="27"/>
      <c r="T20" s="27"/>
      <c r="U20" s="27"/>
      <c r="V20" s="89" t="s">
        <v>4087</v>
      </c>
      <c r="W20" s="30"/>
      <c r="X20" s="33"/>
      <c r="Y20" s="36"/>
      <c r="Z20" s="37"/>
      <c r="AA20" s="27"/>
      <c r="AB20" s="27"/>
      <c r="AC20" s="27"/>
      <c r="AD20" s="27"/>
      <c r="AE20" s="27"/>
      <c r="AF20" s="27"/>
      <c r="AG20" s="90" t="b">
        <v>0</v>
      </c>
      <c r="AH20" s="91" t="b">
        <v>0</v>
      </c>
      <c r="AI20" s="91" t="b">
        <v>1</v>
      </c>
      <c r="AJ20" s="92" t="b">
        <v>0</v>
      </c>
      <c r="AK20" s="90"/>
      <c r="AL20" s="91"/>
      <c r="AM20" s="91"/>
      <c r="AN20" s="92"/>
      <c r="AO20" s="90"/>
      <c r="AP20" s="91"/>
      <c r="AQ20" s="91"/>
      <c r="AR20" s="92"/>
      <c r="AS20" s="90"/>
      <c r="AT20" s="91"/>
      <c r="AU20" s="91"/>
      <c r="AV20" s="92"/>
      <c r="AW20" s="90"/>
      <c r="AX20" s="91"/>
      <c r="AY20" s="93"/>
      <c r="AZ20" s="91"/>
      <c r="BA20" s="92"/>
      <c r="BB20" s="90"/>
      <c r="BC20" s="91"/>
      <c r="BD20" s="93"/>
      <c r="BE20" s="91"/>
      <c r="BF20" s="92"/>
      <c r="BG20" s="33">
        <f t="shared" si="2"/>
        <v>0</v>
      </c>
      <c r="BH20" s="27"/>
      <c r="BI20" s="27"/>
      <c r="BJ20" s="27"/>
    </row>
    <row r="21" ht="15.75" customHeight="1" spans="1:62">
      <c r="A21" s="29"/>
      <c r="B21" s="29"/>
      <c r="C21" s="29"/>
      <c r="D21" s="33">
        <v>12</v>
      </c>
      <c r="E21" s="86">
        <v>46222</v>
      </c>
      <c r="F21" s="87" t="s">
        <v>4061</v>
      </c>
      <c r="G21" s="87" t="s">
        <v>4089</v>
      </c>
      <c r="H21" s="87" t="s">
        <v>4090</v>
      </c>
      <c r="I21" s="94" t="s">
        <v>239</v>
      </c>
      <c r="J21" s="27" t="str">
        <f t="shared" si="0"/>
        <v>Bentod, Kharen</v>
      </c>
      <c r="K21" s="87" t="s">
        <v>57</v>
      </c>
      <c r="L21" s="32"/>
      <c r="M21" s="32"/>
      <c r="N21" s="32"/>
      <c r="O21" s="87" t="s">
        <v>4091</v>
      </c>
      <c r="P21" s="32"/>
      <c r="Q21" s="34"/>
      <c r="R21" s="96">
        <v>18</v>
      </c>
      <c r="S21" s="27"/>
      <c r="T21" s="27"/>
      <c r="U21" s="27"/>
      <c r="V21" s="89" t="s">
        <v>4092</v>
      </c>
      <c r="W21" s="30"/>
      <c r="X21" s="33"/>
      <c r="Y21" s="36"/>
      <c r="Z21" s="37"/>
      <c r="AA21" s="27"/>
      <c r="AB21" s="27"/>
      <c r="AC21" s="27"/>
      <c r="AD21" s="27"/>
      <c r="AE21" s="27"/>
      <c r="AF21" s="27"/>
      <c r="AG21" s="90" t="b">
        <v>0</v>
      </c>
      <c r="AH21" s="91" t="b">
        <v>0</v>
      </c>
      <c r="AI21" s="91" t="b">
        <v>1</v>
      </c>
      <c r="AJ21" s="92" t="b">
        <v>0</v>
      </c>
      <c r="AK21" s="90"/>
      <c r="AL21" s="91"/>
      <c r="AM21" s="91"/>
      <c r="AN21" s="92"/>
      <c r="AO21" s="90"/>
      <c r="AP21" s="91"/>
      <c r="AQ21" s="91"/>
      <c r="AR21" s="92"/>
      <c r="AS21" s="90"/>
      <c r="AT21" s="91"/>
      <c r="AU21" s="91"/>
      <c r="AV21" s="92"/>
      <c r="AW21" s="90"/>
      <c r="AX21" s="91"/>
      <c r="AY21" s="93"/>
      <c r="AZ21" s="91"/>
      <c r="BA21" s="92"/>
      <c r="BB21" s="90"/>
      <c r="BC21" s="91"/>
      <c r="BD21" s="93"/>
      <c r="BE21" s="91"/>
      <c r="BF21" s="92"/>
      <c r="BG21" s="33">
        <f t="shared" si="2"/>
        <v>0</v>
      </c>
      <c r="BH21" s="27"/>
      <c r="BI21" s="27"/>
      <c r="BJ21" s="27"/>
    </row>
    <row r="22" ht="15.75" customHeight="1" spans="1:62">
      <c r="A22" s="29"/>
      <c r="B22" s="29"/>
      <c r="C22" s="29"/>
      <c r="D22" s="33">
        <v>13</v>
      </c>
      <c r="E22" s="86">
        <v>46222</v>
      </c>
      <c r="F22" s="87" t="s">
        <v>2</v>
      </c>
      <c r="G22" s="87" t="s">
        <v>4093</v>
      </c>
      <c r="H22" s="87" t="s">
        <v>4094</v>
      </c>
      <c r="I22" s="33"/>
      <c r="J22" s="27" t="str">
        <f t="shared" si="0"/>
        <v>Maglalang, Marilyn</v>
      </c>
      <c r="K22" s="87" t="s">
        <v>57</v>
      </c>
      <c r="L22" s="32"/>
      <c r="M22" s="32"/>
      <c r="N22" s="32"/>
      <c r="O22" s="32"/>
      <c r="P22" s="32"/>
      <c r="Q22" s="34"/>
      <c r="R22" s="96">
        <v>49</v>
      </c>
      <c r="S22" s="27"/>
      <c r="T22" s="27"/>
      <c r="U22" s="27"/>
      <c r="V22" s="89" t="s">
        <v>4095</v>
      </c>
      <c r="W22" s="30"/>
      <c r="X22" s="33"/>
      <c r="Y22" s="36"/>
      <c r="Z22" s="37"/>
      <c r="AA22" s="27"/>
      <c r="AB22" s="27"/>
      <c r="AC22" s="27"/>
      <c r="AD22" s="27"/>
      <c r="AE22" s="27"/>
      <c r="AF22" s="27"/>
      <c r="AG22" s="90" t="b">
        <v>0</v>
      </c>
      <c r="AH22" s="91" t="b">
        <v>0</v>
      </c>
      <c r="AI22" s="91" t="b">
        <v>1</v>
      </c>
      <c r="AJ22" s="92" t="b">
        <v>0</v>
      </c>
      <c r="AK22" s="90"/>
      <c r="AL22" s="91"/>
      <c r="AM22" s="91"/>
      <c r="AN22" s="92"/>
      <c r="AO22" s="90"/>
      <c r="AP22" s="91"/>
      <c r="AQ22" s="91"/>
      <c r="AR22" s="92"/>
      <c r="AS22" s="90"/>
      <c r="AT22" s="91"/>
      <c r="AU22" s="91"/>
      <c r="AV22" s="92"/>
      <c r="AW22" s="90"/>
      <c r="AX22" s="91"/>
      <c r="AY22" s="93"/>
      <c r="AZ22" s="91"/>
      <c r="BA22" s="92"/>
      <c r="BB22" s="90"/>
      <c r="BC22" s="91"/>
      <c r="BD22" s="93"/>
      <c r="BE22" s="91"/>
      <c r="BF22" s="92"/>
      <c r="BG22" s="33">
        <f t="shared" si="2"/>
        <v>0</v>
      </c>
      <c r="BH22" s="27"/>
      <c r="BI22" s="27"/>
      <c r="BJ22" s="27"/>
    </row>
    <row r="23" ht="15.75" customHeight="1" spans="1:62">
      <c r="A23" s="29"/>
      <c r="B23" s="29"/>
      <c r="C23" s="29"/>
      <c r="D23" s="33">
        <v>14</v>
      </c>
      <c r="E23" s="86">
        <v>46222</v>
      </c>
      <c r="F23" s="87" t="s">
        <v>4061</v>
      </c>
      <c r="G23" s="87" t="s">
        <v>4093</v>
      </c>
      <c r="H23" s="87" t="s">
        <v>4096</v>
      </c>
      <c r="I23" s="33"/>
      <c r="J23" s="27" t="str">
        <f t="shared" si="0"/>
        <v>Maglalang, Shalom Jed</v>
      </c>
      <c r="K23" s="87" t="s">
        <v>1642</v>
      </c>
      <c r="L23" s="32"/>
      <c r="M23" s="32"/>
      <c r="N23" s="32"/>
      <c r="O23" s="32"/>
      <c r="P23" s="32"/>
      <c r="Q23" s="34"/>
      <c r="R23" s="88" t="str">
        <f ca="1">IF(Q23="","",DATEDIF(Q23,TODAY(),"Y"))</f>
        <v/>
      </c>
      <c r="S23" s="27"/>
      <c r="T23" s="27"/>
      <c r="U23" s="27"/>
      <c r="V23" s="89" t="s">
        <v>4095</v>
      </c>
      <c r="W23" s="30"/>
      <c r="X23" s="33"/>
      <c r="Y23" s="36"/>
      <c r="Z23" s="37"/>
      <c r="AA23" s="27"/>
      <c r="AB23" s="27"/>
      <c r="AC23" s="27"/>
      <c r="AD23" s="27"/>
      <c r="AE23" s="27"/>
      <c r="AF23" s="27"/>
      <c r="AG23" s="90" t="b">
        <v>0</v>
      </c>
      <c r="AH23" s="91" t="b">
        <v>0</v>
      </c>
      <c r="AI23" s="91" t="b">
        <v>1</v>
      </c>
      <c r="AJ23" s="92" t="b">
        <v>0</v>
      </c>
      <c r="AK23" s="90"/>
      <c r="AL23" s="91"/>
      <c r="AM23" s="91"/>
      <c r="AN23" s="92"/>
      <c r="AO23" s="90"/>
      <c r="AP23" s="91"/>
      <c r="AQ23" s="91"/>
      <c r="AR23" s="92"/>
      <c r="AS23" s="90"/>
      <c r="AT23" s="91"/>
      <c r="AU23" s="91"/>
      <c r="AV23" s="92"/>
      <c r="AW23" s="90"/>
      <c r="AX23" s="91"/>
      <c r="AY23" s="93"/>
      <c r="AZ23" s="91"/>
      <c r="BA23" s="92"/>
      <c r="BB23" s="90"/>
      <c r="BC23" s="91"/>
      <c r="BD23" s="93"/>
      <c r="BE23" s="91"/>
      <c r="BF23" s="92"/>
      <c r="BG23" s="33">
        <f t="shared" si="2"/>
        <v>0</v>
      </c>
      <c r="BH23" s="27"/>
      <c r="BI23" s="27"/>
      <c r="BJ23" s="27"/>
    </row>
    <row r="24" ht="15.75" customHeight="1" spans="1:62">
      <c r="A24" s="29"/>
      <c r="B24" s="29"/>
      <c r="C24" s="29"/>
      <c r="D24" s="33">
        <v>15</v>
      </c>
      <c r="E24" s="86">
        <v>46222</v>
      </c>
      <c r="F24" s="87" t="s">
        <v>4061</v>
      </c>
      <c r="G24" s="87" t="s">
        <v>2209</v>
      </c>
      <c r="H24" s="87" t="s">
        <v>4097</v>
      </c>
      <c r="I24" s="33"/>
      <c r="J24" s="27" t="str">
        <f t="shared" si="0"/>
        <v>Antonio, Arjelyn</v>
      </c>
      <c r="K24" s="87" t="s">
        <v>57</v>
      </c>
      <c r="L24" s="32"/>
      <c r="M24" s="32"/>
      <c r="N24" s="32"/>
      <c r="O24" s="87" t="s">
        <v>4098</v>
      </c>
      <c r="P24" s="27"/>
      <c r="Q24" s="34"/>
      <c r="R24" s="96">
        <v>24</v>
      </c>
      <c r="S24" s="27"/>
      <c r="T24" s="27"/>
      <c r="U24" s="27"/>
      <c r="V24" s="89" t="s">
        <v>4099</v>
      </c>
      <c r="W24" s="30"/>
      <c r="X24" s="33"/>
      <c r="Y24" s="36"/>
      <c r="Z24" s="37"/>
      <c r="AA24" s="27"/>
      <c r="AB24" s="27"/>
      <c r="AC24" s="27"/>
      <c r="AD24" s="27"/>
      <c r="AE24" s="27"/>
      <c r="AF24" s="27"/>
      <c r="AG24" s="90" t="b">
        <v>0</v>
      </c>
      <c r="AH24" s="91" t="b">
        <v>0</v>
      </c>
      <c r="AI24" s="91" t="b">
        <v>1</v>
      </c>
      <c r="AJ24" s="92" t="b">
        <v>0</v>
      </c>
      <c r="AK24" s="90"/>
      <c r="AL24" s="91"/>
      <c r="AM24" s="91"/>
      <c r="AN24" s="92"/>
      <c r="AO24" s="90"/>
      <c r="AP24" s="91"/>
      <c r="AQ24" s="91"/>
      <c r="AR24" s="92"/>
      <c r="AS24" s="90"/>
      <c r="AT24" s="91"/>
      <c r="AU24" s="91"/>
      <c r="AV24" s="92"/>
      <c r="AW24" s="90"/>
      <c r="AX24" s="91"/>
      <c r="AY24" s="93"/>
      <c r="AZ24" s="91"/>
      <c r="BA24" s="92"/>
      <c r="BB24" s="90"/>
      <c r="BC24" s="91"/>
      <c r="BD24" s="93"/>
      <c r="BE24" s="91"/>
      <c r="BF24" s="92"/>
      <c r="BG24" s="33">
        <f t="shared" si="2"/>
        <v>0</v>
      </c>
      <c r="BH24" s="27"/>
      <c r="BI24" s="27"/>
      <c r="BJ24" s="27"/>
    </row>
    <row r="25" ht="15.75" customHeight="1" spans="1:62">
      <c r="A25" s="29"/>
      <c r="B25" s="29"/>
      <c r="C25" s="29"/>
      <c r="D25" s="33">
        <v>16</v>
      </c>
      <c r="E25" s="86">
        <v>46222</v>
      </c>
      <c r="F25" s="31"/>
      <c r="G25" s="87" t="s">
        <v>4100</v>
      </c>
      <c r="H25" s="87" t="s">
        <v>4101</v>
      </c>
      <c r="I25" s="33"/>
      <c r="J25" s="27" t="str">
        <f t="shared" si="0"/>
        <v>Augustin, Aprilin</v>
      </c>
      <c r="K25" s="87" t="s">
        <v>57</v>
      </c>
      <c r="L25" s="32"/>
      <c r="M25" s="32"/>
      <c r="N25" s="32"/>
      <c r="O25" s="32"/>
      <c r="P25" s="27"/>
      <c r="Q25" s="34"/>
      <c r="R25" s="88" t="str">
        <f ca="1" t="shared" ref="R25:R352" si="4">IF(Q25="","",DATEDIF(Q25,TODAY(),"Y"))</f>
        <v/>
      </c>
      <c r="S25" s="27"/>
      <c r="T25" s="27"/>
      <c r="U25" s="27"/>
      <c r="V25" s="35"/>
      <c r="W25" s="30"/>
      <c r="X25" s="33"/>
      <c r="Y25" s="36"/>
      <c r="Z25" s="37"/>
      <c r="AA25" s="27"/>
      <c r="AB25" s="27"/>
      <c r="AC25" s="27"/>
      <c r="AD25" s="27"/>
      <c r="AE25" s="27"/>
      <c r="AF25" s="27"/>
      <c r="AG25" s="90" t="b">
        <v>0</v>
      </c>
      <c r="AH25" s="91" t="b">
        <v>0</v>
      </c>
      <c r="AI25" s="91" t="b">
        <v>1</v>
      </c>
      <c r="AJ25" s="92" t="b">
        <v>0</v>
      </c>
      <c r="AK25" s="90"/>
      <c r="AL25" s="91"/>
      <c r="AM25" s="91"/>
      <c r="AN25" s="92"/>
      <c r="AO25" s="90"/>
      <c r="AP25" s="91"/>
      <c r="AQ25" s="91"/>
      <c r="AR25" s="92"/>
      <c r="AS25" s="90"/>
      <c r="AT25" s="91"/>
      <c r="AU25" s="91"/>
      <c r="AV25" s="92"/>
      <c r="AW25" s="90"/>
      <c r="AX25" s="91"/>
      <c r="AY25" s="93"/>
      <c r="AZ25" s="91"/>
      <c r="BA25" s="92"/>
      <c r="BB25" s="90"/>
      <c r="BC25" s="91"/>
      <c r="BD25" s="93"/>
      <c r="BE25" s="91"/>
      <c r="BF25" s="92"/>
      <c r="BG25" s="33">
        <f t="shared" si="2"/>
        <v>0</v>
      </c>
      <c r="BH25" s="27"/>
      <c r="BI25" s="27"/>
      <c r="BJ25" s="27"/>
    </row>
    <row r="26" ht="15.75" customHeight="1" spans="1:62">
      <c r="A26" s="29"/>
      <c r="B26" s="29"/>
      <c r="C26" s="29"/>
      <c r="D26" s="33">
        <v>17</v>
      </c>
      <c r="E26" s="86">
        <v>46222</v>
      </c>
      <c r="F26" s="31"/>
      <c r="G26" s="87" t="s">
        <v>4102</v>
      </c>
      <c r="H26" s="87" t="s">
        <v>4103</v>
      </c>
      <c r="I26" s="33"/>
      <c r="J26" s="27" t="str">
        <f t="shared" si="0"/>
        <v>Ocampo, Aileene</v>
      </c>
      <c r="K26" s="87" t="s">
        <v>57</v>
      </c>
      <c r="L26" s="32"/>
      <c r="M26" s="32"/>
      <c r="N26" s="32"/>
      <c r="O26" s="32"/>
      <c r="P26" s="32"/>
      <c r="Q26" s="34"/>
      <c r="R26" s="88" t="str">
        <f ca="1" t="shared" si="4"/>
        <v/>
      </c>
      <c r="S26" s="27"/>
      <c r="T26" s="27"/>
      <c r="U26" s="27"/>
      <c r="V26" s="89" t="s">
        <v>4104</v>
      </c>
      <c r="W26" s="30"/>
      <c r="X26" s="33"/>
      <c r="Y26" s="36"/>
      <c r="Z26" s="37"/>
      <c r="AA26" s="27"/>
      <c r="AB26" s="27"/>
      <c r="AC26" s="27"/>
      <c r="AD26" s="27"/>
      <c r="AE26" s="27"/>
      <c r="AF26" s="27"/>
      <c r="AG26" s="90" t="b">
        <v>0</v>
      </c>
      <c r="AH26" s="91" t="b">
        <v>0</v>
      </c>
      <c r="AI26" s="91" t="b">
        <v>1</v>
      </c>
      <c r="AJ26" s="92" t="b">
        <v>0</v>
      </c>
      <c r="AK26" s="90"/>
      <c r="AL26" s="91"/>
      <c r="AM26" s="91"/>
      <c r="AN26" s="92"/>
      <c r="AO26" s="90"/>
      <c r="AP26" s="91"/>
      <c r="AQ26" s="91"/>
      <c r="AR26" s="92"/>
      <c r="AS26" s="90"/>
      <c r="AT26" s="91"/>
      <c r="AU26" s="91"/>
      <c r="AV26" s="92"/>
      <c r="AW26" s="90"/>
      <c r="AX26" s="91"/>
      <c r="AY26" s="93"/>
      <c r="AZ26" s="91"/>
      <c r="BA26" s="92"/>
      <c r="BB26" s="90"/>
      <c r="BC26" s="91"/>
      <c r="BD26" s="93"/>
      <c r="BE26" s="91"/>
      <c r="BF26" s="92"/>
      <c r="BG26" s="33">
        <f t="shared" si="2"/>
        <v>0</v>
      </c>
      <c r="BH26" s="27"/>
      <c r="BI26" s="27"/>
      <c r="BJ26" s="27"/>
    </row>
    <row r="27" ht="15.75" customHeight="1" spans="1:62">
      <c r="A27" s="29"/>
      <c r="B27" s="29"/>
      <c r="C27" s="29"/>
      <c r="D27" s="33">
        <v>18</v>
      </c>
      <c r="E27" s="86">
        <v>46222</v>
      </c>
      <c r="F27" s="31"/>
      <c r="G27" s="87" t="s">
        <v>4102</v>
      </c>
      <c r="H27" s="87" t="s">
        <v>4105</v>
      </c>
      <c r="I27" s="33"/>
      <c r="J27" s="27" t="str">
        <f t="shared" si="0"/>
        <v>Ocampo, Duchess Hannah</v>
      </c>
      <c r="K27" s="87" t="s">
        <v>57</v>
      </c>
      <c r="L27" s="32"/>
      <c r="M27" s="32"/>
      <c r="N27" s="32"/>
      <c r="O27" s="32"/>
      <c r="P27" s="32"/>
      <c r="Q27" s="34"/>
      <c r="R27" s="88" t="str">
        <f ca="1" t="shared" si="4"/>
        <v/>
      </c>
      <c r="S27" s="27"/>
      <c r="T27" s="27"/>
      <c r="U27" s="27"/>
      <c r="V27" s="89" t="s">
        <v>4104</v>
      </c>
      <c r="W27" s="30"/>
      <c r="X27" s="33"/>
      <c r="Y27" s="36"/>
      <c r="Z27" s="37"/>
      <c r="AA27" s="27"/>
      <c r="AB27" s="27"/>
      <c r="AC27" s="27"/>
      <c r="AD27" s="27"/>
      <c r="AE27" s="27"/>
      <c r="AF27" s="27"/>
      <c r="AG27" s="90" t="b">
        <v>0</v>
      </c>
      <c r="AH27" s="91" t="b">
        <v>0</v>
      </c>
      <c r="AI27" s="91" t="b">
        <v>1</v>
      </c>
      <c r="AJ27" s="92" t="b">
        <v>0</v>
      </c>
      <c r="AK27" s="90"/>
      <c r="AL27" s="91"/>
      <c r="AM27" s="91"/>
      <c r="AN27" s="92"/>
      <c r="AO27" s="90"/>
      <c r="AP27" s="91"/>
      <c r="AQ27" s="91"/>
      <c r="AR27" s="92"/>
      <c r="AS27" s="90"/>
      <c r="AT27" s="91"/>
      <c r="AU27" s="91"/>
      <c r="AV27" s="92"/>
      <c r="AW27" s="90"/>
      <c r="AX27" s="91"/>
      <c r="AY27" s="93"/>
      <c r="AZ27" s="91"/>
      <c r="BA27" s="92"/>
      <c r="BB27" s="90"/>
      <c r="BC27" s="91"/>
      <c r="BD27" s="93"/>
      <c r="BE27" s="91"/>
      <c r="BF27" s="92"/>
      <c r="BG27" s="33">
        <f t="shared" si="2"/>
        <v>0</v>
      </c>
      <c r="BH27" s="27"/>
      <c r="BI27" s="27"/>
      <c r="BJ27" s="27"/>
    </row>
    <row r="28" ht="15.75" customHeight="1" spans="1:62">
      <c r="A28" s="29"/>
      <c r="B28" s="29"/>
      <c r="C28" s="29"/>
      <c r="D28" s="33">
        <v>19</v>
      </c>
      <c r="E28" s="86">
        <v>46222</v>
      </c>
      <c r="F28" s="31"/>
      <c r="G28" s="87" t="s">
        <v>4106</v>
      </c>
      <c r="H28" s="87" t="s">
        <v>4107</v>
      </c>
      <c r="I28" s="33"/>
      <c r="J28" s="27" t="str">
        <f t="shared" si="0"/>
        <v>Buan, Abigail</v>
      </c>
      <c r="K28" s="87" t="s">
        <v>57</v>
      </c>
      <c r="L28" s="32"/>
      <c r="M28" s="32"/>
      <c r="N28" s="32"/>
      <c r="O28" s="32"/>
      <c r="P28" s="32"/>
      <c r="Q28" s="34"/>
      <c r="R28" s="88" t="str">
        <f ca="1" t="shared" si="4"/>
        <v/>
      </c>
      <c r="S28" s="27"/>
      <c r="T28" s="27"/>
      <c r="U28" s="27"/>
      <c r="V28" s="89" t="s">
        <v>4104</v>
      </c>
      <c r="W28" s="30"/>
      <c r="X28" s="33"/>
      <c r="Y28" s="36"/>
      <c r="Z28" s="37"/>
      <c r="AA28" s="27"/>
      <c r="AB28" s="27"/>
      <c r="AC28" s="27"/>
      <c r="AD28" s="27"/>
      <c r="AE28" s="27"/>
      <c r="AF28" s="27"/>
      <c r="AG28" s="90" t="b">
        <v>0</v>
      </c>
      <c r="AH28" s="91" t="b">
        <v>0</v>
      </c>
      <c r="AI28" s="91" t="b">
        <v>1</v>
      </c>
      <c r="AJ28" s="92" t="b">
        <v>0</v>
      </c>
      <c r="AK28" s="90"/>
      <c r="AL28" s="91"/>
      <c r="AM28" s="91"/>
      <c r="AN28" s="92"/>
      <c r="AO28" s="90"/>
      <c r="AP28" s="91"/>
      <c r="AQ28" s="91"/>
      <c r="AR28" s="92"/>
      <c r="AS28" s="90"/>
      <c r="AT28" s="91"/>
      <c r="AU28" s="91"/>
      <c r="AV28" s="92"/>
      <c r="AW28" s="90"/>
      <c r="AX28" s="91"/>
      <c r="AY28" s="93"/>
      <c r="AZ28" s="91"/>
      <c r="BA28" s="92"/>
      <c r="BB28" s="90"/>
      <c r="BC28" s="91"/>
      <c r="BD28" s="93"/>
      <c r="BE28" s="91"/>
      <c r="BF28" s="92"/>
      <c r="BG28" s="33">
        <f t="shared" si="2"/>
        <v>0</v>
      </c>
      <c r="BH28" s="27"/>
      <c r="BI28" s="27"/>
      <c r="BJ28" s="27"/>
    </row>
    <row r="29" ht="15.75" customHeight="1" spans="1:62">
      <c r="A29" s="29"/>
      <c r="B29" s="29"/>
      <c r="C29" s="29"/>
      <c r="D29" s="33">
        <v>20</v>
      </c>
      <c r="E29" s="86">
        <v>46222</v>
      </c>
      <c r="F29" s="31"/>
      <c r="G29" s="87" t="s">
        <v>4106</v>
      </c>
      <c r="H29" s="87" t="s">
        <v>4108</v>
      </c>
      <c r="I29" s="33"/>
      <c r="J29" s="27" t="str">
        <f t="shared" si="0"/>
        <v>Buan, Samantha Joseph</v>
      </c>
      <c r="K29" s="87" t="s">
        <v>57</v>
      </c>
      <c r="L29" s="32"/>
      <c r="M29" s="32"/>
      <c r="N29" s="32"/>
      <c r="O29" s="32"/>
      <c r="P29" s="32"/>
      <c r="Q29" s="34"/>
      <c r="R29" s="88" t="str">
        <f ca="1" t="shared" si="4"/>
        <v/>
      </c>
      <c r="S29" s="27"/>
      <c r="T29" s="27"/>
      <c r="U29" s="27"/>
      <c r="V29" s="89" t="s">
        <v>4104</v>
      </c>
      <c r="W29" s="30"/>
      <c r="X29" s="33"/>
      <c r="Y29" s="36"/>
      <c r="Z29" s="37"/>
      <c r="AA29" s="27"/>
      <c r="AB29" s="27"/>
      <c r="AC29" s="27"/>
      <c r="AD29" s="27"/>
      <c r="AE29" s="27"/>
      <c r="AF29" s="27"/>
      <c r="AG29" s="90" t="b">
        <v>0</v>
      </c>
      <c r="AH29" s="91" t="b">
        <v>0</v>
      </c>
      <c r="AI29" s="91" t="b">
        <v>1</v>
      </c>
      <c r="AJ29" s="92" t="b">
        <v>0</v>
      </c>
      <c r="AK29" s="90"/>
      <c r="AL29" s="91"/>
      <c r="AM29" s="91"/>
      <c r="AN29" s="92"/>
      <c r="AO29" s="90"/>
      <c r="AP29" s="91"/>
      <c r="AQ29" s="91"/>
      <c r="AR29" s="92"/>
      <c r="AS29" s="90"/>
      <c r="AT29" s="91"/>
      <c r="AU29" s="91"/>
      <c r="AV29" s="92"/>
      <c r="AW29" s="90"/>
      <c r="AX29" s="91"/>
      <c r="AY29" s="93"/>
      <c r="AZ29" s="91"/>
      <c r="BA29" s="92"/>
      <c r="BB29" s="90"/>
      <c r="BC29" s="91"/>
      <c r="BD29" s="93"/>
      <c r="BE29" s="91"/>
      <c r="BF29" s="92"/>
      <c r="BG29" s="33">
        <f t="shared" si="2"/>
        <v>0</v>
      </c>
      <c r="BH29" s="27"/>
      <c r="BI29" s="27"/>
      <c r="BJ29" s="27"/>
    </row>
    <row r="30" ht="15.75" customHeight="1" spans="1:62">
      <c r="A30" s="29"/>
      <c r="B30" s="29"/>
      <c r="C30" s="29"/>
      <c r="D30" s="33">
        <v>21</v>
      </c>
      <c r="E30" s="86">
        <v>46222</v>
      </c>
      <c r="F30" s="31"/>
      <c r="G30" s="87" t="s">
        <v>4109</v>
      </c>
      <c r="H30" s="87" t="s">
        <v>2840</v>
      </c>
      <c r="I30" s="33"/>
      <c r="J30" s="27" t="str">
        <f t="shared" si="0"/>
        <v>Ladrido, Ruth</v>
      </c>
      <c r="K30" s="87" t="s">
        <v>57</v>
      </c>
      <c r="L30" s="32"/>
      <c r="M30" s="32"/>
      <c r="N30" s="32"/>
      <c r="O30" s="32"/>
      <c r="P30" s="27"/>
      <c r="Q30" s="34"/>
      <c r="R30" s="88" t="str">
        <f ca="1" t="shared" si="4"/>
        <v/>
      </c>
      <c r="S30" s="27"/>
      <c r="T30" s="27"/>
      <c r="U30" s="27"/>
      <c r="V30" s="89" t="s">
        <v>4104</v>
      </c>
      <c r="W30" s="30"/>
      <c r="X30" s="33"/>
      <c r="Y30" s="36"/>
      <c r="Z30" s="37"/>
      <c r="AA30" s="27"/>
      <c r="AB30" s="27"/>
      <c r="AC30" s="27"/>
      <c r="AD30" s="27"/>
      <c r="AE30" s="27"/>
      <c r="AF30" s="27"/>
      <c r="AG30" s="90" t="b">
        <v>0</v>
      </c>
      <c r="AH30" s="91" t="b">
        <v>0</v>
      </c>
      <c r="AI30" s="91" t="b">
        <v>1</v>
      </c>
      <c r="AJ30" s="92" t="b">
        <v>0</v>
      </c>
      <c r="AK30" s="90"/>
      <c r="AL30" s="91"/>
      <c r="AM30" s="91"/>
      <c r="AN30" s="92"/>
      <c r="AO30" s="90"/>
      <c r="AP30" s="91"/>
      <c r="AQ30" s="91"/>
      <c r="AR30" s="92"/>
      <c r="AS30" s="90"/>
      <c r="AT30" s="91"/>
      <c r="AU30" s="91"/>
      <c r="AV30" s="92"/>
      <c r="AW30" s="90"/>
      <c r="AX30" s="91"/>
      <c r="AY30" s="93"/>
      <c r="AZ30" s="91"/>
      <c r="BA30" s="92"/>
      <c r="BB30" s="90"/>
      <c r="BC30" s="91"/>
      <c r="BD30" s="93"/>
      <c r="BE30" s="91"/>
      <c r="BF30" s="92"/>
      <c r="BG30" s="33">
        <f t="shared" si="2"/>
        <v>0</v>
      </c>
      <c r="BH30" s="27"/>
      <c r="BI30" s="27"/>
      <c r="BJ30" s="27"/>
    </row>
    <row r="31" ht="15.75" customHeight="1" spans="1:62">
      <c r="A31" s="29"/>
      <c r="B31" s="29"/>
      <c r="C31" s="29"/>
      <c r="D31" s="33">
        <v>22</v>
      </c>
      <c r="E31" s="86">
        <v>46222</v>
      </c>
      <c r="F31" s="31"/>
      <c r="G31" s="87" t="s">
        <v>4109</v>
      </c>
      <c r="H31" s="87" t="s">
        <v>4110</v>
      </c>
      <c r="I31" s="33"/>
      <c r="J31" s="27" t="str">
        <f t="shared" si="0"/>
        <v>Ladrido, Austin Raphael</v>
      </c>
      <c r="K31" s="87" t="s">
        <v>1642</v>
      </c>
      <c r="L31" s="32"/>
      <c r="M31" s="32"/>
      <c r="N31" s="32"/>
      <c r="O31" s="32"/>
      <c r="P31" s="32"/>
      <c r="Q31" s="34"/>
      <c r="R31" s="88" t="str">
        <f ca="1" t="shared" si="4"/>
        <v/>
      </c>
      <c r="S31" s="27"/>
      <c r="T31" s="27"/>
      <c r="U31" s="27"/>
      <c r="V31" s="89" t="s">
        <v>4104</v>
      </c>
      <c r="W31" s="30"/>
      <c r="X31" s="33"/>
      <c r="Y31" s="36"/>
      <c r="Z31" s="37"/>
      <c r="AA31" s="27"/>
      <c r="AB31" s="27"/>
      <c r="AC31" s="27"/>
      <c r="AD31" s="27"/>
      <c r="AE31" s="27"/>
      <c r="AF31" s="27"/>
      <c r="AG31" s="90" t="b">
        <v>0</v>
      </c>
      <c r="AH31" s="91" t="b">
        <v>0</v>
      </c>
      <c r="AI31" s="91" t="b">
        <v>1</v>
      </c>
      <c r="AJ31" s="92" t="b">
        <v>0</v>
      </c>
      <c r="AK31" s="90"/>
      <c r="AL31" s="91"/>
      <c r="AM31" s="91"/>
      <c r="AN31" s="92"/>
      <c r="AO31" s="90"/>
      <c r="AP31" s="91"/>
      <c r="AQ31" s="91"/>
      <c r="AR31" s="92"/>
      <c r="AS31" s="90"/>
      <c r="AT31" s="91"/>
      <c r="AU31" s="91"/>
      <c r="AV31" s="92"/>
      <c r="AW31" s="90"/>
      <c r="AX31" s="91"/>
      <c r="AY31" s="93"/>
      <c r="AZ31" s="91"/>
      <c r="BA31" s="92"/>
      <c r="BB31" s="90"/>
      <c r="BC31" s="91"/>
      <c r="BD31" s="93"/>
      <c r="BE31" s="91"/>
      <c r="BF31" s="92"/>
      <c r="BG31" s="33">
        <f t="shared" si="2"/>
        <v>0</v>
      </c>
      <c r="BH31" s="27"/>
      <c r="BI31" s="27"/>
      <c r="BJ31" s="27"/>
    </row>
    <row r="32" ht="15.75" customHeight="1" spans="1:62">
      <c r="A32" s="29"/>
      <c r="B32" s="29"/>
      <c r="C32" s="29"/>
      <c r="D32" s="33">
        <v>23</v>
      </c>
      <c r="E32" s="86">
        <v>46222</v>
      </c>
      <c r="F32" s="31"/>
      <c r="G32" s="87" t="s">
        <v>4109</v>
      </c>
      <c r="H32" s="87" t="s">
        <v>4111</v>
      </c>
      <c r="I32" s="33"/>
      <c r="J32" s="27" t="str">
        <f t="shared" si="0"/>
        <v>Ladrido, Athynah Ruchie</v>
      </c>
      <c r="K32" s="87" t="s">
        <v>57</v>
      </c>
      <c r="L32" s="32"/>
      <c r="M32" s="32"/>
      <c r="N32" s="32"/>
      <c r="O32" s="32"/>
      <c r="P32" s="32"/>
      <c r="Q32" s="34"/>
      <c r="R32" s="88" t="str">
        <f ca="1" t="shared" si="4"/>
        <v/>
      </c>
      <c r="S32" s="27"/>
      <c r="T32" s="27"/>
      <c r="U32" s="27"/>
      <c r="V32" s="89" t="s">
        <v>4104</v>
      </c>
      <c r="W32" s="30"/>
      <c r="X32" s="33"/>
      <c r="Y32" s="36"/>
      <c r="Z32" s="37"/>
      <c r="AA32" s="27"/>
      <c r="AB32" s="27"/>
      <c r="AC32" s="27"/>
      <c r="AD32" s="27"/>
      <c r="AE32" s="27"/>
      <c r="AF32" s="27"/>
      <c r="AG32" s="90" t="b">
        <v>0</v>
      </c>
      <c r="AH32" s="91" t="b">
        <v>0</v>
      </c>
      <c r="AI32" s="91" t="b">
        <v>1</v>
      </c>
      <c r="AJ32" s="92" t="b">
        <v>0</v>
      </c>
      <c r="AK32" s="90"/>
      <c r="AL32" s="91"/>
      <c r="AM32" s="91"/>
      <c r="AN32" s="92"/>
      <c r="AO32" s="90"/>
      <c r="AP32" s="91"/>
      <c r="AQ32" s="91"/>
      <c r="AR32" s="92"/>
      <c r="AS32" s="90"/>
      <c r="AT32" s="91"/>
      <c r="AU32" s="91"/>
      <c r="AV32" s="92"/>
      <c r="AW32" s="90"/>
      <c r="AX32" s="91"/>
      <c r="AY32" s="93"/>
      <c r="AZ32" s="91"/>
      <c r="BA32" s="92"/>
      <c r="BB32" s="90"/>
      <c r="BC32" s="91"/>
      <c r="BD32" s="93"/>
      <c r="BE32" s="91"/>
      <c r="BF32" s="92"/>
      <c r="BG32" s="33">
        <f t="shared" si="2"/>
        <v>0</v>
      </c>
      <c r="BH32" s="27"/>
      <c r="BI32" s="27"/>
      <c r="BJ32" s="27"/>
    </row>
    <row r="33" ht="15.75" customHeight="1" spans="1:62">
      <c r="A33" s="29"/>
      <c r="B33" s="29"/>
      <c r="C33" s="29"/>
      <c r="D33" s="33">
        <v>24</v>
      </c>
      <c r="E33" s="86">
        <v>46222</v>
      </c>
      <c r="F33" s="87" t="s">
        <v>3</v>
      </c>
      <c r="G33" s="87" t="s">
        <v>4112</v>
      </c>
      <c r="H33" s="87" t="s">
        <v>4113</v>
      </c>
      <c r="I33" s="33"/>
      <c r="J33" s="27" t="str">
        <f t="shared" si="0"/>
        <v>Palomara, Ptr. Raynon</v>
      </c>
      <c r="K33" s="87" t="s">
        <v>1642</v>
      </c>
      <c r="L33" s="32"/>
      <c r="M33" s="32"/>
      <c r="N33" s="32"/>
      <c r="O33" s="32"/>
      <c r="P33" s="32"/>
      <c r="Q33" s="34"/>
      <c r="R33" s="88" t="str">
        <f ca="1" t="shared" si="4"/>
        <v/>
      </c>
      <c r="S33" s="27"/>
      <c r="T33" s="27"/>
      <c r="U33" s="27"/>
      <c r="V33" s="35"/>
      <c r="W33" s="30"/>
      <c r="X33" s="33"/>
      <c r="Y33" s="36"/>
      <c r="Z33" s="37"/>
      <c r="AA33" s="27"/>
      <c r="AB33" s="27"/>
      <c r="AC33" s="27"/>
      <c r="AD33" s="27"/>
      <c r="AE33" s="27"/>
      <c r="AF33" s="27"/>
      <c r="AG33" s="90" t="b">
        <v>0</v>
      </c>
      <c r="AH33" s="91" t="b">
        <v>0</v>
      </c>
      <c r="AI33" s="91" t="b">
        <v>1</v>
      </c>
      <c r="AJ33" s="92" t="b">
        <v>0</v>
      </c>
      <c r="AK33" s="90"/>
      <c r="AL33" s="91"/>
      <c r="AM33" s="91"/>
      <c r="AN33" s="92"/>
      <c r="AO33" s="90"/>
      <c r="AP33" s="91"/>
      <c r="AQ33" s="91"/>
      <c r="AR33" s="92"/>
      <c r="AS33" s="90"/>
      <c r="AT33" s="91"/>
      <c r="AU33" s="91"/>
      <c r="AV33" s="92"/>
      <c r="AW33" s="90"/>
      <c r="AX33" s="91"/>
      <c r="AY33" s="93"/>
      <c r="AZ33" s="91"/>
      <c r="BA33" s="92"/>
      <c r="BB33" s="90"/>
      <c r="BC33" s="91"/>
      <c r="BD33" s="93"/>
      <c r="BE33" s="91"/>
      <c r="BF33" s="92"/>
      <c r="BG33" s="33">
        <f t="shared" si="2"/>
        <v>0</v>
      </c>
      <c r="BH33" s="27"/>
      <c r="BI33" s="27"/>
      <c r="BJ33" s="27"/>
    </row>
    <row r="34" ht="15.75" customHeight="1" spans="1:62">
      <c r="A34" s="29"/>
      <c r="B34" s="29"/>
      <c r="C34" s="29"/>
      <c r="D34" s="33">
        <v>25</v>
      </c>
      <c r="E34" s="86">
        <v>46222</v>
      </c>
      <c r="F34" s="87" t="s">
        <v>2</v>
      </c>
      <c r="G34" s="87" t="s">
        <v>4112</v>
      </c>
      <c r="H34" s="87" t="s">
        <v>4114</v>
      </c>
      <c r="I34" s="33"/>
      <c r="J34" s="27" t="str">
        <f t="shared" si="0"/>
        <v>Palomara, Jovilyn</v>
      </c>
      <c r="K34" s="87" t="s">
        <v>57</v>
      </c>
      <c r="L34" s="32"/>
      <c r="M34" s="32"/>
      <c r="N34" s="32"/>
      <c r="O34" s="32"/>
      <c r="P34" s="32"/>
      <c r="Q34" s="34"/>
      <c r="R34" s="88" t="str">
        <f ca="1" t="shared" si="4"/>
        <v/>
      </c>
      <c r="S34" s="27"/>
      <c r="T34" s="27"/>
      <c r="U34" s="27"/>
      <c r="V34" s="35"/>
      <c r="W34" s="30"/>
      <c r="X34" s="33"/>
      <c r="Y34" s="36"/>
      <c r="Z34" s="37"/>
      <c r="AA34" s="27"/>
      <c r="AB34" s="27"/>
      <c r="AC34" s="27"/>
      <c r="AD34" s="27"/>
      <c r="AE34" s="27"/>
      <c r="AF34" s="27"/>
      <c r="AG34" s="90" t="b">
        <v>0</v>
      </c>
      <c r="AH34" s="91" t="b">
        <v>0</v>
      </c>
      <c r="AI34" s="91" t="b">
        <v>1</v>
      </c>
      <c r="AJ34" s="92" t="b">
        <v>0</v>
      </c>
      <c r="AK34" s="90"/>
      <c r="AL34" s="91"/>
      <c r="AM34" s="91"/>
      <c r="AN34" s="92"/>
      <c r="AO34" s="90"/>
      <c r="AP34" s="91"/>
      <c r="AQ34" s="91"/>
      <c r="AR34" s="92"/>
      <c r="AS34" s="90"/>
      <c r="AT34" s="91"/>
      <c r="AU34" s="91"/>
      <c r="AV34" s="92"/>
      <c r="AW34" s="90"/>
      <c r="AX34" s="91"/>
      <c r="AY34" s="93"/>
      <c r="AZ34" s="91"/>
      <c r="BA34" s="92"/>
      <c r="BB34" s="90"/>
      <c r="BC34" s="91"/>
      <c r="BD34" s="93"/>
      <c r="BE34" s="91"/>
      <c r="BF34" s="92"/>
      <c r="BG34" s="33">
        <f t="shared" si="2"/>
        <v>0</v>
      </c>
      <c r="BH34" s="27"/>
      <c r="BI34" s="27"/>
      <c r="BJ34" s="27"/>
    </row>
    <row r="35" ht="15.75" customHeight="1" spans="1:62">
      <c r="A35" s="29"/>
      <c r="B35" s="29"/>
      <c r="C35" s="29"/>
      <c r="D35" s="33">
        <v>26</v>
      </c>
      <c r="E35" s="86">
        <v>46222</v>
      </c>
      <c r="F35" s="31"/>
      <c r="G35" s="87" t="s">
        <v>4112</v>
      </c>
      <c r="H35" s="87" t="s">
        <v>4115</v>
      </c>
      <c r="I35" s="33"/>
      <c r="J35" s="27" t="str">
        <f t="shared" si="0"/>
        <v>Palomara, Cristel May</v>
      </c>
      <c r="K35" s="87" t="s">
        <v>57</v>
      </c>
      <c r="L35" s="32"/>
      <c r="M35" s="32"/>
      <c r="N35" s="32"/>
      <c r="O35" s="32"/>
      <c r="P35" s="32"/>
      <c r="Q35" s="34"/>
      <c r="R35" s="88" t="str">
        <f ca="1" t="shared" si="4"/>
        <v/>
      </c>
      <c r="S35" s="27"/>
      <c r="T35" s="27"/>
      <c r="U35" s="27"/>
      <c r="V35" s="35"/>
      <c r="W35" s="30"/>
      <c r="X35" s="33"/>
      <c r="Y35" s="36"/>
      <c r="Z35" s="37"/>
      <c r="AA35" s="27"/>
      <c r="AB35" s="27"/>
      <c r="AC35" s="27"/>
      <c r="AD35" s="27"/>
      <c r="AE35" s="27"/>
      <c r="AF35" s="27"/>
      <c r="AG35" s="90" t="b">
        <v>0</v>
      </c>
      <c r="AH35" s="91" t="b">
        <v>0</v>
      </c>
      <c r="AI35" s="91" t="b">
        <v>1</v>
      </c>
      <c r="AJ35" s="92" t="b">
        <v>0</v>
      </c>
      <c r="AK35" s="90"/>
      <c r="AL35" s="91"/>
      <c r="AM35" s="91"/>
      <c r="AN35" s="92"/>
      <c r="AO35" s="90"/>
      <c r="AP35" s="91"/>
      <c r="AQ35" s="91"/>
      <c r="AR35" s="92"/>
      <c r="AS35" s="90"/>
      <c r="AT35" s="91"/>
      <c r="AU35" s="91"/>
      <c r="AV35" s="92"/>
      <c r="AW35" s="90"/>
      <c r="AX35" s="91"/>
      <c r="AY35" s="93"/>
      <c r="AZ35" s="91"/>
      <c r="BA35" s="92"/>
      <c r="BB35" s="90"/>
      <c r="BC35" s="91"/>
      <c r="BD35" s="93"/>
      <c r="BE35" s="91"/>
      <c r="BF35" s="92"/>
      <c r="BG35" s="33">
        <f t="shared" si="2"/>
        <v>0</v>
      </c>
      <c r="BH35" s="27"/>
      <c r="BI35" s="27"/>
      <c r="BJ35" s="27"/>
    </row>
    <row r="36" ht="15.75" customHeight="1" spans="1:62">
      <c r="A36" s="29"/>
      <c r="B36" s="29"/>
      <c r="C36" s="29"/>
      <c r="D36" s="33">
        <v>27</v>
      </c>
      <c r="E36" s="86">
        <v>46222</v>
      </c>
      <c r="F36" s="31"/>
      <c r="G36" s="87" t="s">
        <v>4112</v>
      </c>
      <c r="H36" s="87" t="s">
        <v>4116</v>
      </c>
      <c r="I36" s="33"/>
      <c r="J36" s="27" t="str">
        <f t="shared" si="0"/>
        <v>Palomara, Gabrielle</v>
      </c>
      <c r="K36" s="87" t="s">
        <v>57</v>
      </c>
      <c r="L36" s="32"/>
      <c r="M36" s="32"/>
      <c r="N36" s="32"/>
      <c r="O36" s="32"/>
      <c r="P36" s="32"/>
      <c r="Q36" s="34"/>
      <c r="R36" s="88" t="str">
        <f ca="1" t="shared" si="4"/>
        <v/>
      </c>
      <c r="S36" s="27"/>
      <c r="T36" s="27"/>
      <c r="U36" s="27"/>
      <c r="V36" s="87" t="s">
        <v>4117</v>
      </c>
      <c r="W36" s="30"/>
      <c r="X36" s="33"/>
      <c r="Y36" s="36"/>
      <c r="Z36" s="37"/>
      <c r="AA36" s="27"/>
      <c r="AB36" s="27"/>
      <c r="AC36" s="27"/>
      <c r="AD36" s="27"/>
      <c r="AE36" s="27"/>
      <c r="AF36" s="27"/>
      <c r="AG36" s="90" t="b">
        <v>0</v>
      </c>
      <c r="AH36" s="91" t="b">
        <v>0</v>
      </c>
      <c r="AI36" s="91" t="b">
        <v>1</v>
      </c>
      <c r="AJ36" s="92" t="b">
        <v>0</v>
      </c>
      <c r="AK36" s="90"/>
      <c r="AL36" s="91"/>
      <c r="AM36" s="91"/>
      <c r="AN36" s="92"/>
      <c r="AO36" s="90"/>
      <c r="AP36" s="91"/>
      <c r="AQ36" s="91"/>
      <c r="AR36" s="92"/>
      <c r="AS36" s="90"/>
      <c r="AT36" s="91"/>
      <c r="AU36" s="91"/>
      <c r="AV36" s="92"/>
      <c r="AW36" s="90"/>
      <c r="AX36" s="91"/>
      <c r="AY36" s="93"/>
      <c r="AZ36" s="91"/>
      <c r="BA36" s="92"/>
      <c r="BB36" s="90"/>
      <c r="BC36" s="91"/>
      <c r="BD36" s="93"/>
      <c r="BE36" s="91"/>
      <c r="BF36" s="92"/>
      <c r="BG36" s="33">
        <f t="shared" si="2"/>
        <v>0</v>
      </c>
      <c r="BH36" s="27"/>
      <c r="BI36" s="27"/>
      <c r="BJ36" s="27"/>
    </row>
    <row r="37" ht="15.75" customHeight="1" spans="1:62">
      <c r="A37" s="29"/>
      <c r="B37" s="29"/>
      <c r="C37" s="29"/>
      <c r="D37" s="33">
        <v>28</v>
      </c>
      <c r="E37" s="86">
        <v>46222</v>
      </c>
      <c r="F37" s="31"/>
      <c r="G37" s="87" t="s">
        <v>4112</v>
      </c>
      <c r="H37" s="87" t="s">
        <v>4118</v>
      </c>
      <c r="I37" s="33"/>
      <c r="J37" s="27" t="str">
        <f t="shared" si="0"/>
        <v>Palomara, Ray Arden</v>
      </c>
      <c r="K37" s="87" t="s">
        <v>1642</v>
      </c>
      <c r="L37" s="32"/>
      <c r="M37" s="32"/>
      <c r="N37" s="32"/>
      <c r="O37" s="32"/>
      <c r="P37" s="27"/>
      <c r="Q37" s="34"/>
      <c r="R37" s="88" t="str">
        <f ca="1" t="shared" si="4"/>
        <v/>
      </c>
      <c r="S37" s="27"/>
      <c r="T37" s="27"/>
      <c r="U37" s="27"/>
      <c r="V37" s="87" t="s">
        <v>4117</v>
      </c>
      <c r="W37" s="30"/>
      <c r="X37" s="33"/>
      <c r="Y37" s="36"/>
      <c r="Z37" s="37"/>
      <c r="AA37" s="27"/>
      <c r="AB37" s="27"/>
      <c r="AC37" s="27"/>
      <c r="AD37" s="27"/>
      <c r="AE37" s="27"/>
      <c r="AF37" s="27"/>
      <c r="AG37" s="90" t="b">
        <v>0</v>
      </c>
      <c r="AH37" s="91" t="b">
        <v>0</v>
      </c>
      <c r="AI37" s="91" t="b">
        <v>1</v>
      </c>
      <c r="AJ37" s="92" t="b">
        <v>0</v>
      </c>
      <c r="AK37" s="90"/>
      <c r="AL37" s="91"/>
      <c r="AM37" s="91"/>
      <c r="AN37" s="92"/>
      <c r="AO37" s="90"/>
      <c r="AP37" s="91"/>
      <c r="AQ37" s="91"/>
      <c r="AR37" s="92"/>
      <c r="AS37" s="90"/>
      <c r="AT37" s="91"/>
      <c r="AU37" s="91"/>
      <c r="AV37" s="92"/>
      <c r="AW37" s="90"/>
      <c r="AX37" s="91"/>
      <c r="AY37" s="93"/>
      <c r="AZ37" s="91"/>
      <c r="BA37" s="92"/>
      <c r="BB37" s="90"/>
      <c r="BC37" s="91"/>
      <c r="BD37" s="93"/>
      <c r="BE37" s="91"/>
      <c r="BF37" s="92"/>
      <c r="BG37" s="33">
        <f t="shared" si="2"/>
        <v>0</v>
      </c>
      <c r="BH37" s="27"/>
      <c r="BI37" s="27"/>
      <c r="BJ37" s="27"/>
    </row>
    <row r="38" ht="15.75" customHeight="1" spans="1:62">
      <c r="A38" s="29"/>
      <c r="B38" s="29"/>
      <c r="C38" s="29"/>
      <c r="D38" s="33">
        <v>29</v>
      </c>
      <c r="E38" s="31"/>
      <c r="F38" s="31"/>
      <c r="G38" s="32"/>
      <c r="H38" s="32"/>
      <c r="I38" s="33"/>
      <c r="J38" s="27" t="str">
        <f t="shared" si="0"/>
        <v/>
      </c>
      <c r="K38" s="32"/>
      <c r="L38" s="32"/>
      <c r="M38" s="32"/>
      <c r="N38" s="32"/>
      <c r="O38" s="32"/>
      <c r="P38" s="32"/>
      <c r="Q38" s="34"/>
      <c r="R38" s="88" t="str">
        <f ca="1" t="shared" si="4"/>
        <v/>
      </c>
      <c r="S38" s="27"/>
      <c r="T38" s="27"/>
      <c r="U38" s="27"/>
      <c r="V38" s="35"/>
      <c r="W38" s="30"/>
      <c r="X38" s="33"/>
      <c r="Y38" s="36"/>
      <c r="Z38" s="37"/>
      <c r="AA38" s="27"/>
      <c r="AB38" s="27"/>
      <c r="AC38" s="27"/>
      <c r="AD38" s="27"/>
      <c r="AE38" s="27"/>
      <c r="AF38" s="27"/>
      <c r="AG38" s="90" t="b">
        <v>0</v>
      </c>
      <c r="AH38" s="91" t="b">
        <v>0</v>
      </c>
      <c r="AI38" s="91" t="b">
        <v>0</v>
      </c>
      <c r="AJ38" s="92" t="b">
        <v>0</v>
      </c>
      <c r="AK38" s="90"/>
      <c r="AL38" s="91"/>
      <c r="AM38" s="91"/>
      <c r="AN38" s="92"/>
      <c r="AO38" s="90"/>
      <c r="AP38" s="91"/>
      <c r="AQ38" s="91"/>
      <c r="AR38" s="92"/>
      <c r="AS38" s="90"/>
      <c r="AT38" s="91"/>
      <c r="AU38" s="91"/>
      <c r="AV38" s="92"/>
      <c r="AW38" s="90"/>
      <c r="AX38" s="91"/>
      <c r="AY38" s="93"/>
      <c r="AZ38" s="91"/>
      <c r="BA38" s="92"/>
      <c r="BB38" s="90"/>
      <c r="BC38" s="91"/>
      <c r="BD38" s="93"/>
      <c r="BE38" s="91"/>
      <c r="BF38" s="92"/>
      <c r="BG38" s="33">
        <f t="shared" si="2"/>
        <v>0</v>
      </c>
      <c r="BH38" s="27"/>
      <c r="BI38" s="27"/>
      <c r="BJ38" s="27"/>
    </row>
    <row r="39" ht="15.75" customHeight="1" spans="1:62">
      <c r="A39" s="29"/>
      <c r="B39" s="29"/>
      <c r="C39" s="29"/>
      <c r="D39" s="33">
        <v>30</v>
      </c>
      <c r="E39" s="31"/>
      <c r="F39" s="31"/>
      <c r="G39" s="32"/>
      <c r="H39" s="32"/>
      <c r="I39" s="33"/>
      <c r="J39" s="27" t="str">
        <f t="shared" si="0"/>
        <v/>
      </c>
      <c r="K39" s="32"/>
      <c r="L39" s="32"/>
      <c r="M39" s="32"/>
      <c r="N39" s="32"/>
      <c r="O39" s="32"/>
      <c r="P39" s="32"/>
      <c r="Q39" s="34"/>
      <c r="R39" s="88" t="str">
        <f ca="1" t="shared" si="4"/>
        <v/>
      </c>
      <c r="S39" s="27"/>
      <c r="T39" s="27"/>
      <c r="U39" s="27"/>
      <c r="V39" s="35"/>
      <c r="W39" s="30"/>
      <c r="X39" s="33"/>
      <c r="Y39" s="36"/>
      <c r="Z39" s="37"/>
      <c r="AA39" s="27"/>
      <c r="AB39" s="27"/>
      <c r="AC39" s="27"/>
      <c r="AD39" s="27"/>
      <c r="AE39" s="27"/>
      <c r="AF39" s="27"/>
      <c r="AG39" s="90" t="b">
        <v>0</v>
      </c>
      <c r="AH39" s="91" t="b">
        <v>0</v>
      </c>
      <c r="AI39" s="91" t="b">
        <v>0</v>
      </c>
      <c r="AJ39" s="92" t="b">
        <v>0</v>
      </c>
      <c r="AK39" s="90"/>
      <c r="AL39" s="91"/>
      <c r="AM39" s="91"/>
      <c r="AN39" s="92"/>
      <c r="AO39" s="90"/>
      <c r="AP39" s="91"/>
      <c r="AQ39" s="91"/>
      <c r="AR39" s="92"/>
      <c r="AS39" s="90"/>
      <c r="AT39" s="91"/>
      <c r="AU39" s="91"/>
      <c r="AV39" s="92"/>
      <c r="AW39" s="90"/>
      <c r="AX39" s="91"/>
      <c r="AY39" s="93"/>
      <c r="AZ39" s="91"/>
      <c r="BA39" s="92"/>
      <c r="BB39" s="90"/>
      <c r="BC39" s="91"/>
      <c r="BD39" s="93"/>
      <c r="BE39" s="91"/>
      <c r="BF39" s="92"/>
      <c r="BG39" s="33">
        <f t="shared" si="2"/>
        <v>0</v>
      </c>
      <c r="BH39" s="27"/>
      <c r="BI39" s="27"/>
      <c r="BJ39" s="27"/>
    </row>
    <row r="40" ht="15.75" customHeight="1" spans="1:62">
      <c r="A40" s="29"/>
      <c r="B40" s="29"/>
      <c r="C40" s="29"/>
      <c r="D40" s="33">
        <v>31</v>
      </c>
      <c r="E40" s="31"/>
      <c r="F40" s="31"/>
      <c r="G40" s="32"/>
      <c r="H40" s="32"/>
      <c r="I40" s="33"/>
      <c r="J40" s="27" t="str">
        <f t="shared" si="0"/>
        <v/>
      </c>
      <c r="K40" s="32"/>
      <c r="L40" s="32"/>
      <c r="M40" s="32"/>
      <c r="N40" s="32"/>
      <c r="O40" s="32"/>
      <c r="P40" s="32"/>
      <c r="Q40" s="34"/>
      <c r="R40" s="88" t="str">
        <f ca="1" t="shared" si="4"/>
        <v/>
      </c>
      <c r="S40" s="27"/>
      <c r="T40" s="27"/>
      <c r="U40" s="27"/>
      <c r="V40" s="35"/>
      <c r="W40" s="30"/>
      <c r="X40" s="33"/>
      <c r="Y40" s="36"/>
      <c r="Z40" s="37"/>
      <c r="AA40" s="27"/>
      <c r="AB40" s="27"/>
      <c r="AC40" s="27"/>
      <c r="AD40" s="27"/>
      <c r="AE40" s="27"/>
      <c r="AF40" s="27"/>
      <c r="AG40" s="90" t="b">
        <v>0</v>
      </c>
      <c r="AH40" s="91" t="b">
        <v>0</v>
      </c>
      <c r="AI40" s="91" t="b">
        <v>0</v>
      </c>
      <c r="AJ40" s="92" t="b">
        <v>0</v>
      </c>
      <c r="AK40" s="90"/>
      <c r="AL40" s="91"/>
      <c r="AM40" s="91"/>
      <c r="AN40" s="92"/>
      <c r="AO40" s="90"/>
      <c r="AP40" s="91"/>
      <c r="AQ40" s="91"/>
      <c r="AR40" s="92"/>
      <c r="AS40" s="90"/>
      <c r="AT40" s="91"/>
      <c r="AU40" s="91"/>
      <c r="AV40" s="92"/>
      <c r="AW40" s="90"/>
      <c r="AX40" s="91"/>
      <c r="AY40" s="93"/>
      <c r="AZ40" s="91"/>
      <c r="BA40" s="92"/>
      <c r="BB40" s="90"/>
      <c r="BC40" s="91"/>
      <c r="BD40" s="93"/>
      <c r="BE40" s="91"/>
      <c r="BF40" s="92"/>
      <c r="BG40" s="33">
        <f t="shared" si="2"/>
        <v>0</v>
      </c>
      <c r="BH40" s="27"/>
      <c r="BI40" s="27"/>
      <c r="BJ40" s="27"/>
    </row>
    <row r="41" ht="15.75" customHeight="1" spans="1:62">
      <c r="A41" s="29"/>
      <c r="B41" s="29"/>
      <c r="C41" s="29"/>
      <c r="D41" s="33">
        <v>32</v>
      </c>
      <c r="E41" s="31"/>
      <c r="F41" s="31"/>
      <c r="G41" s="32"/>
      <c r="H41" s="32"/>
      <c r="I41" s="33"/>
      <c r="J41" s="27" t="str">
        <f t="shared" si="0"/>
        <v/>
      </c>
      <c r="K41" s="32"/>
      <c r="L41" s="32"/>
      <c r="M41" s="32"/>
      <c r="N41" s="32"/>
      <c r="O41" s="32"/>
      <c r="P41" s="32"/>
      <c r="Q41" s="34"/>
      <c r="R41" s="88" t="str">
        <f ca="1" t="shared" si="4"/>
        <v/>
      </c>
      <c r="S41" s="27"/>
      <c r="T41" s="27"/>
      <c r="U41" s="27"/>
      <c r="V41" s="35"/>
      <c r="W41" s="30"/>
      <c r="X41" s="33"/>
      <c r="Y41" s="36"/>
      <c r="Z41" s="37"/>
      <c r="AA41" s="27"/>
      <c r="AB41" s="27"/>
      <c r="AC41" s="27"/>
      <c r="AD41" s="27"/>
      <c r="AE41" s="27"/>
      <c r="AF41" s="27"/>
      <c r="AG41" s="90" t="b">
        <v>0</v>
      </c>
      <c r="AH41" s="91" t="b">
        <v>0</v>
      </c>
      <c r="AI41" s="91" t="b">
        <v>0</v>
      </c>
      <c r="AJ41" s="92" t="b">
        <v>0</v>
      </c>
      <c r="AK41" s="90"/>
      <c r="AL41" s="91"/>
      <c r="AM41" s="91"/>
      <c r="AN41" s="92"/>
      <c r="AO41" s="90"/>
      <c r="AP41" s="91"/>
      <c r="AQ41" s="91"/>
      <c r="AR41" s="92"/>
      <c r="AS41" s="90"/>
      <c r="AT41" s="91"/>
      <c r="AU41" s="91"/>
      <c r="AV41" s="92"/>
      <c r="AW41" s="90"/>
      <c r="AX41" s="91"/>
      <c r="AY41" s="93"/>
      <c r="AZ41" s="91"/>
      <c r="BA41" s="92"/>
      <c r="BB41" s="90"/>
      <c r="BC41" s="91"/>
      <c r="BD41" s="93"/>
      <c r="BE41" s="91"/>
      <c r="BF41" s="92"/>
      <c r="BG41" s="33">
        <f t="shared" si="2"/>
        <v>0</v>
      </c>
      <c r="BH41" s="27"/>
      <c r="BI41" s="27"/>
      <c r="BJ41" s="27"/>
    </row>
    <row r="42" ht="15.75" customHeight="1" spans="1:62">
      <c r="A42" s="29"/>
      <c r="B42" s="29"/>
      <c r="C42" s="29"/>
      <c r="D42" s="33">
        <v>33</v>
      </c>
      <c r="E42" s="31"/>
      <c r="F42" s="31"/>
      <c r="G42" s="32"/>
      <c r="H42" s="32"/>
      <c r="I42" s="33"/>
      <c r="J42" s="27" t="str">
        <f t="shared" si="0"/>
        <v/>
      </c>
      <c r="K42" s="32"/>
      <c r="L42" s="32"/>
      <c r="M42" s="32"/>
      <c r="N42" s="32"/>
      <c r="O42" s="32"/>
      <c r="P42" s="27"/>
      <c r="Q42" s="34"/>
      <c r="R42" s="88" t="str">
        <f ca="1" t="shared" si="4"/>
        <v/>
      </c>
      <c r="S42" s="27"/>
      <c r="T42" s="27"/>
      <c r="U42" s="27"/>
      <c r="V42" s="35"/>
      <c r="W42" s="30"/>
      <c r="X42" s="33"/>
      <c r="Y42" s="36"/>
      <c r="Z42" s="37"/>
      <c r="AA42" s="27"/>
      <c r="AB42" s="27"/>
      <c r="AC42" s="27"/>
      <c r="AD42" s="27"/>
      <c r="AE42" s="27"/>
      <c r="AF42" s="27"/>
      <c r="AG42" s="90" t="b">
        <v>0</v>
      </c>
      <c r="AH42" s="91" t="b">
        <v>0</v>
      </c>
      <c r="AI42" s="91" t="b">
        <v>0</v>
      </c>
      <c r="AJ42" s="92" t="b">
        <v>0</v>
      </c>
      <c r="AK42" s="90"/>
      <c r="AL42" s="91"/>
      <c r="AM42" s="91"/>
      <c r="AN42" s="92"/>
      <c r="AO42" s="90"/>
      <c r="AP42" s="91"/>
      <c r="AQ42" s="91"/>
      <c r="AR42" s="92"/>
      <c r="AS42" s="90"/>
      <c r="AT42" s="91"/>
      <c r="AU42" s="91"/>
      <c r="AV42" s="92"/>
      <c r="AW42" s="90"/>
      <c r="AX42" s="91"/>
      <c r="AY42" s="93"/>
      <c r="AZ42" s="91"/>
      <c r="BA42" s="92"/>
      <c r="BB42" s="90"/>
      <c r="BC42" s="91"/>
      <c r="BD42" s="93"/>
      <c r="BE42" s="91"/>
      <c r="BF42" s="92"/>
      <c r="BG42" s="33">
        <f t="shared" si="2"/>
        <v>0</v>
      </c>
      <c r="BH42" s="27"/>
      <c r="BI42" s="27"/>
      <c r="BJ42" s="27"/>
    </row>
    <row r="43" ht="15.75" customHeight="1" spans="1:62">
      <c r="A43" s="29"/>
      <c r="B43" s="29"/>
      <c r="C43" s="29"/>
      <c r="D43" s="33">
        <v>34</v>
      </c>
      <c r="E43" s="31"/>
      <c r="F43" s="31"/>
      <c r="G43" s="32"/>
      <c r="H43" s="32"/>
      <c r="I43" s="33"/>
      <c r="J43" s="27" t="str">
        <f t="shared" si="0"/>
        <v/>
      </c>
      <c r="K43" s="32"/>
      <c r="L43" s="32"/>
      <c r="M43" s="32"/>
      <c r="N43" s="32"/>
      <c r="O43" s="32"/>
      <c r="P43" s="32"/>
      <c r="Q43" s="34"/>
      <c r="R43" s="88" t="str">
        <f ca="1" t="shared" si="4"/>
        <v/>
      </c>
      <c r="S43" s="27"/>
      <c r="T43" s="27"/>
      <c r="U43" s="27"/>
      <c r="V43" s="35"/>
      <c r="W43" s="30"/>
      <c r="X43" s="33"/>
      <c r="Y43" s="36"/>
      <c r="Z43" s="37"/>
      <c r="AA43" s="27"/>
      <c r="AB43" s="27"/>
      <c r="AC43" s="27"/>
      <c r="AD43" s="27"/>
      <c r="AE43" s="27"/>
      <c r="AF43" s="27"/>
      <c r="AG43" s="90" t="b">
        <v>0</v>
      </c>
      <c r="AH43" s="91" t="b">
        <v>0</v>
      </c>
      <c r="AI43" s="91" t="b">
        <v>0</v>
      </c>
      <c r="AJ43" s="92" t="b">
        <v>0</v>
      </c>
      <c r="AK43" s="90"/>
      <c r="AL43" s="91"/>
      <c r="AM43" s="91"/>
      <c r="AN43" s="92"/>
      <c r="AO43" s="90"/>
      <c r="AP43" s="91"/>
      <c r="AQ43" s="91"/>
      <c r="AR43" s="92"/>
      <c r="AS43" s="90"/>
      <c r="AT43" s="91"/>
      <c r="AU43" s="91"/>
      <c r="AV43" s="92"/>
      <c r="AW43" s="90"/>
      <c r="AX43" s="91"/>
      <c r="AY43" s="93"/>
      <c r="AZ43" s="91"/>
      <c r="BA43" s="92"/>
      <c r="BB43" s="90"/>
      <c r="BC43" s="91"/>
      <c r="BD43" s="93"/>
      <c r="BE43" s="91"/>
      <c r="BF43" s="92"/>
      <c r="BG43" s="33">
        <f t="shared" si="2"/>
        <v>0</v>
      </c>
      <c r="BH43" s="27"/>
      <c r="BI43" s="27"/>
      <c r="BJ43" s="27"/>
    </row>
    <row r="44" ht="15.75" customHeight="1" spans="1:62">
      <c r="A44" s="29"/>
      <c r="B44" s="29"/>
      <c r="C44" s="29"/>
      <c r="D44" s="33">
        <v>35</v>
      </c>
      <c r="E44" s="31"/>
      <c r="F44" s="31"/>
      <c r="G44" s="32"/>
      <c r="H44" s="32"/>
      <c r="I44" s="33"/>
      <c r="J44" s="27" t="str">
        <f t="shared" si="0"/>
        <v/>
      </c>
      <c r="K44" s="32"/>
      <c r="L44" s="32"/>
      <c r="M44" s="32"/>
      <c r="N44" s="32"/>
      <c r="O44" s="32"/>
      <c r="P44" s="32"/>
      <c r="Q44" s="34"/>
      <c r="R44" s="88" t="str">
        <f ca="1" t="shared" si="4"/>
        <v/>
      </c>
      <c r="S44" s="27"/>
      <c r="T44" s="27"/>
      <c r="U44" s="27"/>
      <c r="V44" s="35"/>
      <c r="W44" s="30"/>
      <c r="X44" s="33"/>
      <c r="Y44" s="36"/>
      <c r="Z44" s="37"/>
      <c r="AA44" s="27"/>
      <c r="AB44" s="27"/>
      <c r="AC44" s="27"/>
      <c r="AD44" s="27"/>
      <c r="AE44" s="27"/>
      <c r="AF44" s="27"/>
      <c r="AG44" s="90" t="b">
        <v>0</v>
      </c>
      <c r="AH44" s="91" t="b">
        <v>0</v>
      </c>
      <c r="AI44" s="91" t="b">
        <v>0</v>
      </c>
      <c r="AJ44" s="92" t="b">
        <v>0</v>
      </c>
      <c r="AK44" s="90"/>
      <c r="AL44" s="91"/>
      <c r="AM44" s="91"/>
      <c r="AN44" s="92"/>
      <c r="AO44" s="90"/>
      <c r="AP44" s="91"/>
      <c r="AQ44" s="91"/>
      <c r="AR44" s="92"/>
      <c r="AS44" s="90"/>
      <c r="AT44" s="91"/>
      <c r="AU44" s="91"/>
      <c r="AV44" s="92"/>
      <c r="AW44" s="90"/>
      <c r="AX44" s="91"/>
      <c r="AY44" s="93"/>
      <c r="AZ44" s="91"/>
      <c r="BA44" s="92"/>
      <c r="BB44" s="90"/>
      <c r="BC44" s="91"/>
      <c r="BD44" s="93"/>
      <c r="BE44" s="91"/>
      <c r="BF44" s="92"/>
      <c r="BG44" s="33">
        <f t="shared" si="2"/>
        <v>0</v>
      </c>
      <c r="BH44" s="27"/>
      <c r="BI44" s="27"/>
      <c r="BJ44" s="27"/>
    </row>
    <row r="45" ht="15.75" customHeight="1" spans="1:62">
      <c r="A45" s="29"/>
      <c r="B45" s="29"/>
      <c r="C45" s="29"/>
      <c r="D45" s="33">
        <v>36</v>
      </c>
      <c r="E45" s="31"/>
      <c r="F45" s="31"/>
      <c r="G45" s="32"/>
      <c r="H45" s="32"/>
      <c r="I45" s="33"/>
      <c r="J45" s="27" t="str">
        <f t="shared" si="0"/>
        <v/>
      </c>
      <c r="K45" s="32"/>
      <c r="L45" s="32"/>
      <c r="M45" s="32"/>
      <c r="N45" s="27"/>
      <c r="O45" s="32"/>
      <c r="P45" s="32"/>
      <c r="Q45" s="34"/>
      <c r="R45" s="88" t="str">
        <f ca="1" t="shared" si="4"/>
        <v/>
      </c>
      <c r="S45" s="27"/>
      <c r="T45" s="27"/>
      <c r="U45" s="27"/>
      <c r="V45" s="35"/>
      <c r="W45" s="30"/>
      <c r="X45" s="33"/>
      <c r="Y45" s="36"/>
      <c r="Z45" s="37"/>
      <c r="AA45" s="27"/>
      <c r="AB45" s="27"/>
      <c r="AC45" s="27"/>
      <c r="AD45" s="27"/>
      <c r="AE45" s="27"/>
      <c r="AF45" s="27"/>
      <c r="AG45" s="90" t="b">
        <v>0</v>
      </c>
      <c r="AH45" s="91" t="b">
        <v>0</v>
      </c>
      <c r="AI45" s="91" t="b">
        <v>0</v>
      </c>
      <c r="AJ45" s="92" t="b">
        <v>0</v>
      </c>
      <c r="AK45" s="90"/>
      <c r="AL45" s="91"/>
      <c r="AM45" s="91"/>
      <c r="AN45" s="92"/>
      <c r="AO45" s="90"/>
      <c r="AP45" s="91"/>
      <c r="AQ45" s="91"/>
      <c r="AR45" s="92"/>
      <c r="AS45" s="90"/>
      <c r="AT45" s="91"/>
      <c r="AU45" s="91"/>
      <c r="AV45" s="92"/>
      <c r="AW45" s="90"/>
      <c r="AX45" s="91"/>
      <c r="AY45" s="93"/>
      <c r="AZ45" s="91"/>
      <c r="BA45" s="92"/>
      <c r="BB45" s="90"/>
      <c r="BC45" s="91"/>
      <c r="BD45" s="93"/>
      <c r="BE45" s="91"/>
      <c r="BF45" s="92"/>
      <c r="BG45" s="33">
        <f t="shared" si="2"/>
        <v>0</v>
      </c>
      <c r="BH45" s="27"/>
      <c r="BI45" s="27"/>
      <c r="BJ45" s="27"/>
    </row>
    <row r="46" ht="15.75" customHeight="1" spans="1:62">
      <c r="A46" s="29"/>
      <c r="B46" s="29"/>
      <c r="C46" s="29"/>
      <c r="D46" s="33">
        <v>37</v>
      </c>
      <c r="E46" s="31"/>
      <c r="F46" s="31"/>
      <c r="G46" s="32"/>
      <c r="H46" s="32"/>
      <c r="I46" s="33"/>
      <c r="J46" s="27" t="str">
        <f t="shared" si="0"/>
        <v/>
      </c>
      <c r="K46" s="32"/>
      <c r="L46" s="32"/>
      <c r="M46" s="32"/>
      <c r="N46" s="32"/>
      <c r="O46" s="32"/>
      <c r="P46" s="32"/>
      <c r="Q46" s="34"/>
      <c r="R46" s="88" t="str">
        <f ca="1" t="shared" si="4"/>
        <v/>
      </c>
      <c r="S46" s="32"/>
      <c r="T46" s="27"/>
      <c r="U46" s="27"/>
      <c r="V46" s="35"/>
      <c r="W46" s="30"/>
      <c r="X46" s="33"/>
      <c r="Y46" s="36"/>
      <c r="Z46" s="37"/>
      <c r="AA46" s="27"/>
      <c r="AB46" s="27"/>
      <c r="AC46" s="27"/>
      <c r="AD46" s="27"/>
      <c r="AE46" s="27"/>
      <c r="AF46" s="27"/>
      <c r="AG46" s="90" t="b">
        <v>0</v>
      </c>
      <c r="AH46" s="91" t="b">
        <v>0</v>
      </c>
      <c r="AI46" s="91" t="b">
        <v>0</v>
      </c>
      <c r="AJ46" s="92" t="b">
        <v>0</v>
      </c>
      <c r="AK46" s="90"/>
      <c r="AL46" s="91"/>
      <c r="AM46" s="91"/>
      <c r="AN46" s="92"/>
      <c r="AO46" s="90"/>
      <c r="AP46" s="91"/>
      <c r="AQ46" s="91"/>
      <c r="AR46" s="92"/>
      <c r="AS46" s="90"/>
      <c r="AT46" s="91"/>
      <c r="AU46" s="91"/>
      <c r="AV46" s="92"/>
      <c r="AW46" s="90"/>
      <c r="AX46" s="91"/>
      <c r="AY46" s="93"/>
      <c r="AZ46" s="91"/>
      <c r="BA46" s="92"/>
      <c r="BB46" s="90"/>
      <c r="BC46" s="91"/>
      <c r="BD46" s="93"/>
      <c r="BE46" s="91"/>
      <c r="BF46" s="92"/>
      <c r="BG46" s="33">
        <f t="shared" si="2"/>
        <v>0</v>
      </c>
      <c r="BH46" s="27"/>
      <c r="BI46" s="27"/>
      <c r="BJ46" s="27"/>
    </row>
    <row r="47" ht="15.75" customHeight="1" spans="1:62">
      <c r="A47" s="29"/>
      <c r="B47" s="29"/>
      <c r="C47" s="29"/>
      <c r="D47" s="33">
        <v>38</v>
      </c>
      <c r="E47" s="31"/>
      <c r="F47" s="31"/>
      <c r="G47" s="32"/>
      <c r="H47" s="32"/>
      <c r="I47" s="33"/>
      <c r="J47" s="27" t="str">
        <f t="shared" si="0"/>
        <v/>
      </c>
      <c r="K47" s="32"/>
      <c r="L47" s="32"/>
      <c r="M47" s="32"/>
      <c r="N47" s="32"/>
      <c r="O47" s="32"/>
      <c r="P47" s="32"/>
      <c r="Q47" s="34"/>
      <c r="R47" s="88" t="str">
        <f ca="1" t="shared" si="4"/>
        <v/>
      </c>
      <c r="S47" s="27"/>
      <c r="T47" s="27"/>
      <c r="U47" s="27"/>
      <c r="V47" s="35"/>
      <c r="W47" s="30"/>
      <c r="X47" s="33"/>
      <c r="Y47" s="36"/>
      <c r="Z47" s="37"/>
      <c r="AA47" s="27"/>
      <c r="AB47" s="27"/>
      <c r="AC47" s="27"/>
      <c r="AD47" s="27"/>
      <c r="AE47" s="27"/>
      <c r="AF47" s="27"/>
      <c r="AG47" s="90" t="b">
        <v>0</v>
      </c>
      <c r="AH47" s="91" t="b">
        <v>0</v>
      </c>
      <c r="AI47" s="91" t="b">
        <v>0</v>
      </c>
      <c r="AJ47" s="92" t="b">
        <v>0</v>
      </c>
      <c r="AK47" s="90"/>
      <c r="AL47" s="91"/>
      <c r="AM47" s="91"/>
      <c r="AN47" s="92"/>
      <c r="AO47" s="90"/>
      <c r="AP47" s="91"/>
      <c r="AQ47" s="91"/>
      <c r="AR47" s="92"/>
      <c r="AS47" s="90"/>
      <c r="AT47" s="91"/>
      <c r="AU47" s="91"/>
      <c r="AV47" s="92"/>
      <c r="AW47" s="90"/>
      <c r="AX47" s="91"/>
      <c r="AY47" s="93"/>
      <c r="AZ47" s="91"/>
      <c r="BA47" s="92"/>
      <c r="BB47" s="90"/>
      <c r="BC47" s="91"/>
      <c r="BD47" s="93"/>
      <c r="BE47" s="91"/>
      <c r="BF47" s="92"/>
      <c r="BG47" s="33">
        <f t="shared" si="2"/>
        <v>0</v>
      </c>
      <c r="BH47" s="27"/>
      <c r="BI47" s="27"/>
      <c r="BJ47" s="27"/>
    </row>
    <row r="48" ht="15.75" customHeight="1" spans="1:62">
      <c r="A48" s="29"/>
      <c r="B48" s="29"/>
      <c r="C48" s="29"/>
      <c r="D48" s="33">
        <v>39</v>
      </c>
      <c r="E48" s="31"/>
      <c r="F48" s="31"/>
      <c r="G48" s="32"/>
      <c r="H48" s="32"/>
      <c r="I48" s="33"/>
      <c r="J48" s="27" t="str">
        <f t="shared" si="0"/>
        <v/>
      </c>
      <c r="K48" s="32"/>
      <c r="L48" s="32"/>
      <c r="M48" s="32"/>
      <c r="N48" s="32"/>
      <c r="O48" s="32"/>
      <c r="P48" s="32"/>
      <c r="Q48" s="34"/>
      <c r="R48" s="88" t="str">
        <f ca="1" t="shared" si="4"/>
        <v/>
      </c>
      <c r="S48" s="27"/>
      <c r="T48" s="27"/>
      <c r="U48" s="27"/>
      <c r="V48" s="35"/>
      <c r="W48" s="30"/>
      <c r="X48" s="33"/>
      <c r="Y48" s="36"/>
      <c r="Z48" s="37"/>
      <c r="AA48" s="27"/>
      <c r="AB48" s="32"/>
      <c r="AC48" s="27"/>
      <c r="AD48" s="27"/>
      <c r="AE48" s="27"/>
      <c r="AF48" s="27"/>
      <c r="AG48" s="90" t="b">
        <v>0</v>
      </c>
      <c r="AH48" s="91" t="b">
        <v>0</v>
      </c>
      <c r="AI48" s="91" t="b">
        <v>0</v>
      </c>
      <c r="AJ48" s="92" t="b">
        <v>0</v>
      </c>
      <c r="AK48" s="90"/>
      <c r="AL48" s="91"/>
      <c r="AM48" s="91"/>
      <c r="AN48" s="92"/>
      <c r="AO48" s="90"/>
      <c r="AP48" s="91"/>
      <c r="AQ48" s="91"/>
      <c r="AR48" s="92"/>
      <c r="AS48" s="90"/>
      <c r="AT48" s="91"/>
      <c r="AU48" s="91"/>
      <c r="AV48" s="92"/>
      <c r="AW48" s="90"/>
      <c r="AX48" s="91"/>
      <c r="AY48" s="93"/>
      <c r="AZ48" s="91"/>
      <c r="BA48" s="92"/>
      <c r="BB48" s="90"/>
      <c r="BC48" s="91"/>
      <c r="BD48" s="93"/>
      <c r="BE48" s="91"/>
      <c r="BF48" s="92"/>
      <c r="BG48" s="33">
        <f t="shared" si="2"/>
        <v>0</v>
      </c>
      <c r="BH48" s="27"/>
      <c r="BI48" s="27"/>
      <c r="BJ48" s="27"/>
    </row>
    <row r="49" ht="15.75" customHeight="1" spans="1:62">
      <c r="A49" s="29"/>
      <c r="B49" s="29"/>
      <c r="C49" s="29"/>
      <c r="D49" s="33">
        <v>40</v>
      </c>
      <c r="E49" s="31"/>
      <c r="F49" s="31"/>
      <c r="G49" s="32"/>
      <c r="H49" s="32"/>
      <c r="I49" s="33"/>
      <c r="J49" s="27" t="str">
        <f t="shared" si="0"/>
        <v/>
      </c>
      <c r="K49" s="32"/>
      <c r="L49" s="32"/>
      <c r="M49" s="32"/>
      <c r="N49" s="32"/>
      <c r="O49" s="32"/>
      <c r="P49" s="32"/>
      <c r="Q49" s="34"/>
      <c r="R49" s="88" t="str">
        <f ca="1" t="shared" si="4"/>
        <v/>
      </c>
      <c r="S49" s="27"/>
      <c r="T49" s="27"/>
      <c r="U49" s="27"/>
      <c r="V49" s="35"/>
      <c r="W49" s="30"/>
      <c r="X49" s="33"/>
      <c r="Y49" s="36"/>
      <c r="Z49" s="37"/>
      <c r="AA49" s="27"/>
      <c r="AB49" s="27"/>
      <c r="AC49" s="27"/>
      <c r="AD49" s="27"/>
      <c r="AE49" s="27"/>
      <c r="AF49" s="27"/>
      <c r="AG49" s="90" t="b">
        <v>0</v>
      </c>
      <c r="AH49" s="91" t="b">
        <v>0</v>
      </c>
      <c r="AI49" s="91" t="b">
        <v>0</v>
      </c>
      <c r="AJ49" s="92" t="b">
        <v>0</v>
      </c>
      <c r="AK49" s="90"/>
      <c r="AL49" s="91"/>
      <c r="AM49" s="91"/>
      <c r="AN49" s="92"/>
      <c r="AO49" s="90"/>
      <c r="AP49" s="91"/>
      <c r="AQ49" s="91"/>
      <c r="AR49" s="92"/>
      <c r="AS49" s="90"/>
      <c r="AT49" s="91"/>
      <c r="AU49" s="91"/>
      <c r="AV49" s="92"/>
      <c r="AW49" s="90"/>
      <c r="AX49" s="91"/>
      <c r="AY49" s="93"/>
      <c r="AZ49" s="91"/>
      <c r="BA49" s="92"/>
      <c r="BB49" s="90"/>
      <c r="BC49" s="91"/>
      <c r="BD49" s="93"/>
      <c r="BE49" s="91"/>
      <c r="BF49" s="92"/>
      <c r="BG49" s="33">
        <f t="shared" si="2"/>
        <v>0</v>
      </c>
      <c r="BH49" s="27"/>
      <c r="BI49" s="27"/>
      <c r="BJ49" s="27"/>
    </row>
    <row r="50" ht="15.75" customHeight="1" spans="1:62">
      <c r="A50" s="29"/>
      <c r="B50" s="29"/>
      <c r="C50" s="29"/>
      <c r="D50" s="33">
        <v>41</v>
      </c>
      <c r="E50" s="31"/>
      <c r="F50" s="31"/>
      <c r="G50" s="32"/>
      <c r="H50" s="32"/>
      <c r="I50" s="33"/>
      <c r="J50" s="27" t="str">
        <f t="shared" si="0"/>
        <v/>
      </c>
      <c r="K50" s="32"/>
      <c r="L50" s="32"/>
      <c r="M50" s="32"/>
      <c r="N50" s="32"/>
      <c r="O50" s="32"/>
      <c r="P50" s="32"/>
      <c r="Q50" s="34"/>
      <c r="R50" s="88" t="str">
        <f ca="1" t="shared" si="4"/>
        <v/>
      </c>
      <c r="S50" s="27"/>
      <c r="T50" s="27"/>
      <c r="U50" s="27"/>
      <c r="V50" s="35"/>
      <c r="W50" s="30"/>
      <c r="X50" s="33"/>
      <c r="Y50" s="36"/>
      <c r="Z50" s="37"/>
      <c r="AA50" s="27"/>
      <c r="AB50" s="27"/>
      <c r="AC50" s="27"/>
      <c r="AD50" s="27"/>
      <c r="AE50" s="27"/>
      <c r="AF50" s="27"/>
      <c r="AG50" s="90" t="b">
        <v>0</v>
      </c>
      <c r="AH50" s="91" t="b">
        <v>0</v>
      </c>
      <c r="AI50" s="91" t="b">
        <v>0</v>
      </c>
      <c r="AJ50" s="92" t="b">
        <v>0</v>
      </c>
      <c r="AK50" s="90"/>
      <c r="AL50" s="91"/>
      <c r="AM50" s="91"/>
      <c r="AN50" s="92"/>
      <c r="AO50" s="90"/>
      <c r="AP50" s="91"/>
      <c r="AQ50" s="91"/>
      <c r="AR50" s="92"/>
      <c r="AS50" s="90"/>
      <c r="AT50" s="91"/>
      <c r="AU50" s="91"/>
      <c r="AV50" s="92"/>
      <c r="AW50" s="90"/>
      <c r="AX50" s="91"/>
      <c r="AY50" s="93"/>
      <c r="AZ50" s="91"/>
      <c r="BA50" s="92"/>
      <c r="BB50" s="90"/>
      <c r="BC50" s="91"/>
      <c r="BD50" s="93"/>
      <c r="BE50" s="91"/>
      <c r="BF50" s="92"/>
      <c r="BG50" s="33">
        <f t="shared" si="2"/>
        <v>0</v>
      </c>
      <c r="BH50" s="27"/>
      <c r="BI50" s="27"/>
      <c r="BJ50" s="27"/>
    </row>
    <row r="51" ht="15.75" customHeight="1" spans="1:62">
      <c r="A51" s="29"/>
      <c r="B51" s="29"/>
      <c r="C51" s="29"/>
      <c r="D51" s="33">
        <v>42</v>
      </c>
      <c r="E51" s="31"/>
      <c r="F51" s="31"/>
      <c r="G51" s="32"/>
      <c r="H51" s="32"/>
      <c r="I51" s="33"/>
      <c r="J51" s="27" t="str">
        <f t="shared" si="0"/>
        <v/>
      </c>
      <c r="K51" s="32"/>
      <c r="L51" s="32"/>
      <c r="M51" s="32"/>
      <c r="N51" s="32"/>
      <c r="O51" s="32"/>
      <c r="P51" s="32"/>
      <c r="Q51" s="34"/>
      <c r="R51" s="88" t="str">
        <f ca="1" t="shared" si="4"/>
        <v/>
      </c>
      <c r="S51" s="27"/>
      <c r="T51" s="27"/>
      <c r="U51" s="27"/>
      <c r="V51" s="35"/>
      <c r="W51" s="30"/>
      <c r="X51" s="33"/>
      <c r="Y51" s="36"/>
      <c r="Z51" s="37"/>
      <c r="AA51" s="27"/>
      <c r="AB51" s="27"/>
      <c r="AC51" s="27"/>
      <c r="AD51" s="27"/>
      <c r="AE51" s="27"/>
      <c r="AF51" s="27"/>
      <c r="AG51" s="90" t="b">
        <v>0</v>
      </c>
      <c r="AH51" s="91" t="b">
        <v>0</v>
      </c>
      <c r="AI51" s="91" t="b">
        <v>0</v>
      </c>
      <c r="AJ51" s="92" t="b">
        <v>0</v>
      </c>
      <c r="AK51" s="90"/>
      <c r="AL51" s="91"/>
      <c r="AM51" s="91"/>
      <c r="AN51" s="92"/>
      <c r="AO51" s="90"/>
      <c r="AP51" s="91"/>
      <c r="AQ51" s="91"/>
      <c r="AR51" s="92"/>
      <c r="AS51" s="90"/>
      <c r="AT51" s="91"/>
      <c r="AU51" s="91"/>
      <c r="AV51" s="92"/>
      <c r="AW51" s="90"/>
      <c r="AX51" s="91"/>
      <c r="AY51" s="93"/>
      <c r="AZ51" s="91"/>
      <c r="BA51" s="92"/>
      <c r="BB51" s="90"/>
      <c r="BC51" s="91"/>
      <c r="BD51" s="93"/>
      <c r="BE51" s="91"/>
      <c r="BF51" s="92"/>
      <c r="BG51" s="33">
        <f t="shared" si="2"/>
        <v>0</v>
      </c>
      <c r="BH51" s="27"/>
      <c r="BI51" s="27"/>
      <c r="BJ51" s="27"/>
    </row>
    <row r="52" ht="15.75" customHeight="1" spans="1:62">
      <c r="A52" s="29"/>
      <c r="B52" s="29"/>
      <c r="C52" s="29"/>
      <c r="D52" s="33">
        <v>43</v>
      </c>
      <c r="E52" s="31"/>
      <c r="F52" s="31"/>
      <c r="G52" s="32"/>
      <c r="H52" s="32"/>
      <c r="I52" s="33"/>
      <c r="J52" s="27" t="str">
        <f t="shared" si="0"/>
        <v/>
      </c>
      <c r="K52" s="32"/>
      <c r="L52" s="32"/>
      <c r="M52" s="32"/>
      <c r="N52" s="32"/>
      <c r="O52" s="32"/>
      <c r="P52" s="32"/>
      <c r="Q52" s="34"/>
      <c r="R52" s="88" t="str">
        <f ca="1" t="shared" si="4"/>
        <v/>
      </c>
      <c r="S52" s="27"/>
      <c r="T52" s="27"/>
      <c r="U52" s="27"/>
      <c r="V52" s="35"/>
      <c r="W52" s="30"/>
      <c r="X52" s="33"/>
      <c r="Y52" s="36"/>
      <c r="Z52" s="37"/>
      <c r="AA52" s="27"/>
      <c r="AB52" s="27"/>
      <c r="AC52" s="27"/>
      <c r="AD52" s="27"/>
      <c r="AE52" s="27"/>
      <c r="AF52" s="27"/>
      <c r="AG52" s="90" t="b">
        <v>0</v>
      </c>
      <c r="AH52" s="91" t="b">
        <v>0</v>
      </c>
      <c r="AI52" s="91" t="b">
        <v>0</v>
      </c>
      <c r="AJ52" s="92" t="b">
        <v>0</v>
      </c>
      <c r="AK52" s="90"/>
      <c r="AL52" s="91"/>
      <c r="AM52" s="91"/>
      <c r="AN52" s="92"/>
      <c r="AO52" s="90"/>
      <c r="AP52" s="91"/>
      <c r="AQ52" s="91"/>
      <c r="AR52" s="92"/>
      <c r="AS52" s="90"/>
      <c r="AT52" s="91"/>
      <c r="AU52" s="91"/>
      <c r="AV52" s="92"/>
      <c r="AW52" s="90"/>
      <c r="AX52" s="91"/>
      <c r="AY52" s="93"/>
      <c r="AZ52" s="91"/>
      <c r="BA52" s="92"/>
      <c r="BB52" s="90"/>
      <c r="BC52" s="91"/>
      <c r="BD52" s="93"/>
      <c r="BE52" s="91"/>
      <c r="BF52" s="92"/>
      <c r="BG52" s="33">
        <f t="shared" si="2"/>
        <v>0</v>
      </c>
      <c r="BH52" s="27"/>
      <c r="BI52" s="27"/>
      <c r="BJ52" s="27"/>
    </row>
    <row r="53" ht="15.75" customHeight="1" spans="1:62">
      <c r="A53" s="29"/>
      <c r="B53" s="29"/>
      <c r="C53" s="29"/>
      <c r="D53" s="33">
        <v>44</v>
      </c>
      <c r="E53" s="31"/>
      <c r="F53" s="31"/>
      <c r="G53" s="32"/>
      <c r="H53" s="32"/>
      <c r="I53" s="33"/>
      <c r="J53" s="27" t="str">
        <f t="shared" si="0"/>
        <v/>
      </c>
      <c r="K53" s="32"/>
      <c r="L53" s="32"/>
      <c r="M53" s="32"/>
      <c r="N53" s="32"/>
      <c r="O53" s="32"/>
      <c r="P53" s="32"/>
      <c r="Q53" s="34"/>
      <c r="R53" s="88" t="str">
        <f ca="1" t="shared" si="4"/>
        <v/>
      </c>
      <c r="S53" s="27"/>
      <c r="T53" s="27"/>
      <c r="U53" s="27"/>
      <c r="V53" s="35"/>
      <c r="W53" s="30"/>
      <c r="X53" s="33"/>
      <c r="Y53" s="36"/>
      <c r="Z53" s="37"/>
      <c r="AA53" s="27"/>
      <c r="AB53" s="27"/>
      <c r="AC53" s="27"/>
      <c r="AD53" s="27"/>
      <c r="AE53" s="27"/>
      <c r="AF53" s="27"/>
      <c r="AG53" s="90" t="b">
        <v>0</v>
      </c>
      <c r="AH53" s="91" t="b">
        <v>0</v>
      </c>
      <c r="AI53" s="91" t="b">
        <v>0</v>
      </c>
      <c r="AJ53" s="92" t="b">
        <v>0</v>
      </c>
      <c r="AK53" s="90"/>
      <c r="AL53" s="91"/>
      <c r="AM53" s="91"/>
      <c r="AN53" s="92"/>
      <c r="AO53" s="90"/>
      <c r="AP53" s="91"/>
      <c r="AQ53" s="91"/>
      <c r="AR53" s="92"/>
      <c r="AS53" s="90"/>
      <c r="AT53" s="91"/>
      <c r="AU53" s="91"/>
      <c r="AV53" s="92"/>
      <c r="AW53" s="90"/>
      <c r="AX53" s="91"/>
      <c r="AY53" s="93"/>
      <c r="AZ53" s="91"/>
      <c r="BA53" s="92"/>
      <c r="BB53" s="90"/>
      <c r="BC53" s="91"/>
      <c r="BD53" s="93"/>
      <c r="BE53" s="91"/>
      <c r="BF53" s="92"/>
      <c r="BG53" s="33">
        <f t="shared" si="2"/>
        <v>0</v>
      </c>
      <c r="BH53" s="27"/>
      <c r="BI53" s="27"/>
      <c r="BJ53" s="27"/>
    </row>
    <row r="54" ht="15.75" customHeight="1" spans="1:62">
      <c r="A54" s="29"/>
      <c r="B54" s="29"/>
      <c r="C54" s="29"/>
      <c r="D54" s="33">
        <v>45</v>
      </c>
      <c r="E54" s="31"/>
      <c r="F54" s="31"/>
      <c r="G54" s="32"/>
      <c r="H54" s="32"/>
      <c r="I54" s="33"/>
      <c r="J54" s="27" t="str">
        <f t="shared" si="0"/>
        <v/>
      </c>
      <c r="K54" s="32"/>
      <c r="L54" s="32"/>
      <c r="M54" s="32"/>
      <c r="N54" s="32"/>
      <c r="O54" s="32"/>
      <c r="P54" s="27"/>
      <c r="Q54" s="34"/>
      <c r="R54" s="88" t="str">
        <f ca="1" t="shared" si="4"/>
        <v/>
      </c>
      <c r="S54" s="27"/>
      <c r="T54" s="27"/>
      <c r="U54" s="27"/>
      <c r="V54" s="35"/>
      <c r="W54" s="30"/>
      <c r="X54" s="33"/>
      <c r="Y54" s="36"/>
      <c r="Z54" s="37"/>
      <c r="AA54" s="27"/>
      <c r="AB54" s="27"/>
      <c r="AC54" s="27"/>
      <c r="AD54" s="27"/>
      <c r="AE54" s="27"/>
      <c r="AF54" s="27"/>
      <c r="AG54" s="90" t="b">
        <v>0</v>
      </c>
      <c r="AH54" s="91" t="b">
        <v>0</v>
      </c>
      <c r="AI54" s="91" t="b">
        <v>0</v>
      </c>
      <c r="AJ54" s="92" t="b">
        <v>0</v>
      </c>
      <c r="AK54" s="90"/>
      <c r="AL54" s="91"/>
      <c r="AM54" s="91"/>
      <c r="AN54" s="92"/>
      <c r="AO54" s="90"/>
      <c r="AP54" s="91"/>
      <c r="AQ54" s="91"/>
      <c r="AR54" s="92"/>
      <c r="AS54" s="90"/>
      <c r="AT54" s="91"/>
      <c r="AU54" s="91"/>
      <c r="AV54" s="92"/>
      <c r="AW54" s="90"/>
      <c r="AX54" s="91"/>
      <c r="AY54" s="93"/>
      <c r="AZ54" s="91"/>
      <c r="BA54" s="92"/>
      <c r="BB54" s="90"/>
      <c r="BC54" s="91"/>
      <c r="BD54" s="93"/>
      <c r="BE54" s="91"/>
      <c r="BF54" s="92"/>
      <c r="BG54" s="33">
        <f t="shared" si="2"/>
        <v>0</v>
      </c>
      <c r="BH54" s="27"/>
      <c r="BI54" s="27"/>
      <c r="BJ54" s="27"/>
    </row>
    <row r="55" ht="15.75" customHeight="1" spans="1:62">
      <c r="A55" s="29"/>
      <c r="B55" s="29"/>
      <c r="C55" s="29"/>
      <c r="D55" s="33">
        <v>46</v>
      </c>
      <c r="E55" s="31"/>
      <c r="F55" s="31"/>
      <c r="G55" s="32"/>
      <c r="H55" s="32"/>
      <c r="I55" s="33"/>
      <c r="J55" s="27" t="str">
        <f t="shared" si="0"/>
        <v/>
      </c>
      <c r="K55" s="32"/>
      <c r="L55" s="32"/>
      <c r="M55" s="32"/>
      <c r="N55" s="32"/>
      <c r="O55" s="32"/>
      <c r="P55" s="27"/>
      <c r="Q55" s="34"/>
      <c r="R55" s="88" t="str">
        <f ca="1" t="shared" si="4"/>
        <v/>
      </c>
      <c r="S55" s="27"/>
      <c r="T55" s="27"/>
      <c r="U55" s="27"/>
      <c r="V55" s="35"/>
      <c r="W55" s="30"/>
      <c r="X55" s="33"/>
      <c r="Y55" s="36"/>
      <c r="Z55" s="37"/>
      <c r="AA55" s="27"/>
      <c r="AB55" s="27"/>
      <c r="AC55" s="27"/>
      <c r="AD55" s="27"/>
      <c r="AE55" s="27"/>
      <c r="AF55" s="27"/>
      <c r="AG55" s="90" t="b">
        <v>0</v>
      </c>
      <c r="AH55" s="91" t="b">
        <v>0</v>
      </c>
      <c r="AI55" s="91" t="b">
        <v>0</v>
      </c>
      <c r="AJ55" s="92" t="b">
        <v>0</v>
      </c>
      <c r="AK55" s="90"/>
      <c r="AL55" s="91"/>
      <c r="AM55" s="91"/>
      <c r="AN55" s="92"/>
      <c r="AO55" s="90"/>
      <c r="AP55" s="91"/>
      <c r="AQ55" s="91"/>
      <c r="AR55" s="92"/>
      <c r="AS55" s="90"/>
      <c r="AT55" s="91"/>
      <c r="AU55" s="91"/>
      <c r="AV55" s="92"/>
      <c r="AW55" s="90"/>
      <c r="AX55" s="91"/>
      <c r="AY55" s="93"/>
      <c r="AZ55" s="91"/>
      <c r="BA55" s="92"/>
      <c r="BB55" s="90"/>
      <c r="BC55" s="91"/>
      <c r="BD55" s="93"/>
      <c r="BE55" s="91"/>
      <c r="BF55" s="92"/>
      <c r="BG55" s="33">
        <f t="shared" si="2"/>
        <v>0</v>
      </c>
      <c r="BH55" s="27"/>
      <c r="BI55" s="27"/>
      <c r="BJ55" s="27"/>
    </row>
    <row r="56" ht="15.75" customHeight="1" spans="1:62">
      <c r="A56" s="29"/>
      <c r="B56" s="29"/>
      <c r="C56" s="29"/>
      <c r="D56" s="33">
        <v>47</v>
      </c>
      <c r="E56" s="31"/>
      <c r="F56" s="31"/>
      <c r="G56" s="32"/>
      <c r="H56" s="32"/>
      <c r="I56" s="33"/>
      <c r="J56" s="27" t="str">
        <f t="shared" si="0"/>
        <v/>
      </c>
      <c r="K56" s="32"/>
      <c r="L56" s="32"/>
      <c r="M56" s="32"/>
      <c r="N56" s="32"/>
      <c r="O56" s="32"/>
      <c r="P56" s="27"/>
      <c r="Q56" s="34"/>
      <c r="R56" s="88" t="str">
        <f ca="1" t="shared" si="4"/>
        <v/>
      </c>
      <c r="S56" s="27"/>
      <c r="T56" s="27"/>
      <c r="U56" s="27"/>
      <c r="V56" s="35"/>
      <c r="W56" s="30"/>
      <c r="X56" s="33"/>
      <c r="Y56" s="36"/>
      <c r="Z56" s="37"/>
      <c r="AA56" s="27"/>
      <c r="AB56" s="27"/>
      <c r="AC56" s="27"/>
      <c r="AD56" s="27"/>
      <c r="AE56" s="27"/>
      <c r="AF56" s="27"/>
      <c r="AG56" s="90" t="b">
        <v>0</v>
      </c>
      <c r="AH56" s="91" t="b">
        <v>0</v>
      </c>
      <c r="AI56" s="91" t="b">
        <v>0</v>
      </c>
      <c r="AJ56" s="92" t="b">
        <v>0</v>
      </c>
      <c r="AK56" s="90"/>
      <c r="AL56" s="91"/>
      <c r="AM56" s="91"/>
      <c r="AN56" s="92"/>
      <c r="AO56" s="90"/>
      <c r="AP56" s="91"/>
      <c r="AQ56" s="91"/>
      <c r="AR56" s="92"/>
      <c r="AS56" s="90"/>
      <c r="AT56" s="91"/>
      <c r="AU56" s="91"/>
      <c r="AV56" s="92"/>
      <c r="AW56" s="90"/>
      <c r="AX56" s="91"/>
      <c r="AY56" s="93"/>
      <c r="AZ56" s="91"/>
      <c r="BA56" s="92"/>
      <c r="BB56" s="90"/>
      <c r="BC56" s="91"/>
      <c r="BD56" s="93"/>
      <c r="BE56" s="91"/>
      <c r="BF56" s="92"/>
      <c r="BG56" s="33">
        <f t="shared" si="2"/>
        <v>0</v>
      </c>
      <c r="BH56" s="27"/>
      <c r="BI56" s="27"/>
      <c r="BJ56" s="27"/>
    </row>
    <row r="57" ht="15.75" customHeight="1" spans="1:62">
      <c r="A57" s="29"/>
      <c r="B57" s="29"/>
      <c r="C57" s="29"/>
      <c r="D57" s="33">
        <v>48</v>
      </c>
      <c r="E57" s="31"/>
      <c r="F57" s="31"/>
      <c r="G57" s="32"/>
      <c r="H57" s="32"/>
      <c r="I57" s="33"/>
      <c r="J57" s="27" t="str">
        <f t="shared" si="0"/>
        <v/>
      </c>
      <c r="K57" s="32"/>
      <c r="L57" s="32"/>
      <c r="M57" s="32"/>
      <c r="N57" s="32"/>
      <c r="O57" s="32"/>
      <c r="P57" s="32"/>
      <c r="Q57" s="34"/>
      <c r="R57" s="88" t="str">
        <f ca="1" t="shared" si="4"/>
        <v/>
      </c>
      <c r="S57" s="27"/>
      <c r="T57" s="27"/>
      <c r="U57" s="27"/>
      <c r="V57" s="35"/>
      <c r="W57" s="30"/>
      <c r="X57" s="33"/>
      <c r="Y57" s="36"/>
      <c r="Z57" s="37"/>
      <c r="AA57" s="27"/>
      <c r="AB57" s="27"/>
      <c r="AC57" s="27"/>
      <c r="AD57" s="27"/>
      <c r="AE57" s="27"/>
      <c r="AF57" s="27"/>
      <c r="AG57" s="90" t="b">
        <v>0</v>
      </c>
      <c r="AH57" s="91" t="b">
        <v>0</v>
      </c>
      <c r="AI57" s="91" t="b">
        <v>0</v>
      </c>
      <c r="AJ57" s="92" t="b">
        <v>0</v>
      </c>
      <c r="AK57" s="90"/>
      <c r="AL57" s="91"/>
      <c r="AM57" s="91"/>
      <c r="AN57" s="92"/>
      <c r="AO57" s="90"/>
      <c r="AP57" s="91"/>
      <c r="AQ57" s="91"/>
      <c r="AR57" s="92"/>
      <c r="AS57" s="90"/>
      <c r="AT57" s="91"/>
      <c r="AU57" s="91"/>
      <c r="AV57" s="92"/>
      <c r="AW57" s="90"/>
      <c r="AX57" s="91"/>
      <c r="AY57" s="93"/>
      <c r="AZ57" s="91"/>
      <c r="BA57" s="92"/>
      <c r="BB57" s="90"/>
      <c r="BC57" s="91"/>
      <c r="BD57" s="93"/>
      <c r="BE57" s="91"/>
      <c r="BF57" s="92"/>
      <c r="BG57" s="33">
        <f t="shared" si="2"/>
        <v>0</v>
      </c>
      <c r="BH57" s="27"/>
      <c r="BI57" s="27"/>
      <c r="BJ57" s="27"/>
    </row>
    <row r="58" ht="15.75" customHeight="1" spans="1:62">
      <c r="A58" s="29"/>
      <c r="B58" s="29"/>
      <c r="C58" s="29"/>
      <c r="D58" s="33">
        <v>49</v>
      </c>
      <c r="E58" s="31"/>
      <c r="F58" s="31"/>
      <c r="G58" s="32"/>
      <c r="H58" s="32"/>
      <c r="I58" s="33"/>
      <c r="J58" s="27" t="str">
        <f t="shared" si="0"/>
        <v/>
      </c>
      <c r="K58" s="32"/>
      <c r="L58" s="32"/>
      <c r="M58" s="32"/>
      <c r="N58" s="32"/>
      <c r="O58" s="32"/>
      <c r="P58" s="32"/>
      <c r="Q58" s="34"/>
      <c r="R58" s="88" t="str">
        <f ca="1" t="shared" si="4"/>
        <v/>
      </c>
      <c r="S58" s="27"/>
      <c r="T58" s="27"/>
      <c r="U58" s="27"/>
      <c r="V58" s="35"/>
      <c r="W58" s="30"/>
      <c r="X58" s="33"/>
      <c r="Y58" s="36"/>
      <c r="Z58" s="37"/>
      <c r="AA58" s="27"/>
      <c r="AB58" s="27"/>
      <c r="AC58" s="27"/>
      <c r="AD58" s="27"/>
      <c r="AE58" s="27"/>
      <c r="AF58" s="27"/>
      <c r="AG58" s="90" t="b">
        <v>0</v>
      </c>
      <c r="AH58" s="91" t="b">
        <v>0</v>
      </c>
      <c r="AI58" s="91" t="b">
        <v>0</v>
      </c>
      <c r="AJ58" s="92" t="b">
        <v>0</v>
      </c>
      <c r="AK58" s="90"/>
      <c r="AL58" s="91"/>
      <c r="AM58" s="91"/>
      <c r="AN58" s="92"/>
      <c r="AO58" s="90"/>
      <c r="AP58" s="91"/>
      <c r="AQ58" s="91"/>
      <c r="AR58" s="92"/>
      <c r="AS58" s="90"/>
      <c r="AT58" s="91"/>
      <c r="AU58" s="91"/>
      <c r="AV58" s="92"/>
      <c r="AW58" s="90"/>
      <c r="AX58" s="91"/>
      <c r="AY58" s="93"/>
      <c r="AZ58" s="91"/>
      <c r="BA58" s="92"/>
      <c r="BB58" s="90"/>
      <c r="BC58" s="91"/>
      <c r="BD58" s="93"/>
      <c r="BE58" s="91"/>
      <c r="BF58" s="92"/>
      <c r="BG58" s="33">
        <f t="shared" si="2"/>
        <v>0</v>
      </c>
      <c r="BH58" s="27"/>
      <c r="BI58" s="27"/>
      <c r="BJ58" s="27"/>
    </row>
    <row r="59" ht="15.75" customHeight="1" spans="1:62">
      <c r="A59" s="29"/>
      <c r="B59" s="29"/>
      <c r="C59" s="29"/>
      <c r="D59" s="33">
        <v>50</v>
      </c>
      <c r="E59" s="31"/>
      <c r="F59" s="31"/>
      <c r="G59" s="32"/>
      <c r="H59" s="32"/>
      <c r="I59" s="33"/>
      <c r="J59" s="27" t="str">
        <f t="shared" si="0"/>
        <v/>
      </c>
      <c r="K59" s="32"/>
      <c r="L59" s="32"/>
      <c r="M59" s="32"/>
      <c r="N59" s="32"/>
      <c r="O59" s="32"/>
      <c r="P59" s="32"/>
      <c r="Q59" s="34"/>
      <c r="R59" s="88" t="str">
        <f ca="1" t="shared" si="4"/>
        <v/>
      </c>
      <c r="S59" s="27"/>
      <c r="T59" s="27"/>
      <c r="U59" s="27"/>
      <c r="V59" s="35"/>
      <c r="W59" s="30"/>
      <c r="X59" s="33"/>
      <c r="Y59" s="36"/>
      <c r="Z59" s="37"/>
      <c r="AA59" s="27"/>
      <c r="AB59" s="27"/>
      <c r="AC59" s="27"/>
      <c r="AD59" s="27"/>
      <c r="AE59" s="27"/>
      <c r="AF59" s="27"/>
      <c r="AG59" s="90" t="b">
        <v>0</v>
      </c>
      <c r="AH59" s="91" t="b">
        <v>0</v>
      </c>
      <c r="AI59" s="91" t="b">
        <v>0</v>
      </c>
      <c r="AJ59" s="92" t="b">
        <v>0</v>
      </c>
      <c r="AK59" s="90"/>
      <c r="AL59" s="91"/>
      <c r="AM59" s="91"/>
      <c r="AN59" s="92"/>
      <c r="AO59" s="90"/>
      <c r="AP59" s="91"/>
      <c r="AQ59" s="91"/>
      <c r="AR59" s="92"/>
      <c r="AS59" s="90"/>
      <c r="AT59" s="91"/>
      <c r="AU59" s="91"/>
      <c r="AV59" s="92"/>
      <c r="AW59" s="90"/>
      <c r="AX59" s="91"/>
      <c r="AY59" s="93"/>
      <c r="AZ59" s="91"/>
      <c r="BA59" s="92"/>
      <c r="BB59" s="90"/>
      <c r="BC59" s="91"/>
      <c r="BD59" s="93"/>
      <c r="BE59" s="91"/>
      <c r="BF59" s="92"/>
      <c r="BG59" s="33">
        <f t="shared" si="2"/>
        <v>0</v>
      </c>
      <c r="BH59" s="27"/>
      <c r="BI59" s="27"/>
      <c r="BJ59" s="27"/>
    </row>
    <row r="60" ht="15.75" customHeight="1" spans="1:62">
      <c r="A60" s="29"/>
      <c r="B60" s="29"/>
      <c r="C60" s="29"/>
      <c r="D60" s="33">
        <v>51</v>
      </c>
      <c r="E60" s="31"/>
      <c r="F60" s="31"/>
      <c r="G60" s="32"/>
      <c r="H60" s="32"/>
      <c r="I60" s="33"/>
      <c r="J60" s="27" t="str">
        <f t="shared" si="0"/>
        <v/>
      </c>
      <c r="K60" s="32"/>
      <c r="L60" s="32"/>
      <c r="M60" s="32"/>
      <c r="N60" s="32"/>
      <c r="O60" s="32"/>
      <c r="P60" s="32"/>
      <c r="Q60" s="34"/>
      <c r="R60" s="88" t="str">
        <f ca="1" t="shared" si="4"/>
        <v/>
      </c>
      <c r="S60" s="27"/>
      <c r="T60" s="27"/>
      <c r="U60" s="27"/>
      <c r="V60" s="35"/>
      <c r="W60" s="30"/>
      <c r="X60" s="33"/>
      <c r="Y60" s="36"/>
      <c r="Z60" s="37"/>
      <c r="AA60" s="27"/>
      <c r="AB60" s="27"/>
      <c r="AC60" s="27"/>
      <c r="AD60" s="27"/>
      <c r="AE60" s="27"/>
      <c r="AF60" s="27"/>
      <c r="AG60" s="90" t="b">
        <v>0</v>
      </c>
      <c r="AH60" s="91" t="b">
        <v>0</v>
      </c>
      <c r="AI60" s="91" t="b">
        <v>0</v>
      </c>
      <c r="AJ60" s="92" t="b">
        <v>0</v>
      </c>
      <c r="AK60" s="90"/>
      <c r="AL60" s="91"/>
      <c r="AM60" s="91"/>
      <c r="AN60" s="92"/>
      <c r="AO60" s="90"/>
      <c r="AP60" s="91"/>
      <c r="AQ60" s="91"/>
      <c r="AR60" s="92"/>
      <c r="AS60" s="90"/>
      <c r="AT60" s="91"/>
      <c r="AU60" s="91"/>
      <c r="AV60" s="92"/>
      <c r="AW60" s="90"/>
      <c r="AX60" s="91"/>
      <c r="AY60" s="93"/>
      <c r="AZ60" s="91"/>
      <c r="BA60" s="92"/>
      <c r="BB60" s="90"/>
      <c r="BC60" s="91"/>
      <c r="BD60" s="93"/>
      <c r="BE60" s="91"/>
      <c r="BF60" s="92"/>
      <c r="BG60" s="33">
        <f t="shared" si="2"/>
        <v>0</v>
      </c>
      <c r="BH60" s="27"/>
      <c r="BI60" s="27"/>
      <c r="BJ60" s="27"/>
    </row>
    <row r="61" ht="15.75" customHeight="1" spans="1:62">
      <c r="A61" s="29"/>
      <c r="B61" s="29"/>
      <c r="C61" s="29"/>
      <c r="D61" s="33">
        <v>52</v>
      </c>
      <c r="E61" s="31"/>
      <c r="F61" s="31"/>
      <c r="G61" s="32"/>
      <c r="H61" s="32"/>
      <c r="I61" s="33"/>
      <c r="J61" s="27" t="str">
        <f t="shared" si="0"/>
        <v/>
      </c>
      <c r="K61" s="32"/>
      <c r="L61" s="32"/>
      <c r="M61" s="32"/>
      <c r="N61" s="32"/>
      <c r="O61" s="32"/>
      <c r="P61" s="32"/>
      <c r="Q61" s="34"/>
      <c r="R61" s="88" t="str">
        <f ca="1" t="shared" si="4"/>
        <v/>
      </c>
      <c r="S61" s="27"/>
      <c r="T61" s="27"/>
      <c r="U61" s="27"/>
      <c r="V61" s="35"/>
      <c r="W61" s="30"/>
      <c r="X61" s="33"/>
      <c r="Y61" s="36"/>
      <c r="Z61" s="37"/>
      <c r="AA61" s="27"/>
      <c r="AB61" s="27"/>
      <c r="AC61" s="27"/>
      <c r="AD61" s="27"/>
      <c r="AE61" s="27"/>
      <c r="AF61" s="27"/>
      <c r="AG61" s="90" t="b">
        <v>0</v>
      </c>
      <c r="AH61" s="91" t="b">
        <v>0</v>
      </c>
      <c r="AI61" s="91" t="b">
        <v>0</v>
      </c>
      <c r="AJ61" s="92" t="b">
        <v>0</v>
      </c>
      <c r="AK61" s="90"/>
      <c r="AL61" s="91"/>
      <c r="AM61" s="91"/>
      <c r="AN61" s="92"/>
      <c r="AO61" s="90"/>
      <c r="AP61" s="91"/>
      <c r="AQ61" s="91"/>
      <c r="AR61" s="92"/>
      <c r="AS61" s="90"/>
      <c r="AT61" s="91"/>
      <c r="AU61" s="91"/>
      <c r="AV61" s="92"/>
      <c r="AW61" s="90"/>
      <c r="AX61" s="91"/>
      <c r="AY61" s="93"/>
      <c r="AZ61" s="91"/>
      <c r="BA61" s="92"/>
      <c r="BB61" s="90"/>
      <c r="BC61" s="91"/>
      <c r="BD61" s="93"/>
      <c r="BE61" s="91"/>
      <c r="BF61" s="92"/>
      <c r="BG61" s="33">
        <f t="shared" si="2"/>
        <v>0</v>
      </c>
      <c r="BH61" s="27"/>
      <c r="BI61" s="27"/>
      <c r="BJ61" s="27"/>
    </row>
    <row r="62" ht="15.75" customHeight="1" spans="1:62">
      <c r="A62" s="29"/>
      <c r="B62" s="29"/>
      <c r="C62" s="29"/>
      <c r="D62" s="33">
        <v>53</v>
      </c>
      <c r="E62" s="31"/>
      <c r="F62" s="31"/>
      <c r="G62" s="32"/>
      <c r="H62" s="32"/>
      <c r="I62" s="33"/>
      <c r="J62" s="27" t="str">
        <f t="shared" si="0"/>
        <v/>
      </c>
      <c r="K62" s="32"/>
      <c r="L62" s="32"/>
      <c r="M62" s="32"/>
      <c r="N62" s="32"/>
      <c r="O62" s="32"/>
      <c r="P62" s="32"/>
      <c r="Q62" s="34"/>
      <c r="R62" s="88" t="str">
        <f ca="1" t="shared" si="4"/>
        <v/>
      </c>
      <c r="S62" s="32"/>
      <c r="T62" s="27"/>
      <c r="U62" s="27"/>
      <c r="V62" s="35"/>
      <c r="W62" s="30"/>
      <c r="X62" s="33"/>
      <c r="Y62" s="36"/>
      <c r="Z62" s="37"/>
      <c r="AA62" s="27"/>
      <c r="AB62" s="27"/>
      <c r="AC62" s="27"/>
      <c r="AD62" s="27"/>
      <c r="AE62" s="27"/>
      <c r="AF62" s="27"/>
      <c r="AG62" s="90" t="b">
        <v>0</v>
      </c>
      <c r="AH62" s="91" t="b">
        <v>0</v>
      </c>
      <c r="AI62" s="91" t="b">
        <v>0</v>
      </c>
      <c r="AJ62" s="92" t="b">
        <v>0</v>
      </c>
      <c r="AK62" s="90"/>
      <c r="AL62" s="91"/>
      <c r="AM62" s="91"/>
      <c r="AN62" s="92"/>
      <c r="AO62" s="90"/>
      <c r="AP62" s="91"/>
      <c r="AQ62" s="91"/>
      <c r="AR62" s="92"/>
      <c r="AS62" s="90"/>
      <c r="AT62" s="91"/>
      <c r="AU62" s="91"/>
      <c r="AV62" s="92"/>
      <c r="AW62" s="90"/>
      <c r="AX62" s="91"/>
      <c r="AY62" s="93"/>
      <c r="AZ62" s="91"/>
      <c r="BA62" s="92"/>
      <c r="BB62" s="90"/>
      <c r="BC62" s="91"/>
      <c r="BD62" s="93"/>
      <c r="BE62" s="91"/>
      <c r="BF62" s="92"/>
      <c r="BG62" s="33">
        <f t="shared" si="2"/>
        <v>0</v>
      </c>
      <c r="BH62" s="27"/>
      <c r="BI62" s="27"/>
      <c r="BJ62" s="27"/>
    </row>
    <row r="63" ht="15.75" customHeight="1" spans="1:62">
      <c r="A63" s="29"/>
      <c r="B63" s="29"/>
      <c r="C63" s="29"/>
      <c r="D63" s="33">
        <v>54</v>
      </c>
      <c r="E63" s="31"/>
      <c r="F63" s="31"/>
      <c r="G63" s="32"/>
      <c r="H63" s="32"/>
      <c r="I63" s="33"/>
      <c r="J63" s="27" t="str">
        <f t="shared" si="0"/>
        <v/>
      </c>
      <c r="K63" s="32"/>
      <c r="L63" s="32"/>
      <c r="M63" s="32"/>
      <c r="N63" s="32"/>
      <c r="O63" s="32"/>
      <c r="P63" s="32"/>
      <c r="Q63" s="34"/>
      <c r="R63" s="88" t="str">
        <f ca="1" t="shared" si="4"/>
        <v/>
      </c>
      <c r="S63" s="27"/>
      <c r="T63" s="27"/>
      <c r="U63" s="27"/>
      <c r="V63" s="35"/>
      <c r="W63" s="30"/>
      <c r="X63" s="33"/>
      <c r="Y63" s="36"/>
      <c r="Z63" s="37"/>
      <c r="AA63" s="27"/>
      <c r="AB63" s="27"/>
      <c r="AC63" s="27"/>
      <c r="AD63" s="27"/>
      <c r="AE63" s="27"/>
      <c r="AF63" s="27"/>
      <c r="AG63" s="90" t="b">
        <v>0</v>
      </c>
      <c r="AH63" s="91" t="b">
        <v>0</v>
      </c>
      <c r="AI63" s="91" t="b">
        <v>0</v>
      </c>
      <c r="AJ63" s="92" t="b">
        <v>0</v>
      </c>
      <c r="AK63" s="90"/>
      <c r="AL63" s="91"/>
      <c r="AM63" s="91"/>
      <c r="AN63" s="92"/>
      <c r="AO63" s="90"/>
      <c r="AP63" s="91"/>
      <c r="AQ63" s="91"/>
      <c r="AR63" s="92"/>
      <c r="AS63" s="90"/>
      <c r="AT63" s="91"/>
      <c r="AU63" s="91"/>
      <c r="AV63" s="92"/>
      <c r="AW63" s="90"/>
      <c r="AX63" s="91"/>
      <c r="AY63" s="93"/>
      <c r="AZ63" s="91"/>
      <c r="BA63" s="92"/>
      <c r="BB63" s="90"/>
      <c r="BC63" s="91"/>
      <c r="BD63" s="93"/>
      <c r="BE63" s="91"/>
      <c r="BF63" s="92"/>
      <c r="BG63" s="33">
        <f t="shared" si="2"/>
        <v>0</v>
      </c>
      <c r="BH63" s="27"/>
      <c r="BI63" s="27"/>
      <c r="BJ63" s="27"/>
    </row>
    <row r="64" ht="15.75" customHeight="1" spans="1:62">
      <c r="A64" s="29"/>
      <c r="B64" s="29"/>
      <c r="C64" s="29"/>
      <c r="D64" s="33">
        <v>55</v>
      </c>
      <c r="E64" s="31"/>
      <c r="F64" s="31"/>
      <c r="G64" s="32"/>
      <c r="H64" s="32"/>
      <c r="I64" s="33"/>
      <c r="J64" s="27" t="str">
        <f t="shared" si="0"/>
        <v/>
      </c>
      <c r="K64" s="32"/>
      <c r="L64" s="32"/>
      <c r="M64" s="32"/>
      <c r="N64" s="32"/>
      <c r="O64" s="32"/>
      <c r="P64" s="32"/>
      <c r="Q64" s="34"/>
      <c r="R64" s="88" t="str">
        <f ca="1" t="shared" si="4"/>
        <v/>
      </c>
      <c r="S64" s="27"/>
      <c r="T64" s="27"/>
      <c r="U64" s="27"/>
      <c r="V64" s="35"/>
      <c r="W64" s="30"/>
      <c r="X64" s="33"/>
      <c r="Y64" s="36"/>
      <c r="Z64" s="37"/>
      <c r="AA64" s="27"/>
      <c r="AB64" s="27"/>
      <c r="AC64" s="27"/>
      <c r="AD64" s="27"/>
      <c r="AE64" s="27"/>
      <c r="AF64" s="27"/>
      <c r="AG64" s="90" t="b">
        <v>0</v>
      </c>
      <c r="AH64" s="91" t="b">
        <v>0</v>
      </c>
      <c r="AI64" s="91" t="b">
        <v>0</v>
      </c>
      <c r="AJ64" s="92" t="b">
        <v>0</v>
      </c>
      <c r="AK64" s="90"/>
      <c r="AL64" s="91"/>
      <c r="AM64" s="91"/>
      <c r="AN64" s="92"/>
      <c r="AO64" s="90"/>
      <c r="AP64" s="91"/>
      <c r="AQ64" s="91"/>
      <c r="AR64" s="92"/>
      <c r="AS64" s="90"/>
      <c r="AT64" s="91"/>
      <c r="AU64" s="91"/>
      <c r="AV64" s="92"/>
      <c r="AW64" s="90"/>
      <c r="AX64" s="91"/>
      <c r="AY64" s="93"/>
      <c r="AZ64" s="91"/>
      <c r="BA64" s="92"/>
      <c r="BB64" s="90"/>
      <c r="BC64" s="91"/>
      <c r="BD64" s="93"/>
      <c r="BE64" s="91"/>
      <c r="BF64" s="92"/>
      <c r="BG64" s="33">
        <f t="shared" si="2"/>
        <v>0</v>
      </c>
      <c r="BH64" s="27"/>
      <c r="BI64" s="27"/>
      <c r="BJ64" s="27"/>
    </row>
    <row r="65" ht="15.75" customHeight="1" spans="1:62">
      <c r="A65" s="29"/>
      <c r="B65" s="29"/>
      <c r="C65" s="29"/>
      <c r="D65" s="33">
        <v>56</v>
      </c>
      <c r="E65" s="31"/>
      <c r="F65" s="31"/>
      <c r="G65" s="32"/>
      <c r="H65" s="32"/>
      <c r="I65" s="33"/>
      <c r="J65" s="27" t="str">
        <f t="shared" si="0"/>
        <v/>
      </c>
      <c r="K65" s="32"/>
      <c r="L65" s="32"/>
      <c r="M65" s="32"/>
      <c r="N65" s="32"/>
      <c r="O65" s="32"/>
      <c r="P65" s="32"/>
      <c r="Q65" s="34"/>
      <c r="R65" s="88" t="str">
        <f ca="1" t="shared" si="4"/>
        <v/>
      </c>
      <c r="S65" s="27"/>
      <c r="T65" s="27"/>
      <c r="U65" s="27"/>
      <c r="V65" s="35"/>
      <c r="W65" s="30"/>
      <c r="X65" s="33"/>
      <c r="Y65" s="36"/>
      <c r="Z65" s="37"/>
      <c r="AA65" s="27"/>
      <c r="AB65" s="27"/>
      <c r="AC65" s="27"/>
      <c r="AD65" s="27"/>
      <c r="AE65" s="27"/>
      <c r="AF65" s="27"/>
      <c r="AG65" s="90" t="b">
        <v>0</v>
      </c>
      <c r="AH65" s="91" t="b">
        <v>0</v>
      </c>
      <c r="AI65" s="91" t="b">
        <v>0</v>
      </c>
      <c r="AJ65" s="92" t="b">
        <v>0</v>
      </c>
      <c r="AK65" s="90"/>
      <c r="AL65" s="91"/>
      <c r="AM65" s="91"/>
      <c r="AN65" s="92"/>
      <c r="AO65" s="90"/>
      <c r="AP65" s="91"/>
      <c r="AQ65" s="91"/>
      <c r="AR65" s="92"/>
      <c r="AS65" s="90"/>
      <c r="AT65" s="91"/>
      <c r="AU65" s="91"/>
      <c r="AV65" s="92"/>
      <c r="AW65" s="90"/>
      <c r="AX65" s="91"/>
      <c r="AY65" s="93"/>
      <c r="AZ65" s="91"/>
      <c r="BA65" s="92"/>
      <c r="BB65" s="90"/>
      <c r="BC65" s="91"/>
      <c r="BD65" s="93"/>
      <c r="BE65" s="91"/>
      <c r="BF65" s="92"/>
      <c r="BG65" s="33">
        <f t="shared" si="2"/>
        <v>0</v>
      </c>
      <c r="BH65" s="27"/>
      <c r="BI65" s="27"/>
      <c r="BJ65" s="27"/>
    </row>
    <row r="66" ht="15.75" customHeight="1" spans="1:62">
      <c r="A66" s="29"/>
      <c r="B66" s="29"/>
      <c r="C66" s="29"/>
      <c r="D66" s="33">
        <v>57</v>
      </c>
      <c r="E66" s="31"/>
      <c r="F66" s="31"/>
      <c r="G66" s="32"/>
      <c r="H66" s="32"/>
      <c r="I66" s="33"/>
      <c r="J66" s="27" t="str">
        <f t="shared" si="0"/>
        <v/>
      </c>
      <c r="K66" s="32"/>
      <c r="L66" s="32"/>
      <c r="M66" s="32"/>
      <c r="N66" s="32"/>
      <c r="O66" s="32"/>
      <c r="P66" s="27"/>
      <c r="Q66" s="34"/>
      <c r="R66" s="88" t="str">
        <f ca="1" t="shared" si="4"/>
        <v/>
      </c>
      <c r="S66" s="27"/>
      <c r="T66" s="27"/>
      <c r="U66" s="27"/>
      <c r="V66" s="35"/>
      <c r="W66" s="30"/>
      <c r="X66" s="33"/>
      <c r="Y66" s="36"/>
      <c r="Z66" s="37"/>
      <c r="AA66" s="27"/>
      <c r="AB66" s="27"/>
      <c r="AC66" s="27"/>
      <c r="AD66" s="27"/>
      <c r="AE66" s="27"/>
      <c r="AF66" s="27"/>
      <c r="AG66" s="90" t="b">
        <v>0</v>
      </c>
      <c r="AH66" s="91" t="b">
        <v>0</v>
      </c>
      <c r="AI66" s="91" t="b">
        <v>0</v>
      </c>
      <c r="AJ66" s="92" t="b">
        <v>0</v>
      </c>
      <c r="AK66" s="90"/>
      <c r="AL66" s="91"/>
      <c r="AM66" s="91"/>
      <c r="AN66" s="92"/>
      <c r="AO66" s="90"/>
      <c r="AP66" s="91"/>
      <c r="AQ66" s="91"/>
      <c r="AR66" s="92"/>
      <c r="AS66" s="90"/>
      <c r="AT66" s="91"/>
      <c r="AU66" s="91"/>
      <c r="AV66" s="92"/>
      <c r="AW66" s="90"/>
      <c r="AX66" s="91"/>
      <c r="AY66" s="93"/>
      <c r="AZ66" s="91"/>
      <c r="BA66" s="92"/>
      <c r="BB66" s="90"/>
      <c r="BC66" s="91"/>
      <c r="BD66" s="93"/>
      <c r="BE66" s="91"/>
      <c r="BF66" s="92"/>
      <c r="BG66" s="33">
        <f t="shared" si="2"/>
        <v>0</v>
      </c>
      <c r="BH66" s="27"/>
      <c r="BI66" s="27"/>
      <c r="BJ66" s="27"/>
    </row>
    <row r="67" ht="15.75" customHeight="1" spans="1:62">
      <c r="A67" s="29"/>
      <c r="B67" s="29"/>
      <c r="C67" s="29"/>
      <c r="D67" s="33">
        <v>58</v>
      </c>
      <c r="E67" s="31"/>
      <c r="F67" s="31"/>
      <c r="G67" s="32"/>
      <c r="H67" s="32"/>
      <c r="I67" s="33"/>
      <c r="J67" s="27" t="str">
        <f t="shared" si="0"/>
        <v/>
      </c>
      <c r="K67" s="32"/>
      <c r="L67" s="32"/>
      <c r="M67" s="32"/>
      <c r="N67" s="32"/>
      <c r="O67" s="32"/>
      <c r="P67" s="32"/>
      <c r="Q67" s="34"/>
      <c r="R67" s="88" t="str">
        <f ca="1" t="shared" si="4"/>
        <v/>
      </c>
      <c r="S67" s="27"/>
      <c r="T67" s="27"/>
      <c r="U67" s="27"/>
      <c r="V67" s="35"/>
      <c r="W67" s="30"/>
      <c r="X67" s="33"/>
      <c r="Y67" s="36"/>
      <c r="Z67" s="37"/>
      <c r="AA67" s="27"/>
      <c r="AB67" s="27"/>
      <c r="AC67" s="27"/>
      <c r="AD67" s="27"/>
      <c r="AE67" s="27"/>
      <c r="AF67" s="27"/>
      <c r="AG67" s="90" t="b">
        <v>0</v>
      </c>
      <c r="AH67" s="91" t="b">
        <v>0</v>
      </c>
      <c r="AI67" s="91" t="b">
        <v>0</v>
      </c>
      <c r="AJ67" s="92" t="b">
        <v>0</v>
      </c>
      <c r="AK67" s="90"/>
      <c r="AL67" s="91"/>
      <c r="AM67" s="91"/>
      <c r="AN67" s="92"/>
      <c r="AO67" s="90"/>
      <c r="AP67" s="91"/>
      <c r="AQ67" s="91"/>
      <c r="AR67" s="92"/>
      <c r="AS67" s="90"/>
      <c r="AT67" s="91"/>
      <c r="AU67" s="91"/>
      <c r="AV67" s="92"/>
      <c r="AW67" s="90"/>
      <c r="AX67" s="91"/>
      <c r="AY67" s="93"/>
      <c r="AZ67" s="91"/>
      <c r="BA67" s="92"/>
      <c r="BB67" s="90"/>
      <c r="BC67" s="91"/>
      <c r="BD67" s="93"/>
      <c r="BE67" s="91"/>
      <c r="BF67" s="92"/>
      <c r="BG67" s="33">
        <f t="shared" si="2"/>
        <v>0</v>
      </c>
      <c r="BH67" s="27"/>
      <c r="BI67" s="27"/>
      <c r="BJ67" s="27"/>
    </row>
    <row r="68" ht="15.75" customHeight="1" spans="1:62">
      <c r="A68" s="29"/>
      <c r="B68" s="29"/>
      <c r="C68" s="29"/>
      <c r="D68" s="33">
        <v>59</v>
      </c>
      <c r="E68" s="31"/>
      <c r="F68" s="31"/>
      <c r="G68" s="32"/>
      <c r="H68" s="32"/>
      <c r="I68" s="33"/>
      <c r="J68" s="27" t="str">
        <f t="shared" si="0"/>
        <v/>
      </c>
      <c r="K68" s="32"/>
      <c r="L68" s="32"/>
      <c r="M68" s="32"/>
      <c r="N68" s="32"/>
      <c r="O68" s="32"/>
      <c r="P68" s="32"/>
      <c r="Q68" s="34"/>
      <c r="R68" s="88" t="str">
        <f ca="1" t="shared" si="4"/>
        <v/>
      </c>
      <c r="S68" s="27"/>
      <c r="T68" s="27"/>
      <c r="U68" s="27"/>
      <c r="V68" s="35"/>
      <c r="W68" s="30"/>
      <c r="X68" s="33"/>
      <c r="Y68" s="36"/>
      <c r="Z68" s="37"/>
      <c r="AA68" s="27"/>
      <c r="AB68" s="27"/>
      <c r="AC68" s="27"/>
      <c r="AD68" s="27"/>
      <c r="AE68" s="27"/>
      <c r="AF68" s="27"/>
      <c r="AG68" s="90" t="b">
        <v>0</v>
      </c>
      <c r="AH68" s="91" t="b">
        <v>0</v>
      </c>
      <c r="AI68" s="91" t="b">
        <v>0</v>
      </c>
      <c r="AJ68" s="92" t="b">
        <v>0</v>
      </c>
      <c r="AK68" s="90"/>
      <c r="AL68" s="91"/>
      <c r="AM68" s="91"/>
      <c r="AN68" s="92"/>
      <c r="AO68" s="90"/>
      <c r="AP68" s="91"/>
      <c r="AQ68" s="91"/>
      <c r="AR68" s="92"/>
      <c r="AS68" s="90"/>
      <c r="AT68" s="91"/>
      <c r="AU68" s="91"/>
      <c r="AV68" s="92"/>
      <c r="AW68" s="90"/>
      <c r="AX68" s="91"/>
      <c r="AY68" s="93"/>
      <c r="AZ68" s="91"/>
      <c r="BA68" s="92"/>
      <c r="BB68" s="90"/>
      <c r="BC68" s="91"/>
      <c r="BD68" s="93"/>
      <c r="BE68" s="91"/>
      <c r="BF68" s="92"/>
      <c r="BG68" s="33">
        <f t="shared" si="2"/>
        <v>0</v>
      </c>
      <c r="BH68" s="27"/>
      <c r="BI68" s="27"/>
      <c r="BJ68" s="27"/>
    </row>
    <row r="69" ht="15.75" customHeight="1" spans="1:62">
      <c r="A69" s="29"/>
      <c r="B69" s="29"/>
      <c r="C69" s="29"/>
      <c r="D69" s="33">
        <v>60</v>
      </c>
      <c r="E69" s="31"/>
      <c r="F69" s="31"/>
      <c r="G69" s="32"/>
      <c r="H69" s="32"/>
      <c r="I69" s="33"/>
      <c r="J69" s="27" t="str">
        <f t="shared" si="0"/>
        <v/>
      </c>
      <c r="K69" s="32"/>
      <c r="L69" s="32"/>
      <c r="M69" s="32"/>
      <c r="N69" s="32"/>
      <c r="O69" s="32"/>
      <c r="P69" s="32"/>
      <c r="Q69" s="34"/>
      <c r="R69" s="88" t="str">
        <f ca="1" t="shared" si="4"/>
        <v/>
      </c>
      <c r="S69" s="32"/>
      <c r="T69" s="27"/>
      <c r="U69" s="27"/>
      <c r="V69" s="35"/>
      <c r="W69" s="30"/>
      <c r="X69" s="33"/>
      <c r="Y69" s="36"/>
      <c r="Z69" s="37"/>
      <c r="AA69" s="27"/>
      <c r="AB69" s="27"/>
      <c r="AC69" s="27"/>
      <c r="AD69" s="27"/>
      <c r="AE69" s="27"/>
      <c r="AF69" s="27"/>
      <c r="AG69" s="90" t="b">
        <v>0</v>
      </c>
      <c r="AH69" s="91" t="b">
        <v>0</v>
      </c>
      <c r="AI69" s="91" t="b">
        <v>0</v>
      </c>
      <c r="AJ69" s="92" t="b">
        <v>0</v>
      </c>
      <c r="AK69" s="90"/>
      <c r="AL69" s="91"/>
      <c r="AM69" s="91"/>
      <c r="AN69" s="92"/>
      <c r="AO69" s="90"/>
      <c r="AP69" s="91"/>
      <c r="AQ69" s="91"/>
      <c r="AR69" s="92"/>
      <c r="AS69" s="90"/>
      <c r="AT69" s="91"/>
      <c r="AU69" s="91"/>
      <c r="AV69" s="92"/>
      <c r="AW69" s="90"/>
      <c r="AX69" s="91"/>
      <c r="AY69" s="93"/>
      <c r="AZ69" s="91"/>
      <c r="BA69" s="92"/>
      <c r="BB69" s="90"/>
      <c r="BC69" s="91"/>
      <c r="BD69" s="93"/>
      <c r="BE69" s="91"/>
      <c r="BF69" s="92"/>
      <c r="BG69" s="33">
        <f t="shared" si="2"/>
        <v>0</v>
      </c>
      <c r="BH69" s="27"/>
      <c r="BI69" s="27"/>
      <c r="BJ69" s="27"/>
    </row>
    <row r="70" ht="15.75" customHeight="1" spans="1:62">
      <c r="A70" s="29"/>
      <c r="B70" s="29"/>
      <c r="C70" s="29"/>
      <c r="D70" s="33">
        <v>61</v>
      </c>
      <c r="E70" s="31"/>
      <c r="F70" s="31"/>
      <c r="G70" s="32"/>
      <c r="H70" s="32"/>
      <c r="I70" s="33"/>
      <c r="J70" s="27" t="str">
        <f t="shared" si="0"/>
        <v/>
      </c>
      <c r="K70" s="32"/>
      <c r="L70" s="32"/>
      <c r="M70" s="32"/>
      <c r="N70" s="32"/>
      <c r="O70" s="32"/>
      <c r="P70" s="32"/>
      <c r="Q70" s="34"/>
      <c r="R70" s="88" t="str">
        <f ca="1" t="shared" si="4"/>
        <v/>
      </c>
      <c r="S70" s="27"/>
      <c r="T70" s="27"/>
      <c r="U70" s="27"/>
      <c r="V70" s="35"/>
      <c r="W70" s="30"/>
      <c r="X70" s="33"/>
      <c r="Y70" s="36"/>
      <c r="Z70" s="37"/>
      <c r="AA70" s="27"/>
      <c r="AB70" s="27"/>
      <c r="AC70" s="27"/>
      <c r="AD70" s="27"/>
      <c r="AE70" s="27"/>
      <c r="AF70" s="27"/>
      <c r="AG70" s="90" t="b">
        <v>0</v>
      </c>
      <c r="AH70" s="91" t="b">
        <v>0</v>
      </c>
      <c r="AI70" s="91" t="b">
        <v>0</v>
      </c>
      <c r="AJ70" s="92" t="b">
        <v>0</v>
      </c>
      <c r="AK70" s="90"/>
      <c r="AL70" s="91"/>
      <c r="AM70" s="91"/>
      <c r="AN70" s="92"/>
      <c r="AO70" s="90"/>
      <c r="AP70" s="91"/>
      <c r="AQ70" s="91"/>
      <c r="AR70" s="92"/>
      <c r="AS70" s="90"/>
      <c r="AT70" s="91"/>
      <c r="AU70" s="91"/>
      <c r="AV70" s="92"/>
      <c r="AW70" s="90"/>
      <c r="AX70" s="91"/>
      <c r="AY70" s="93"/>
      <c r="AZ70" s="91"/>
      <c r="BA70" s="92"/>
      <c r="BB70" s="90"/>
      <c r="BC70" s="91"/>
      <c r="BD70" s="93"/>
      <c r="BE70" s="91"/>
      <c r="BF70" s="92"/>
      <c r="BG70" s="33">
        <f t="shared" si="2"/>
        <v>0</v>
      </c>
      <c r="BH70" s="27"/>
      <c r="BI70" s="27"/>
      <c r="BJ70" s="27"/>
    </row>
    <row r="71" ht="15.75" customHeight="1" spans="1:62">
      <c r="A71" s="29"/>
      <c r="B71" s="29"/>
      <c r="C71" s="29"/>
      <c r="D71" s="33">
        <v>62</v>
      </c>
      <c r="E71" s="31"/>
      <c r="F71" s="31"/>
      <c r="G71" s="32"/>
      <c r="H71" s="32"/>
      <c r="I71" s="33"/>
      <c r="J71" s="27" t="str">
        <f t="shared" si="0"/>
        <v/>
      </c>
      <c r="K71" s="32"/>
      <c r="L71" s="32"/>
      <c r="M71" s="32"/>
      <c r="N71" s="32"/>
      <c r="O71" s="32"/>
      <c r="P71" s="27"/>
      <c r="Q71" s="34"/>
      <c r="R71" s="88" t="str">
        <f ca="1" t="shared" si="4"/>
        <v/>
      </c>
      <c r="S71" s="27"/>
      <c r="T71" s="27"/>
      <c r="U71" s="27"/>
      <c r="V71" s="35"/>
      <c r="W71" s="30"/>
      <c r="X71" s="33"/>
      <c r="Y71" s="36"/>
      <c r="Z71" s="37"/>
      <c r="AA71" s="27"/>
      <c r="AB71" s="27"/>
      <c r="AC71" s="27"/>
      <c r="AD71" s="27"/>
      <c r="AE71" s="27"/>
      <c r="AF71" s="27"/>
      <c r="AG71" s="90" t="b">
        <v>0</v>
      </c>
      <c r="AH71" s="91" t="b">
        <v>0</v>
      </c>
      <c r="AI71" s="91" t="b">
        <v>0</v>
      </c>
      <c r="AJ71" s="92" t="b">
        <v>0</v>
      </c>
      <c r="AK71" s="90"/>
      <c r="AL71" s="91"/>
      <c r="AM71" s="91"/>
      <c r="AN71" s="92"/>
      <c r="AO71" s="90"/>
      <c r="AP71" s="91"/>
      <c r="AQ71" s="91"/>
      <c r="AR71" s="92"/>
      <c r="AS71" s="90"/>
      <c r="AT71" s="91"/>
      <c r="AU71" s="91"/>
      <c r="AV71" s="92"/>
      <c r="AW71" s="90"/>
      <c r="AX71" s="91"/>
      <c r="AY71" s="93"/>
      <c r="AZ71" s="91"/>
      <c r="BA71" s="92"/>
      <c r="BB71" s="90"/>
      <c r="BC71" s="91"/>
      <c r="BD71" s="93"/>
      <c r="BE71" s="91"/>
      <c r="BF71" s="92"/>
      <c r="BG71" s="33">
        <f t="shared" si="2"/>
        <v>0</v>
      </c>
      <c r="BH71" s="27"/>
      <c r="BI71" s="27"/>
      <c r="BJ71" s="27"/>
    </row>
    <row r="72" ht="15.75" customHeight="1" spans="1:62">
      <c r="A72" s="29"/>
      <c r="B72" s="29"/>
      <c r="C72" s="29"/>
      <c r="D72" s="33">
        <v>63</v>
      </c>
      <c r="E72" s="31"/>
      <c r="F72" s="31"/>
      <c r="G72" s="32"/>
      <c r="H72" s="32"/>
      <c r="I72" s="33"/>
      <c r="J72" s="27" t="str">
        <f t="shared" si="0"/>
        <v/>
      </c>
      <c r="K72" s="32"/>
      <c r="L72" s="32"/>
      <c r="M72" s="32"/>
      <c r="N72" s="32"/>
      <c r="O72" s="32"/>
      <c r="P72" s="32"/>
      <c r="Q72" s="34"/>
      <c r="R72" s="88" t="str">
        <f ca="1" t="shared" si="4"/>
        <v/>
      </c>
      <c r="S72" s="27"/>
      <c r="T72" s="27"/>
      <c r="U72" s="27"/>
      <c r="V72" s="35"/>
      <c r="W72" s="30"/>
      <c r="X72" s="33"/>
      <c r="Y72" s="36"/>
      <c r="Z72" s="37"/>
      <c r="AA72" s="27"/>
      <c r="AB72" s="27"/>
      <c r="AC72" s="27"/>
      <c r="AD72" s="27"/>
      <c r="AE72" s="27"/>
      <c r="AF72" s="27"/>
      <c r="AG72" s="90" t="b">
        <v>0</v>
      </c>
      <c r="AH72" s="91" t="b">
        <v>0</v>
      </c>
      <c r="AI72" s="91" t="b">
        <v>0</v>
      </c>
      <c r="AJ72" s="92" t="b">
        <v>0</v>
      </c>
      <c r="AK72" s="90"/>
      <c r="AL72" s="91"/>
      <c r="AM72" s="91"/>
      <c r="AN72" s="92"/>
      <c r="AO72" s="90"/>
      <c r="AP72" s="91"/>
      <c r="AQ72" s="91"/>
      <c r="AR72" s="92"/>
      <c r="AS72" s="90"/>
      <c r="AT72" s="91"/>
      <c r="AU72" s="91"/>
      <c r="AV72" s="92"/>
      <c r="AW72" s="90"/>
      <c r="AX72" s="91"/>
      <c r="AY72" s="93"/>
      <c r="AZ72" s="91"/>
      <c r="BA72" s="92"/>
      <c r="BB72" s="90"/>
      <c r="BC72" s="91"/>
      <c r="BD72" s="93"/>
      <c r="BE72" s="91"/>
      <c r="BF72" s="92"/>
      <c r="BG72" s="33">
        <f t="shared" si="2"/>
        <v>0</v>
      </c>
      <c r="BH72" s="27"/>
      <c r="BI72" s="27"/>
      <c r="BJ72" s="27"/>
    </row>
    <row r="73" ht="15.75" customHeight="1" spans="1:62">
      <c r="A73" s="29"/>
      <c r="B73" s="29"/>
      <c r="C73" s="29"/>
      <c r="D73" s="33">
        <v>64</v>
      </c>
      <c r="E73" s="31"/>
      <c r="F73" s="31"/>
      <c r="G73" s="32"/>
      <c r="H73" s="32"/>
      <c r="I73" s="33"/>
      <c r="J73" s="27" t="str">
        <f t="shared" si="0"/>
        <v/>
      </c>
      <c r="K73" s="32"/>
      <c r="L73" s="32"/>
      <c r="M73" s="32"/>
      <c r="N73" s="32"/>
      <c r="O73" s="32"/>
      <c r="P73" s="32"/>
      <c r="Q73" s="34"/>
      <c r="R73" s="88" t="str">
        <f ca="1" t="shared" si="4"/>
        <v/>
      </c>
      <c r="S73" s="27"/>
      <c r="T73" s="27"/>
      <c r="U73" s="27"/>
      <c r="V73" s="35"/>
      <c r="W73" s="30"/>
      <c r="X73" s="33"/>
      <c r="Y73" s="36"/>
      <c r="Z73" s="37"/>
      <c r="AA73" s="27"/>
      <c r="AB73" s="27"/>
      <c r="AC73" s="27"/>
      <c r="AD73" s="27"/>
      <c r="AE73" s="27"/>
      <c r="AF73" s="27"/>
      <c r="AG73" s="90" t="b">
        <v>0</v>
      </c>
      <c r="AH73" s="91" t="b">
        <v>0</v>
      </c>
      <c r="AI73" s="91" t="b">
        <v>0</v>
      </c>
      <c r="AJ73" s="92" t="b">
        <v>0</v>
      </c>
      <c r="AK73" s="90"/>
      <c r="AL73" s="91"/>
      <c r="AM73" s="91"/>
      <c r="AN73" s="92"/>
      <c r="AO73" s="90"/>
      <c r="AP73" s="91"/>
      <c r="AQ73" s="91"/>
      <c r="AR73" s="92"/>
      <c r="AS73" s="90"/>
      <c r="AT73" s="91"/>
      <c r="AU73" s="91"/>
      <c r="AV73" s="92"/>
      <c r="AW73" s="90"/>
      <c r="AX73" s="91"/>
      <c r="AY73" s="93"/>
      <c r="AZ73" s="91"/>
      <c r="BA73" s="92"/>
      <c r="BB73" s="90"/>
      <c r="BC73" s="91"/>
      <c r="BD73" s="93"/>
      <c r="BE73" s="91"/>
      <c r="BF73" s="92"/>
      <c r="BG73" s="33">
        <f t="shared" si="2"/>
        <v>0</v>
      </c>
      <c r="BH73" s="27"/>
      <c r="BI73" s="27"/>
      <c r="BJ73" s="27"/>
    </row>
    <row r="74" ht="15.75" customHeight="1" spans="1:62">
      <c r="A74" s="29"/>
      <c r="B74" s="29"/>
      <c r="C74" s="29"/>
      <c r="D74" s="33">
        <v>65</v>
      </c>
      <c r="E74" s="31"/>
      <c r="F74" s="31"/>
      <c r="G74" s="32"/>
      <c r="H74" s="32"/>
      <c r="I74" s="33"/>
      <c r="J74" s="27" t="str">
        <f t="shared" si="0"/>
        <v/>
      </c>
      <c r="K74" s="32"/>
      <c r="L74" s="32"/>
      <c r="M74" s="32"/>
      <c r="N74" s="32"/>
      <c r="O74" s="32"/>
      <c r="P74" s="32"/>
      <c r="Q74" s="34"/>
      <c r="R74" s="88" t="str">
        <f ca="1" t="shared" si="4"/>
        <v/>
      </c>
      <c r="S74" s="27"/>
      <c r="T74" s="27"/>
      <c r="U74" s="27"/>
      <c r="V74" s="35"/>
      <c r="W74" s="30"/>
      <c r="X74" s="33"/>
      <c r="Y74" s="36"/>
      <c r="Z74" s="37"/>
      <c r="AA74" s="27"/>
      <c r="AB74" s="27"/>
      <c r="AC74" s="27"/>
      <c r="AD74" s="27"/>
      <c r="AE74" s="27"/>
      <c r="AF74" s="27"/>
      <c r="AG74" s="90" t="b">
        <v>0</v>
      </c>
      <c r="AH74" s="91" t="b">
        <v>0</v>
      </c>
      <c r="AI74" s="91" t="b">
        <v>0</v>
      </c>
      <c r="AJ74" s="92" t="b">
        <v>0</v>
      </c>
      <c r="AK74" s="90"/>
      <c r="AL74" s="91"/>
      <c r="AM74" s="91"/>
      <c r="AN74" s="92"/>
      <c r="AO74" s="90"/>
      <c r="AP74" s="91"/>
      <c r="AQ74" s="91"/>
      <c r="AR74" s="92"/>
      <c r="AS74" s="90"/>
      <c r="AT74" s="91"/>
      <c r="AU74" s="91"/>
      <c r="AV74" s="92"/>
      <c r="AW74" s="90"/>
      <c r="AX74" s="91"/>
      <c r="AY74" s="93"/>
      <c r="AZ74" s="91"/>
      <c r="BA74" s="92"/>
      <c r="BB74" s="90"/>
      <c r="BC74" s="91"/>
      <c r="BD74" s="93"/>
      <c r="BE74" s="91"/>
      <c r="BF74" s="92"/>
      <c r="BG74" s="33">
        <f t="shared" si="2"/>
        <v>0</v>
      </c>
      <c r="BH74" s="27"/>
      <c r="BI74" s="27"/>
      <c r="BJ74" s="27"/>
    </row>
    <row r="75" ht="15.75" customHeight="1" spans="1:62">
      <c r="A75" s="29"/>
      <c r="B75" s="29"/>
      <c r="C75" s="29"/>
      <c r="D75" s="33">
        <v>66</v>
      </c>
      <c r="E75" s="31"/>
      <c r="F75" s="31"/>
      <c r="G75" s="32"/>
      <c r="H75" s="32"/>
      <c r="I75" s="33"/>
      <c r="J75" s="27" t="str">
        <f t="shared" si="0"/>
        <v/>
      </c>
      <c r="K75" s="32"/>
      <c r="L75" s="32"/>
      <c r="M75" s="32"/>
      <c r="N75" s="32"/>
      <c r="O75" s="32"/>
      <c r="P75" s="32"/>
      <c r="Q75" s="34"/>
      <c r="R75" s="88" t="str">
        <f ca="1" t="shared" si="4"/>
        <v/>
      </c>
      <c r="S75" s="27"/>
      <c r="T75" s="27"/>
      <c r="U75" s="27"/>
      <c r="V75" s="35"/>
      <c r="W75" s="30"/>
      <c r="X75" s="33"/>
      <c r="Y75" s="36"/>
      <c r="Z75" s="37"/>
      <c r="AA75" s="27"/>
      <c r="AB75" s="27"/>
      <c r="AC75" s="27"/>
      <c r="AD75" s="27"/>
      <c r="AE75" s="27"/>
      <c r="AF75" s="27"/>
      <c r="AG75" s="90" t="b">
        <v>0</v>
      </c>
      <c r="AH75" s="91" t="b">
        <v>0</v>
      </c>
      <c r="AI75" s="91" t="b">
        <v>0</v>
      </c>
      <c r="AJ75" s="92" t="b">
        <v>0</v>
      </c>
      <c r="AK75" s="90"/>
      <c r="AL75" s="91"/>
      <c r="AM75" s="91"/>
      <c r="AN75" s="92"/>
      <c r="AO75" s="90"/>
      <c r="AP75" s="91"/>
      <c r="AQ75" s="91"/>
      <c r="AR75" s="92"/>
      <c r="AS75" s="90"/>
      <c r="AT75" s="91"/>
      <c r="AU75" s="91"/>
      <c r="AV75" s="92"/>
      <c r="AW75" s="90"/>
      <c r="AX75" s="91"/>
      <c r="AY75" s="93"/>
      <c r="AZ75" s="91"/>
      <c r="BA75" s="92"/>
      <c r="BB75" s="90"/>
      <c r="BC75" s="91"/>
      <c r="BD75" s="93"/>
      <c r="BE75" s="91"/>
      <c r="BF75" s="92"/>
      <c r="BG75" s="33">
        <f t="shared" si="2"/>
        <v>0</v>
      </c>
      <c r="BH75" s="27"/>
      <c r="BI75" s="27"/>
      <c r="BJ75" s="27"/>
    </row>
    <row r="76" ht="15.75" customHeight="1" spans="1:62">
      <c r="A76" s="29"/>
      <c r="B76" s="29"/>
      <c r="C76" s="29"/>
      <c r="D76" s="33">
        <v>67</v>
      </c>
      <c r="E76" s="31"/>
      <c r="F76" s="31"/>
      <c r="G76" s="32"/>
      <c r="H76" s="32"/>
      <c r="I76" s="33"/>
      <c r="J76" s="27" t="str">
        <f t="shared" si="0"/>
        <v/>
      </c>
      <c r="K76" s="32"/>
      <c r="L76" s="32"/>
      <c r="M76" s="32"/>
      <c r="N76" s="32"/>
      <c r="O76" s="32"/>
      <c r="P76" s="32"/>
      <c r="Q76" s="34"/>
      <c r="R76" s="88" t="str">
        <f ca="1" t="shared" si="4"/>
        <v/>
      </c>
      <c r="S76" s="27"/>
      <c r="T76" s="27"/>
      <c r="U76" s="27"/>
      <c r="V76" s="35"/>
      <c r="W76" s="30"/>
      <c r="X76" s="33"/>
      <c r="Y76" s="36"/>
      <c r="Z76" s="37"/>
      <c r="AA76" s="27"/>
      <c r="AB76" s="27"/>
      <c r="AC76" s="27"/>
      <c r="AD76" s="27"/>
      <c r="AE76" s="27"/>
      <c r="AF76" s="27"/>
      <c r="AG76" s="90" t="b">
        <v>0</v>
      </c>
      <c r="AH76" s="91" t="b">
        <v>0</v>
      </c>
      <c r="AI76" s="91" t="b">
        <v>0</v>
      </c>
      <c r="AJ76" s="92" t="b">
        <v>0</v>
      </c>
      <c r="AK76" s="90"/>
      <c r="AL76" s="91"/>
      <c r="AM76" s="91"/>
      <c r="AN76" s="92"/>
      <c r="AO76" s="90"/>
      <c r="AP76" s="91"/>
      <c r="AQ76" s="91"/>
      <c r="AR76" s="92"/>
      <c r="AS76" s="90"/>
      <c r="AT76" s="91"/>
      <c r="AU76" s="91"/>
      <c r="AV76" s="92"/>
      <c r="AW76" s="90"/>
      <c r="AX76" s="91"/>
      <c r="AY76" s="93"/>
      <c r="AZ76" s="91"/>
      <c r="BA76" s="92"/>
      <c r="BB76" s="90"/>
      <c r="BC76" s="91"/>
      <c r="BD76" s="93"/>
      <c r="BE76" s="91"/>
      <c r="BF76" s="92"/>
      <c r="BG76" s="33">
        <f t="shared" si="2"/>
        <v>0</v>
      </c>
      <c r="BH76" s="27"/>
      <c r="BI76" s="27"/>
      <c r="BJ76" s="27"/>
    </row>
    <row r="77" ht="15.75" customHeight="1" spans="1:62">
      <c r="A77" s="29"/>
      <c r="B77" s="29"/>
      <c r="C77" s="29"/>
      <c r="D77" s="33">
        <v>68</v>
      </c>
      <c r="E77" s="31"/>
      <c r="F77" s="31"/>
      <c r="G77" s="32"/>
      <c r="H77" s="32"/>
      <c r="I77" s="33"/>
      <c r="J77" s="27" t="str">
        <f t="shared" si="0"/>
        <v/>
      </c>
      <c r="K77" s="32"/>
      <c r="L77" s="32"/>
      <c r="M77" s="32"/>
      <c r="N77" s="32"/>
      <c r="O77" s="32"/>
      <c r="P77" s="32"/>
      <c r="Q77" s="34"/>
      <c r="R77" s="88" t="str">
        <f ca="1" t="shared" si="4"/>
        <v/>
      </c>
      <c r="S77" s="27"/>
      <c r="T77" s="27"/>
      <c r="U77" s="27"/>
      <c r="V77" s="35"/>
      <c r="W77" s="30"/>
      <c r="X77" s="33"/>
      <c r="Y77" s="36"/>
      <c r="Z77" s="37"/>
      <c r="AA77" s="27"/>
      <c r="AB77" s="27"/>
      <c r="AC77" s="27"/>
      <c r="AD77" s="27"/>
      <c r="AE77" s="27"/>
      <c r="AF77" s="27"/>
      <c r="AG77" s="90" t="b">
        <v>0</v>
      </c>
      <c r="AH77" s="91" t="b">
        <v>0</v>
      </c>
      <c r="AI77" s="91" t="b">
        <v>0</v>
      </c>
      <c r="AJ77" s="92" t="b">
        <v>0</v>
      </c>
      <c r="AK77" s="90"/>
      <c r="AL77" s="91"/>
      <c r="AM77" s="91"/>
      <c r="AN77" s="92"/>
      <c r="AO77" s="90"/>
      <c r="AP77" s="91"/>
      <c r="AQ77" s="91"/>
      <c r="AR77" s="92"/>
      <c r="AS77" s="90"/>
      <c r="AT77" s="91"/>
      <c r="AU77" s="91"/>
      <c r="AV77" s="92"/>
      <c r="AW77" s="90"/>
      <c r="AX77" s="91"/>
      <c r="AY77" s="93"/>
      <c r="AZ77" s="91"/>
      <c r="BA77" s="92"/>
      <c r="BB77" s="90"/>
      <c r="BC77" s="91"/>
      <c r="BD77" s="93"/>
      <c r="BE77" s="91"/>
      <c r="BF77" s="92"/>
      <c r="BG77" s="33">
        <f t="shared" si="2"/>
        <v>0</v>
      </c>
      <c r="BH77" s="27"/>
      <c r="BI77" s="27"/>
      <c r="BJ77" s="27"/>
    </row>
    <row r="78" ht="15.75" customHeight="1" spans="1:62">
      <c r="A78" s="29"/>
      <c r="B78" s="29"/>
      <c r="C78" s="29"/>
      <c r="D78" s="33">
        <v>69</v>
      </c>
      <c r="E78" s="31"/>
      <c r="F78" s="31"/>
      <c r="G78" s="32"/>
      <c r="H78" s="32"/>
      <c r="I78" s="33"/>
      <c r="J78" s="27" t="str">
        <f t="shared" si="0"/>
        <v/>
      </c>
      <c r="K78" s="32"/>
      <c r="L78" s="32"/>
      <c r="M78" s="32"/>
      <c r="N78" s="32"/>
      <c r="O78" s="32"/>
      <c r="P78" s="32"/>
      <c r="Q78" s="34"/>
      <c r="R78" s="88" t="str">
        <f ca="1" t="shared" si="4"/>
        <v/>
      </c>
      <c r="S78" s="27"/>
      <c r="T78" s="27"/>
      <c r="U78" s="27"/>
      <c r="V78" s="35"/>
      <c r="W78" s="30"/>
      <c r="X78" s="33"/>
      <c r="Y78" s="36"/>
      <c r="Z78" s="37"/>
      <c r="AA78" s="27"/>
      <c r="AB78" s="27"/>
      <c r="AC78" s="27"/>
      <c r="AD78" s="27"/>
      <c r="AE78" s="27"/>
      <c r="AF78" s="27"/>
      <c r="AG78" s="90" t="b">
        <v>0</v>
      </c>
      <c r="AH78" s="91" t="b">
        <v>0</v>
      </c>
      <c r="AI78" s="91" t="b">
        <v>0</v>
      </c>
      <c r="AJ78" s="92" t="b">
        <v>0</v>
      </c>
      <c r="AK78" s="90"/>
      <c r="AL78" s="91"/>
      <c r="AM78" s="91"/>
      <c r="AN78" s="92"/>
      <c r="AO78" s="90"/>
      <c r="AP78" s="91"/>
      <c r="AQ78" s="91"/>
      <c r="AR78" s="92"/>
      <c r="AS78" s="90"/>
      <c r="AT78" s="91"/>
      <c r="AU78" s="91"/>
      <c r="AV78" s="92"/>
      <c r="AW78" s="90"/>
      <c r="AX78" s="91"/>
      <c r="AY78" s="93"/>
      <c r="AZ78" s="91"/>
      <c r="BA78" s="92"/>
      <c r="BB78" s="90"/>
      <c r="BC78" s="91"/>
      <c r="BD78" s="93"/>
      <c r="BE78" s="91"/>
      <c r="BF78" s="92"/>
      <c r="BG78" s="33">
        <f t="shared" si="2"/>
        <v>0</v>
      </c>
      <c r="BH78" s="27"/>
      <c r="BI78" s="27"/>
      <c r="BJ78" s="27"/>
    </row>
    <row r="79" ht="15.75" customHeight="1" spans="1:62">
      <c r="A79" s="29"/>
      <c r="B79" s="29"/>
      <c r="C79" s="29"/>
      <c r="D79" s="33">
        <v>70</v>
      </c>
      <c r="E79" s="31"/>
      <c r="F79" s="31"/>
      <c r="G79" s="32"/>
      <c r="H79" s="32"/>
      <c r="I79" s="33"/>
      <c r="J79" s="27" t="str">
        <f t="shared" si="0"/>
        <v/>
      </c>
      <c r="K79" s="32"/>
      <c r="L79" s="32"/>
      <c r="M79" s="32"/>
      <c r="N79" s="32"/>
      <c r="O79" s="32"/>
      <c r="P79" s="32"/>
      <c r="Q79" s="34"/>
      <c r="R79" s="88" t="str">
        <f ca="1" t="shared" si="4"/>
        <v/>
      </c>
      <c r="S79" s="27"/>
      <c r="T79" s="27"/>
      <c r="U79" s="27"/>
      <c r="V79" s="35"/>
      <c r="W79" s="30"/>
      <c r="X79" s="33"/>
      <c r="Y79" s="36"/>
      <c r="Z79" s="37"/>
      <c r="AA79" s="27"/>
      <c r="AB79" s="27"/>
      <c r="AC79" s="27"/>
      <c r="AD79" s="27"/>
      <c r="AE79" s="27"/>
      <c r="AF79" s="27"/>
      <c r="AG79" s="90" t="b">
        <v>0</v>
      </c>
      <c r="AH79" s="91" t="b">
        <v>0</v>
      </c>
      <c r="AI79" s="91" t="b">
        <v>0</v>
      </c>
      <c r="AJ79" s="92" t="b">
        <v>0</v>
      </c>
      <c r="AK79" s="90"/>
      <c r="AL79" s="91"/>
      <c r="AM79" s="91"/>
      <c r="AN79" s="92"/>
      <c r="AO79" s="90"/>
      <c r="AP79" s="91"/>
      <c r="AQ79" s="91"/>
      <c r="AR79" s="92"/>
      <c r="AS79" s="90"/>
      <c r="AT79" s="91"/>
      <c r="AU79" s="91"/>
      <c r="AV79" s="92"/>
      <c r="AW79" s="90"/>
      <c r="AX79" s="91"/>
      <c r="AY79" s="93"/>
      <c r="AZ79" s="91"/>
      <c r="BA79" s="92"/>
      <c r="BB79" s="90"/>
      <c r="BC79" s="91"/>
      <c r="BD79" s="93"/>
      <c r="BE79" s="91"/>
      <c r="BF79" s="92"/>
      <c r="BG79" s="33">
        <f t="shared" si="2"/>
        <v>0</v>
      </c>
      <c r="BH79" s="27"/>
      <c r="BI79" s="27"/>
      <c r="BJ79" s="27"/>
    </row>
    <row r="80" ht="15.75" customHeight="1" spans="1:62">
      <c r="A80" s="29"/>
      <c r="B80" s="29"/>
      <c r="C80" s="29"/>
      <c r="D80" s="33">
        <v>71</v>
      </c>
      <c r="E80" s="31"/>
      <c r="F80" s="31"/>
      <c r="G80" s="32"/>
      <c r="H80" s="32"/>
      <c r="I80" s="33"/>
      <c r="J80" s="27" t="str">
        <f t="shared" si="0"/>
        <v/>
      </c>
      <c r="K80" s="32"/>
      <c r="L80" s="32"/>
      <c r="M80" s="32"/>
      <c r="N80" s="32"/>
      <c r="O80" s="32"/>
      <c r="P80" s="32"/>
      <c r="Q80" s="34"/>
      <c r="R80" s="88" t="str">
        <f ca="1" t="shared" si="4"/>
        <v/>
      </c>
      <c r="S80" s="27"/>
      <c r="T80" s="27"/>
      <c r="U80" s="27"/>
      <c r="V80" s="35"/>
      <c r="W80" s="30"/>
      <c r="X80" s="33"/>
      <c r="Y80" s="36"/>
      <c r="Z80" s="37"/>
      <c r="AA80" s="27"/>
      <c r="AB80" s="27"/>
      <c r="AC80" s="27"/>
      <c r="AD80" s="27"/>
      <c r="AE80" s="27"/>
      <c r="AF80" s="27"/>
      <c r="AG80" s="90" t="b">
        <v>0</v>
      </c>
      <c r="AH80" s="91" t="b">
        <v>0</v>
      </c>
      <c r="AI80" s="91" t="b">
        <v>0</v>
      </c>
      <c r="AJ80" s="92" t="b">
        <v>0</v>
      </c>
      <c r="AK80" s="90"/>
      <c r="AL80" s="91"/>
      <c r="AM80" s="91"/>
      <c r="AN80" s="92"/>
      <c r="AO80" s="90"/>
      <c r="AP80" s="91"/>
      <c r="AQ80" s="91"/>
      <c r="AR80" s="92"/>
      <c r="AS80" s="90"/>
      <c r="AT80" s="91"/>
      <c r="AU80" s="91"/>
      <c r="AV80" s="92"/>
      <c r="AW80" s="90"/>
      <c r="AX80" s="91"/>
      <c r="AY80" s="93"/>
      <c r="AZ80" s="91"/>
      <c r="BA80" s="92"/>
      <c r="BB80" s="90"/>
      <c r="BC80" s="91"/>
      <c r="BD80" s="93"/>
      <c r="BE80" s="91"/>
      <c r="BF80" s="92"/>
      <c r="BG80" s="33">
        <f t="shared" si="2"/>
        <v>0</v>
      </c>
      <c r="BH80" s="27"/>
      <c r="BI80" s="27"/>
      <c r="BJ80" s="27"/>
    </row>
    <row r="81" ht="15.75" customHeight="1" spans="1:62">
      <c r="A81" s="29"/>
      <c r="B81" s="29"/>
      <c r="C81" s="29"/>
      <c r="D81" s="33">
        <v>72</v>
      </c>
      <c r="E81" s="31"/>
      <c r="F81" s="31"/>
      <c r="G81" s="32"/>
      <c r="H81" s="32"/>
      <c r="I81" s="33"/>
      <c r="J81" s="27" t="str">
        <f t="shared" si="0"/>
        <v/>
      </c>
      <c r="K81" s="32"/>
      <c r="L81" s="32"/>
      <c r="M81" s="32"/>
      <c r="N81" s="32"/>
      <c r="O81" s="32"/>
      <c r="P81" s="32"/>
      <c r="Q81" s="34"/>
      <c r="R81" s="88" t="str">
        <f ca="1" t="shared" si="4"/>
        <v/>
      </c>
      <c r="S81" s="27"/>
      <c r="T81" s="27"/>
      <c r="U81" s="27"/>
      <c r="V81" s="35"/>
      <c r="W81" s="30"/>
      <c r="X81" s="33"/>
      <c r="Y81" s="36"/>
      <c r="Z81" s="37"/>
      <c r="AA81" s="27"/>
      <c r="AB81" s="27"/>
      <c r="AC81" s="27"/>
      <c r="AD81" s="27"/>
      <c r="AE81" s="27"/>
      <c r="AF81" s="27"/>
      <c r="AG81" s="90" t="b">
        <v>0</v>
      </c>
      <c r="AH81" s="91" t="b">
        <v>0</v>
      </c>
      <c r="AI81" s="91" t="b">
        <v>0</v>
      </c>
      <c r="AJ81" s="92" t="b">
        <v>0</v>
      </c>
      <c r="AK81" s="90"/>
      <c r="AL81" s="91"/>
      <c r="AM81" s="91"/>
      <c r="AN81" s="92"/>
      <c r="AO81" s="90"/>
      <c r="AP81" s="91"/>
      <c r="AQ81" s="91"/>
      <c r="AR81" s="92"/>
      <c r="AS81" s="90"/>
      <c r="AT81" s="91"/>
      <c r="AU81" s="91"/>
      <c r="AV81" s="92"/>
      <c r="AW81" s="90"/>
      <c r="AX81" s="91"/>
      <c r="AY81" s="93"/>
      <c r="AZ81" s="91"/>
      <c r="BA81" s="92"/>
      <c r="BB81" s="90"/>
      <c r="BC81" s="91"/>
      <c r="BD81" s="93"/>
      <c r="BE81" s="91"/>
      <c r="BF81" s="92"/>
      <c r="BG81" s="33">
        <f t="shared" si="2"/>
        <v>0</v>
      </c>
      <c r="BH81" s="27"/>
      <c r="BI81" s="27"/>
      <c r="BJ81" s="27"/>
    </row>
    <row r="82" ht="15.75" customHeight="1" spans="1:62">
      <c r="A82" s="29"/>
      <c r="B82" s="29"/>
      <c r="C82" s="29"/>
      <c r="D82" s="33">
        <v>73</v>
      </c>
      <c r="E82" s="31"/>
      <c r="F82" s="31"/>
      <c r="G82" s="32"/>
      <c r="H82" s="32"/>
      <c r="I82" s="33"/>
      <c r="J82" s="27" t="str">
        <f t="shared" si="0"/>
        <v/>
      </c>
      <c r="K82" s="32"/>
      <c r="L82" s="32"/>
      <c r="M82" s="32"/>
      <c r="N82" s="32"/>
      <c r="O82" s="32"/>
      <c r="P82" s="32"/>
      <c r="Q82" s="34"/>
      <c r="R82" s="88" t="str">
        <f ca="1" t="shared" si="4"/>
        <v/>
      </c>
      <c r="S82" s="27"/>
      <c r="T82" s="27"/>
      <c r="U82" s="27"/>
      <c r="V82" s="35"/>
      <c r="W82" s="30"/>
      <c r="X82" s="33"/>
      <c r="Y82" s="36"/>
      <c r="Z82" s="37"/>
      <c r="AA82" s="27"/>
      <c r="AB82" s="27"/>
      <c r="AC82" s="27"/>
      <c r="AD82" s="27"/>
      <c r="AE82" s="27"/>
      <c r="AF82" s="27"/>
      <c r="AG82" s="90" t="b">
        <v>0</v>
      </c>
      <c r="AH82" s="91" t="b">
        <v>0</v>
      </c>
      <c r="AI82" s="91" t="b">
        <v>0</v>
      </c>
      <c r="AJ82" s="92" t="b">
        <v>0</v>
      </c>
      <c r="AK82" s="90"/>
      <c r="AL82" s="91"/>
      <c r="AM82" s="91"/>
      <c r="AN82" s="92"/>
      <c r="AO82" s="90"/>
      <c r="AP82" s="91"/>
      <c r="AQ82" s="91"/>
      <c r="AR82" s="92"/>
      <c r="AS82" s="90"/>
      <c r="AT82" s="91"/>
      <c r="AU82" s="91"/>
      <c r="AV82" s="92"/>
      <c r="AW82" s="90"/>
      <c r="AX82" s="91"/>
      <c r="AY82" s="93"/>
      <c r="AZ82" s="91"/>
      <c r="BA82" s="92"/>
      <c r="BB82" s="90"/>
      <c r="BC82" s="91"/>
      <c r="BD82" s="93"/>
      <c r="BE82" s="91"/>
      <c r="BF82" s="92"/>
      <c r="BG82" s="33">
        <f t="shared" si="2"/>
        <v>0</v>
      </c>
      <c r="BH82" s="27"/>
      <c r="BI82" s="27"/>
      <c r="BJ82" s="27"/>
    </row>
    <row r="83" ht="15.75" customHeight="1" spans="1:62">
      <c r="A83" s="29"/>
      <c r="B83" s="29"/>
      <c r="C83" s="29"/>
      <c r="D83" s="33">
        <v>74</v>
      </c>
      <c r="E83" s="31"/>
      <c r="F83" s="31"/>
      <c r="G83" s="32"/>
      <c r="H83" s="32"/>
      <c r="I83" s="33"/>
      <c r="J83" s="27" t="str">
        <f t="shared" si="0"/>
        <v/>
      </c>
      <c r="K83" s="32"/>
      <c r="L83" s="32"/>
      <c r="M83" s="32"/>
      <c r="N83" s="32"/>
      <c r="O83" s="32"/>
      <c r="P83" s="32"/>
      <c r="Q83" s="34"/>
      <c r="R83" s="88" t="str">
        <f ca="1" t="shared" si="4"/>
        <v/>
      </c>
      <c r="S83" s="27"/>
      <c r="T83" s="27"/>
      <c r="U83" s="27"/>
      <c r="V83" s="35"/>
      <c r="W83" s="30"/>
      <c r="X83" s="33"/>
      <c r="Y83" s="36"/>
      <c r="Z83" s="37"/>
      <c r="AA83" s="27"/>
      <c r="AB83" s="27"/>
      <c r="AC83" s="27"/>
      <c r="AD83" s="27"/>
      <c r="AE83" s="27"/>
      <c r="AF83" s="27"/>
      <c r="AG83" s="90" t="b">
        <v>0</v>
      </c>
      <c r="AH83" s="91" t="b">
        <v>0</v>
      </c>
      <c r="AI83" s="91" t="b">
        <v>0</v>
      </c>
      <c r="AJ83" s="92" t="b">
        <v>0</v>
      </c>
      <c r="AK83" s="90"/>
      <c r="AL83" s="91"/>
      <c r="AM83" s="91"/>
      <c r="AN83" s="92"/>
      <c r="AO83" s="90"/>
      <c r="AP83" s="91"/>
      <c r="AQ83" s="91"/>
      <c r="AR83" s="92"/>
      <c r="AS83" s="90"/>
      <c r="AT83" s="91"/>
      <c r="AU83" s="91"/>
      <c r="AV83" s="92"/>
      <c r="AW83" s="90"/>
      <c r="AX83" s="91"/>
      <c r="AY83" s="93"/>
      <c r="AZ83" s="91"/>
      <c r="BA83" s="92"/>
      <c r="BB83" s="90"/>
      <c r="BC83" s="91"/>
      <c r="BD83" s="93"/>
      <c r="BE83" s="91"/>
      <c r="BF83" s="92"/>
      <c r="BG83" s="33">
        <f t="shared" si="2"/>
        <v>0</v>
      </c>
      <c r="BH83" s="27"/>
      <c r="BI83" s="27"/>
      <c r="BJ83" s="27"/>
    </row>
    <row r="84" ht="15.75" customHeight="1" spans="1:62">
      <c r="A84" s="29"/>
      <c r="B84" s="29"/>
      <c r="C84" s="29"/>
      <c r="D84" s="33">
        <v>75</v>
      </c>
      <c r="E84" s="31"/>
      <c r="F84" s="31"/>
      <c r="G84" s="32"/>
      <c r="H84" s="32"/>
      <c r="I84" s="33"/>
      <c r="J84" s="27" t="str">
        <f t="shared" si="0"/>
        <v/>
      </c>
      <c r="K84" s="32"/>
      <c r="L84" s="32"/>
      <c r="M84" s="32"/>
      <c r="N84" s="32"/>
      <c r="O84" s="32"/>
      <c r="P84" s="32"/>
      <c r="Q84" s="34"/>
      <c r="R84" s="88" t="str">
        <f ca="1" t="shared" si="4"/>
        <v/>
      </c>
      <c r="S84" s="27"/>
      <c r="T84" s="27"/>
      <c r="U84" s="27"/>
      <c r="V84" s="35"/>
      <c r="W84" s="30"/>
      <c r="X84" s="33"/>
      <c r="Y84" s="36"/>
      <c r="Z84" s="37"/>
      <c r="AA84" s="27"/>
      <c r="AB84" s="27"/>
      <c r="AC84" s="27"/>
      <c r="AD84" s="27"/>
      <c r="AE84" s="27"/>
      <c r="AF84" s="27"/>
      <c r="AG84" s="90" t="b">
        <v>0</v>
      </c>
      <c r="AH84" s="91" t="b">
        <v>0</v>
      </c>
      <c r="AI84" s="91" t="b">
        <v>0</v>
      </c>
      <c r="AJ84" s="92" t="b">
        <v>0</v>
      </c>
      <c r="AK84" s="90"/>
      <c r="AL84" s="91"/>
      <c r="AM84" s="91"/>
      <c r="AN84" s="92"/>
      <c r="AO84" s="90"/>
      <c r="AP84" s="91"/>
      <c r="AQ84" s="91"/>
      <c r="AR84" s="92"/>
      <c r="AS84" s="90"/>
      <c r="AT84" s="91"/>
      <c r="AU84" s="91"/>
      <c r="AV84" s="92"/>
      <c r="AW84" s="90"/>
      <c r="AX84" s="91"/>
      <c r="AY84" s="93"/>
      <c r="AZ84" s="91"/>
      <c r="BA84" s="92"/>
      <c r="BB84" s="90"/>
      <c r="BC84" s="91"/>
      <c r="BD84" s="93"/>
      <c r="BE84" s="91"/>
      <c r="BF84" s="92"/>
      <c r="BG84" s="33">
        <f t="shared" si="2"/>
        <v>0</v>
      </c>
      <c r="BH84" s="27"/>
      <c r="BI84" s="27"/>
      <c r="BJ84" s="27"/>
    </row>
    <row r="85" ht="15.75" customHeight="1" spans="1:62">
      <c r="A85" s="29"/>
      <c r="B85" s="29"/>
      <c r="C85" s="29"/>
      <c r="D85" s="33">
        <v>76</v>
      </c>
      <c r="E85" s="31"/>
      <c r="F85" s="31"/>
      <c r="G85" s="32"/>
      <c r="H85" s="32"/>
      <c r="I85" s="33"/>
      <c r="J85" s="27" t="str">
        <f t="shared" si="0"/>
        <v/>
      </c>
      <c r="K85" s="32"/>
      <c r="L85" s="32"/>
      <c r="M85" s="32"/>
      <c r="N85" s="32"/>
      <c r="O85" s="32"/>
      <c r="P85" s="32"/>
      <c r="Q85" s="34"/>
      <c r="R85" s="88" t="str">
        <f ca="1" t="shared" si="4"/>
        <v/>
      </c>
      <c r="S85" s="27"/>
      <c r="T85" s="27"/>
      <c r="U85" s="27"/>
      <c r="V85" s="35"/>
      <c r="W85" s="30"/>
      <c r="X85" s="33"/>
      <c r="Y85" s="36"/>
      <c r="Z85" s="37"/>
      <c r="AA85" s="27"/>
      <c r="AB85" s="27"/>
      <c r="AC85" s="27"/>
      <c r="AD85" s="27"/>
      <c r="AE85" s="27"/>
      <c r="AF85" s="27"/>
      <c r="AG85" s="90" t="b">
        <v>0</v>
      </c>
      <c r="AH85" s="91" t="b">
        <v>0</v>
      </c>
      <c r="AI85" s="91" t="b">
        <v>0</v>
      </c>
      <c r="AJ85" s="92" t="b">
        <v>0</v>
      </c>
      <c r="AK85" s="90"/>
      <c r="AL85" s="91"/>
      <c r="AM85" s="91"/>
      <c r="AN85" s="92"/>
      <c r="AO85" s="90"/>
      <c r="AP85" s="91"/>
      <c r="AQ85" s="91"/>
      <c r="AR85" s="92"/>
      <c r="AS85" s="90"/>
      <c r="AT85" s="91"/>
      <c r="AU85" s="91"/>
      <c r="AV85" s="92"/>
      <c r="AW85" s="90"/>
      <c r="AX85" s="91"/>
      <c r="AY85" s="93"/>
      <c r="AZ85" s="91"/>
      <c r="BA85" s="92"/>
      <c r="BB85" s="90"/>
      <c r="BC85" s="91"/>
      <c r="BD85" s="93"/>
      <c r="BE85" s="91"/>
      <c r="BF85" s="92"/>
      <c r="BG85" s="33">
        <f t="shared" si="2"/>
        <v>0</v>
      </c>
      <c r="BH85" s="27"/>
      <c r="BI85" s="27"/>
      <c r="BJ85" s="27"/>
    </row>
    <row r="86" ht="15.75" customHeight="1" spans="1:62">
      <c r="A86" s="29"/>
      <c r="B86" s="29"/>
      <c r="C86" s="29"/>
      <c r="D86" s="33">
        <v>77</v>
      </c>
      <c r="E86" s="31"/>
      <c r="F86" s="31"/>
      <c r="G86" s="32"/>
      <c r="H86" s="32"/>
      <c r="I86" s="33"/>
      <c r="J86" s="27" t="str">
        <f t="shared" si="0"/>
        <v/>
      </c>
      <c r="K86" s="32"/>
      <c r="L86" s="32"/>
      <c r="M86" s="32"/>
      <c r="N86" s="32"/>
      <c r="O86" s="32"/>
      <c r="P86" s="32"/>
      <c r="Q86" s="34"/>
      <c r="R86" s="88" t="str">
        <f ca="1" t="shared" si="4"/>
        <v/>
      </c>
      <c r="S86" s="27"/>
      <c r="T86" s="27"/>
      <c r="U86" s="27"/>
      <c r="V86" s="35"/>
      <c r="W86" s="30"/>
      <c r="X86" s="33"/>
      <c r="Y86" s="36"/>
      <c r="Z86" s="37"/>
      <c r="AA86" s="27"/>
      <c r="AB86" s="27"/>
      <c r="AC86" s="27"/>
      <c r="AD86" s="27"/>
      <c r="AE86" s="27"/>
      <c r="AF86" s="27"/>
      <c r="AG86" s="90" t="b">
        <v>0</v>
      </c>
      <c r="AH86" s="91" t="b">
        <v>0</v>
      </c>
      <c r="AI86" s="91" t="b">
        <v>0</v>
      </c>
      <c r="AJ86" s="92" t="b">
        <v>0</v>
      </c>
      <c r="AK86" s="90"/>
      <c r="AL86" s="91"/>
      <c r="AM86" s="91"/>
      <c r="AN86" s="92"/>
      <c r="AO86" s="90"/>
      <c r="AP86" s="91"/>
      <c r="AQ86" s="91"/>
      <c r="AR86" s="92"/>
      <c r="AS86" s="90"/>
      <c r="AT86" s="91"/>
      <c r="AU86" s="91"/>
      <c r="AV86" s="92"/>
      <c r="AW86" s="90"/>
      <c r="AX86" s="91"/>
      <c r="AY86" s="93"/>
      <c r="AZ86" s="91"/>
      <c r="BA86" s="92"/>
      <c r="BB86" s="90"/>
      <c r="BC86" s="91"/>
      <c r="BD86" s="93"/>
      <c r="BE86" s="91"/>
      <c r="BF86" s="92"/>
      <c r="BG86" s="33">
        <f t="shared" si="2"/>
        <v>0</v>
      </c>
      <c r="BH86" s="27"/>
      <c r="BI86" s="27"/>
      <c r="BJ86" s="27"/>
    </row>
    <row r="87" ht="15.75" customHeight="1" spans="1:62">
      <c r="A87" s="29"/>
      <c r="B87" s="29"/>
      <c r="C87" s="29"/>
      <c r="D87" s="33">
        <v>78</v>
      </c>
      <c r="E87" s="31"/>
      <c r="F87" s="31"/>
      <c r="G87" s="32"/>
      <c r="H87" s="32"/>
      <c r="I87" s="33"/>
      <c r="J87" s="27" t="str">
        <f t="shared" si="0"/>
        <v/>
      </c>
      <c r="K87" s="32"/>
      <c r="L87" s="32"/>
      <c r="M87" s="32"/>
      <c r="N87" s="32"/>
      <c r="O87" s="32"/>
      <c r="P87" s="32"/>
      <c r="Q87" s="34"/>
      <c r="R87" s="88" t="str">
        <f ca="1" t="shared" si="4"/>
        <v/>
      </c>
      <c r="S87" s="27"/>
      <c r="T87" s="27"/>
      <c r="U87" s="27"/>
      <c r="V87" s="35"/>
      <c r="W87" s="30"/>
      <c r="X87" s="33"/>
      <c r="Y87" s="36"/>
      <c r="Z87" s="37"/>
      <c r="AA87" s="27"/>
      <c r="AB87" s="27"/>
      <c r="AC87" s="27"/>
      <c r="AD87" s="27"/>
      <c r="AE87" s="27"/>
      <c r="AF87" s="27"/>
      <c r="AG87" s="90" t="b">
        <v>0</v>
      </c>
      <c r="AH87" s="91" t="b">
        <v>0</v>
      </c>
      <c r="AI87" s="91" t="b">
        <v>0</v>
      </c>
      <c r="AJ87" s="92" t="b">
        <v>0</v>
      </c>
      <c r="AK87" s="90"/>
      <c r="AL87" s="91"/>
      <c r="AM87" s="91"/>
      <c r="AN87" s="92"/>
      <c r="AO87" s="90"/>
      <c r="AP87" s="91"/>
      <c r="AQ87" s="91"/>
      <c r="AR87" s="92"/>
      <c r="AS87" s="90"/>
      <c r="AT87" s="91"/>
      <c r="AU87" s="91"/>
      <c r="AV87" s="92"/>
      <c r="AW87" s="90"/>
      <c r="AX87" s="91"/>
      <c r="AY87" s="93"/>
      <c r="AZ87" s="91"/>
      <c r="BA87" s="92"/>
      <c r="BB87" s="90"/>
      <c r="BC87" s="91"/>
      <c r="BD87" s="93"/>
      <c r="BE87" s="91"/>
      <c r="BF87" s="92"/>
      <c r="BG87" s="33">
        <f t="shared" si="2"/>
        <v>0</v>
      </c>
      <c r="BH87" s="27"/>
      <c r="BI87" s="27"/>
      <c r="BJ87" s="27"/>
    </row>
    <row r="88" ht="15.75" customHeight="1" spans="1:62">
      <c r="A88" s="29"/>
      <c r="B88" s="29"/>
      <c r="C88" s="29"/>
      <c r="D88" s="33">
        <v>79</v>
      </c>
      <c r="E88" s="31"/>
      <c r="F88" s="31"/>
      <c r="G88" s="32"/>
      <c r="H88" s="32"/>
      <c r="I88" s="33"/>
      <c r="J88" s="27" t="str">
        <f t="shared" si="0"/>
        <v/>
      </c>
      <c r="K88" s="32"/>
      <c r="L88" s="32"/>
      <c r="M88" s="32"/>
      <c r="N88" s="32"/>
      <c r="O88" s="32"/>
      <c r="P88" s="32"/>
      <c r="Q88" s="34"/>
      <c r="R88" s="88" t="str">
        <f ca="1" t="shared" si="4"/>
        <v/>
      </c>
      <c r="S88" s="27"/>
      <c r="T88" s="27"/>
      <c r="U88" s="27"/>
      <c r="V88" s="35"/>
      <c r="W88" s="30"/>
      <c r="X88" s="33"/>
      <c r="Y88" s="36"/>
      <c r="Z88" s="37"/>
      <c r="AA88" s="27"/>
      <c r="AB88" s="27"/>
      <c r="AC88" s="27"/>
      <c r="AD88" s="27"/>
      <c r="AE88" s="27"/>
      <c r="AF88" s="27"/>
      <c r="AG88" s="90" t="b">
        <v>0</v>
      </c>
      <c r="AH88" s="91" t="b">
        <v>0</v>
      </c>
      <c r="AI88" s="91" t="b">
        <v>0</v>
      </c>
      <c r="AJ88" s="92" t="b">
        <v>0</v>
      </c>
      <c r="AK88" s="90"/>
      <c r="AL88" s="91"/>
      <c r="AM88" s="91"/>
      <c r="AN88" s="92"/>
      <c r="AO88" s="90"/>
      <c r="AP88" s="91"/>
      <c r="AQ88" s="91"/>
      <c r="AR88" s="92"/>
      <c r="AS88" s="90"/>
      <c r="AT88" s="91"/>
      <c r="AU88" s="91"/>
      <c r="AV88" s="92"/>
      <c r="AW88" s="90"/>
      <c r="AX88" s="91"/>
      <c r="AY88" s="93"/>
      <c r="AZ88" s="91"/>
      <c r="BA88" s="92"/>
      <c r="BB88" s="90"/>
      <c r="BC88" s="91"/>
      <c r="BD88" s="93"/>
      <c r="BE88" s="91"/>
      <c r="BF88" s="92"/>
      <c r="BG88" s="33">
        <f t="shared" si="2"/>
        <v>0</v>
      </c>
      <c r="BH88" s="27"/>
      <c r="BI88" s="27"/>
      <c r="BJ88" s="27"/>
    </row>
    <row r="89" ht="15.75" customHeight="1" spans="1:62">
      <c r="A89" s="29"/>
      <c r="B89" s="29"/>
      <c r="C89" s="29"/>
      <c r="D89" s="33">
        <v>80</v>
      </c>
      <c r="E89" s="31"/>
      <c r="F89" s="31"/>
      <c r="G89" s="32"/>
      <c r="H89" s="32"/>
      <c r="I89" s="33"/>
      <c r="J89" s="27" t="str">
        <f t="shared" si="0"/>
        <v/>
      </c>
      <c r="K89" s="32"/>
      <c r="L89" s="32"/>
      <c r="M89" s="32"/>
      <c r="N89" s="32"/>
      <c r="O89" s="32"/>
      <c r="P89" s="32"/>
      <c r="Q89" s="34"/>
      <c r="R89" s="88" t="str">
        <f ca="1" t="shared" si="4"/>
        <v/>
      </c>
      <c r="S89" s="27"/>
      <c r="T89" s="27"/>
      <c r="U89" s="27"/>
      <c r="V89" s="35"/>
      <c r="W89" s="30"/>
      <c r="X89" s="33"/>
      <c r="Y89" s="36"/>
      <c r="Z89" s="37"/>
      <c r="AA89" s="27"/>
      <c r="AB89" s="27"/>
      <c r="AC89" s="27"/>
      <c r="AD89" s="27"/>
      <c r="AE89" s="27"/>
      <c r="AF89" s="27"/>
      <c r="AG89" s="90" t="b">
        <v>0</v>
      </c>
      <c r="AH89" s="91" t="b">
        <v>0</v>
      </c>
      <c r="AI89" s="91" t="b">
        <v>0</v>
      </c>
      <c r="AJ89" s="92" t="b">
        <v>0</v>
      </c>
      <c r="AK89" s="90"/>
      <c r="AL89" s="91"/>
      <c r="AM89" s="91"/>
      <c r="AN89" s="92"/>
      <c r="AO89" s="90"/>
      <c r="AP89" s="91"/>
      <c r="AQ89" s="91"/>
      <c r="AR89" s="92"/>
      <c r="AS89" s="90"/>
      <c r="AT89" s="91"/>
      <c r="AU89" s="91"/>
      <c r="AV89" s="92"/>
      <c r="AW89" s="90"/>
      <c r="AX89" s="91"/>
      <c r="AY89" s="93"/>
      <c r="AZ89" s="91"/>
      <c r="BA89" s="92"/>
      <c r="BB89" s="90"/>
      <c r="BC89" s="91"/>
      <c r="BD89" s="93"/>
      <c r="BE89" s="91"/>
      <c r="BF89" s="92"/>
      <c r="BG89" s="33">
        <f t="shared" si="2"/>
        <v>0</v>
      </c>
      <c r="BH89" s="27"/>
      <c r="BI89" s="27"/>
      <c r="BJ89" s="27"/>
    </row>
    <row r="90" ht="15.75" customHeight="1" spans="1:62">
      <c r="A90" s="29"/>
      <c r="B90" s="29"/>
      <c r="C90" s="29"/>
      <c r="D90" s="33">
        <v>81</v>
      </c>
      <c r="E90" s="31"/>
      <c r="F90" s="31"/>
      <c r="G90" s="32"/>
      <c r="H90" s="32"/>
      <c r="I90" s="33"/>
      <c r="J90" s="27" t="str">
        <f t="shared" si="0"/>
        <v/>
      </c>
      <c r="K90" s="32"/>
      <c r="L90" s="32"/>
      <c r="M90" s="32"/>
      <c r="N90" s="32"/>
      <c r="O90" s="32"/>
      <c r="P90" s="32"/>
      <c r="Q90" s="34"/>
      <c r="R90" s="88" t="str">
        <f ca="1" t="shared" si="4"/>
        <v/>
      </c>
      <c r="S90" s="27"/>
      <c r="T90" s="27"/>
      <c r="U90" s="27"/>
      <c r="V90" s="35"/>
      <c r="W90" s="30"/>
      <c r="X90" s="33"/>
      <c r="Y90" s="36"/>
      <c r="Z90" s="37"/>
      <c r="AA90" s="27"/>
      <c r="AB90" s="27"/>
      <c r="AC90" s="27"/>
      <c r="AD90" s="27"/>
      <c r="AE90" s="27"/>
      <c r="AF90" s="27"/>
      <c r="AG90" s="90" t="b">
        <v>0</v>
      </c>
      <c r="AH90" s="91" t="b">
        <v>0</v>
      </c>
      <c r="AI90" s="91" t="b">
        <v>0</v>
      </c>
      <c r="AJ90" s="92" t="b">
        <v>0</v>
      </c>
      <c r="AK90" s="90"/>
      <c r="AL90" s="91"/>
      <c r="AM90" s="91"/>
      <c r="AN90" s="92"/>
      <c r="AO90" s="90"/>
      <c r="AP90" s="91"/>
      <c r="AQ90" s="91"/>
      <c r="AR90" s="92"/>
      <c r="AS90" s="90"/>
      <c r="AT90" s="91"/>
      <c r="AU90" s="91"/>
      <c r="AV90" s="92"/>
      <c r="AW90" s="90"/>
      <c r="AX90" s="91"/>
      <c r="AY90" s="93"/>
      <c r="AZ90" s="91"/>
      <c r="BA90" s="92"/>
      <c r="BB90" s="90"/>
      <c r="BC90" s="91"/>
      <c r="BD90" s="93"/>
      <c r="BE90" s="91"/>
      <c r="BF90" s="92"/>
      <c r="BG90" s="33">
        <f t="shared" si="2"/>
        <v>0</v>
      </c>
      <c r="BH90" s="27"/>
      <c r="BI90" s="27"/>
      <c r="BJ90" s="27"/>
    </row>
    <row r="91" ht="15.75" customHeight="1" spans="1:62">
      <c r="A91" s="29"/>
      <c r="B91" s="29"/>
      <c r="C91" s="29"/>
      <c r="D91" s="33">
        <v>82</v>
      </c>
      <c r="E91" s="31"/>
      <c r="F91" s="31"/>
      <c r="G91" s="32"/>
      <c r="H91" s="32"/>
      <c r="I91" s="33"/>
      <c r="J91" s="27" t="str">
        <f t="shared" si="0"/>
        <v/>
      </c>
      <c r="K91" s="32"/>
      <c r="L91" s="32"/>
      <c r="M91" s="32"/>
      <c r="N91" s="32"/>
      <c r="O91" s="32"/>
      <c r="P91" s="32"/>
      <c r="Q91" s="34"/>
      <c r="R91" s="88" t="str">
        <f ca="1" t="shared" si="4"/>
        <v/>
      </c>
      <c r="S91" s="27"/>
      <c r="T91" s="27"/>
      <c r="U91" s="27"/>
      <c r="V91" s="35"/>
      <c r="W91" s="30"/>
      <c r="X91" s="33"/>
      <c r="Y91" s="36"/>
      <c r="Z91" s="37"/>
      <c r="AA91" s="27"/>
      <c r="AB91" s="27"/>
      <c r="AC91" s="27"/>
      <c r="AD91" s="27"/>
      <c r="AE91" s="27"/>
      <c r="AF91" s="27"/>
      <c r="AG91" s="90" t="b">
        <v>0</v>
      </c>
      <c r="AH91" s="91" t="b">
        <v>0</v>
      </c>
      <c r="AI91" s="91" t="b">
        <v>0</v>
      </c>
      <c r="AJ91" s="92" t="b">
        <v>0</v>
      </c>
      <c r="AK91" s="90"/>
      <c r="AL91" s="91"/>
      <c r="AM91" s="91"/>
      <c r="AN91" s="92"/>
      <c r="AO91" s="90"/>
      <c r="AP91" s="91"/>
      <c r="AQ91" s="91"/>
      <c r="AR91" s="92"/>
      <c r="AS91" s="90"/>
      <c r="AT91" s="91"/>
      <c r="AU91" s="91"/>
      <c r="AV91" s="92"/>
      <c r="AW91" s="90"/>
      <c r="AX91" s="91"/>
      <c r="AY91" s="93"/>
      <c r="AZ91" s="91"/>
      <c r="BA91" s="92"/>
      <c r="BB91" s="90"/>
      <c r="BC91" s="91"/>
      <c r="BD91" s="93"/>
      <c r="BE91" s="91"/>
      <c r="BF91" s="92"/>
      <c r="BG91" s="33">
        <f t="shared" si="2"/>
        <v>0</v>
      </c>
      <c r="BH91" s="27"/>
      <c r="BI91" s="27"/>
      <c r="BJ91" s="27"/>
    </row>
    <row r="92" ht="15.75" customHeight="1" spans="1:62">
      <c r="A92" s="29"/>
      <c r="B92" s="29"/>
      <c r="C92" s="29"/>
      <c r="D92" s="33">
        <v>83</v>
      </c>
      <c r="E92" s="31"/>
      <c r="F92" s="31"/>
      <c r="G92" s="32"/>
      <c r="H92" s="32"/>
      <c r="I92" s="33"/>
      <c r="J92" s="27" t="str">
        <f t="shared" si="0"/>
        <v/>
      </c>
      <c r="K92" s="32"/>
      <c r="L92" s="32"/>
      <c r="M92" s="32"/>
      <c r="N92" s="32"/>
      <c r="O92" s="32"/>
      <c r="P92" s="32"/>
      <c r="Q92" s="34"/>
      <c r="R92" s="88" t="str">
        <f ca="1" t="shared" si="4"/>
        <v/>
      </c>
      <c r="S92" s="27"/>
      <c r="T92" s="27"/>
      <c r="U92" s="27"/>
      <c r="V92" s="35"/>
      <c r="W92" s="30"/>
      <c r="X92" s="33"/>
      <c r="Y92" s="36"/>
      <c r="Z92" s="37"/>
      <c r="AA92" s="27"/>
      <c r="AB92" s="27"/>
      <c r="AC92" s="27"/>
      <c r="AD92" s="27"/>
      <c r="AE92" s="27"/>
      <c r="AF92" s="27"/>
      <c r="AG92" s="90" t="b">
        <v>0</v>
      </c>
      <c r="AH92" s="91" t="b">
        <v>0</v>
      </c>
      <c r="AI92" s="91" t="b">
        <v>0</v>
      </c>
      <c r="AJ92" s="92" t="b">
        <v>0</v>
      </c>
      <c r="AK92" s="90"/>
      <c r="AL92" s="91"/>
      <c r="AM92" s="91"/>
      <c r="AN92" s="92"/>
      <c r="AO92" s="90"/>
      <c r="AP92" s="91"/>
      <c r="AQ92" s="91"/>
      <c r="AR92" s="92"/>
      <c r="AS92" s="90"/>
      <c r="AT92" s="91"/>
      <c r="AU92" s="91"/>
      <c r="AV92" s="92"/>
      <c r="AW92" s="90"/>
      <c r="AX92" s="91"/>
      <c r="AY92" s="93"/>
      <c r="AZ92" s="91"/>
      <c r="BA92" s="92"/>
      <c r="BB92" s="90"/>
      <c r="BC92" s="91"/>
      <c r="BD92" s="93"/>
      <c r="BE92" s="91"/>
      <c r="BF92" s="92"/>
      <c r="BG92" s="33">
        <f t="shared" si="2"/>
        <v>0</v>
      </c>
      <c r="BH92" s="27"/>
      <c r="BI92" s="27"/>
      <c r="BJ92" s="27"/>
    </row>
    <row r="93" ht="15.75" customHeight="1" spans="1:62">
      <c r="A93" s="29"/>
      <c r="B93" s="29"/>
      <c r="C93" s="29"/>
      <c r="D93" s="33">
        <v>84</v>
      </c>
      <c r="E93" s="31"/>
      <c r="F93" s="31"/>
      <c r="G93" s="32"/>
      <c r="H93" s="32"/>
      <c r="I93" s="33"/>
      <c r="J93" s="27" t="str">
        <f t="shared" si="0"/>
        <v/>
      </c>
      <c r="K93" s="32"/>
      <c r="L93" s="32"/>
      <c r="M93" s="32"/>
      <c r="N93" s="32"/>
      <c r="O93" s="32"/>
      <c r="P93" s="32"/>
      <c r="Q93" s="34"/>
      <c r="R93" s="88" t="str">
        <f ca="1" t="shared" si="4"/>
        <v/>
      </c>
      <c r="S93" s="27"/>
      <c r="T93" s="27"/>
      <c r="U93" s="27"/>
      <c r="V93" s="35"/>
      <c r="W93" s="30"/>
      <c r="X93" s="33"/>
      <c r="Y93" s="36"/>
      <c r="Z93" s="37"/>
      <c r="AA93" s="27"/>
      <c r="AB93" s="27"/>
      <c r="AC93" s="27"/>
      <c r="AD93" s="27"/>
      <c r="AE93" s="27"/>
      <c r="AF93" s="27"/>
      <c r="AG93" s="90" t="b">
        <v>0</v>
      </c>
      <c r="AH93" s="91" t="b">
        <v>0</v>
      </c>
      <c r="AI93" s="91" t="b">
        <v>0</v>
      </c>
      <c r="AJ93" s="92" t="b">
        <v>0</v>
      </c>
      <c r="AK93" s="90"/>
      <c r="AL93" s="91"/>
      <c r="AM93" s="91"/>
      <c r="AN93" s="92"/>
      <c r="AO93" s="90"/>
      <c r="AP93" s="91"/>
      <c r="AQ93" s="91"/>
      <c r="AR93" s="92"/>
      <c r="AS93" s="90"/>
      <c r="AT93" s="91"/>
      <c r="AU93" s="91"/>
      <c r="AV93" s="92"/>
      <c r="AW93" s="90"/>
      <c r="AX93" s="91"/>
      <c r="AY93" s="93"/>
      <c r="AZ93" s="91"/>
      <c r="BA93" s="92"/>
      <c r="BB93" s="90"/>
      <c r="BC93" s="91"/>
      <c r="BD93" s="93"/>
      <c r="BE93" s="91"/>
      <c r="BF93" s="92"/>
      <c r="BG93" s="33">
        <f t="shared" si="2"/>
        <v>0</v>
      </c>
      <c r="BH93" s="27"/>
      <c r="BI93" s="27"/>
      <c r="BJ93" s="27"/>
    </row>
    <row r="94" ht="15.75" customHeight="1" spans="1:62">
      <c r="A94" s="29"/>
      <c r="B94" s="29"/>
      <c r="C94" s="29"/>
      <c r="D94" s="33">
        <v>85</v>
      </c>
      <c r="E94" s="31"/>
      <c r="F94" s="31"/>
      <c r="G94" s="32"/>
      <c r="H94" s="32"/>
      <c r="I94" s="33"/>
      <c r="J94" s="27" t="str">
        <f t="shared" si="0"/>
        <v/>
      </c>
      <c r="K94" s="32"/>
      <c r="L94" s="32"/>
      <c r="M94" s="32"/>
      <c r="N94" s="32"/>
      <c r="O94" s="32"/>
      <c r="P94" s="32"/>
      <c r="Q94" s="34"/>
      <c r="R94" s="88" t="str">
        <f ca="1" t="shared" si="4"/>
        <v/>
      </c>
      <c r="S94" s="27"/>
      <c r="T94" s="27"/>
      <c r="U94" s="27"/>
      <c r="V94" s="35"/>
      <c r="W94" s="30"/>
      <c r="X94" s="33"/>
      <c r="Y94" s="36"/>
      <c r="Z94" s="37"/>
      <c r="AA94" s="27"/>
      <c r="AB94" s="27"/>
      <c r="AC94" s="27"/>
      <c r="AD94" s="27"/>
      <c r="AE94" s="27"/>
      <c r="AF94" s="27"/>
      <c r="AG94" s="90" t="b">
        <v>0</v>
      </c>
      <c r="AH94" s="91" t="b">
        <v>0</v>
      </c>
      <c r="AI94" s="91" t="b">
        <v>0</v>
      </c>
      <c r="AJ94" s="92" t="b">
        <v>0</v>
      </c>
      <c r="AK94" s="90"/>
      <c r="AL94" s="91"/>
      <c r="AM94" s="91"/>
      <c r="AN94" s="92"/>
      <c r="AO94" s="90"/>
      <c r="AP94" s="91"/>
      <c r="AQ94" s="91"/>
      <c r="AR94" s="92"/>
      <c r="AS94" s="90"/>
      <c r="AT94" s="91"/>
      <c r="AU94" s="91"/>
      <c r="AV94" s="92"/>
      <c r="AW94" s="90"/>
      <c r="AX94" s="91"/>
      <c r="AY94" s="93"/>
      <c r="AZ94" s="91"/>
      <c r="BA94" s="92"/>
      <c r="BB94" s="90"/>
      <c r="BC94" s="91"/>
      <c r="BD94" s="93"/>
      <c r="BE94" s="91"/>
      <c r="BF94" s="92"/>
      <c r="BG94" s="33">
        <f t="shared" si="2"/>
        <v>0</v>
      </c>
      <c r="BH94" s="27"/>
      <c r="BI94" s="27"/>
      <c r="BJ94" s="27"/>
    </row>
    <row r="95" ht="15.75" customHeight="1" spans="1:62">
      <c r="A95" s="29"/>
      <c r="B95" s="29"/>
      <c r="C95" s="29"/>
      <c r="D95" s="33">
        <v>86</v>
      </c>
      <c r="E95" s="31"/>
      <c r="F95" s="31"/>
      <c r="G95" s="32"/>
      <c r="H95" s="32"/>
      <c r="I95" s="33"/>
      <c r="J95" s="27" t="str">
        <f t="shared" si="0"/>
        <v/>
      </c>
      <c r="K95" s="32"/>
      <c r="L95" s="32"/>
      <c r="M95" s="32"/>
      <c r="N95" s="32"/>
      <c r="O95" s="32"/>
      <c r="P95" s="32"/>
      <c r="Q95" s="34"/>
      <c r="R95" s="88" t="str">
        <f ca="1" t="shared" si="4"/>
        <v/>
      </c>
      <c r="S95" s="27"/>
      <c r="T95" s="27"/>
      <c r="U95" s="27"/>
      <c r="V95" s="35"/>
      <c r="W95" s="30"/>
      <c r="X95" s="33"/>
      <c r="Y95" s="36"/>
      <c r="Z95" s="37"/>
      <c r="AA95" s="27"/>
      <c r="AB95" s="27"/>
      <c r="AC95" s="27"/>
      <c r="AD95" s="27"/>
      <c r="AE95" s="27"/>
      <c r="AF95" s="27"/>
      <c r="AG95" s="90" t="b">
        <v>0</v>
      </c>
      <c r="AH95" s="91" t="b">
        <v>0</v>
      </c>
      <c r="AI95" s="91" t="b">
        <v>0</v>
      </c>
      <c r="AJ95" s="92" t="b">
        <v>0</v>
      </c>
      <c r="AK95" s="90"/>
      <c r="AL95" s="91"/>
      <c r="AM95" s="91"/>
      <c r="AN95" s="92"/>
      <c r="AO95" s="90"/>
      <c r="AP95" s="91"/>
      <c r="AQ95" s="91"/>
      <c r="AR95" s="92"/>
      <c r="AS95" s="90"/>
      <c r="AT95" s="91"/>
      <c r="AU95" s="91"/>
      <c r="AV95" s="92"/>
      <c r="AW95" s="90"/>
      <c r="AX95" s="91"/>
      <c r="AY95" s="93"/>
      <c r="AZ95" s="91"/>
      <c r="BA95" s="92"/>
      <c r="BB95" s="90"/>
      <c r="BC95" s="91"/>
      <c r="BD95" s="93"/>
      <c r="BE95" s="91"/>
      <c r="BF95" s="92"/>
      <c r="BG95" s="33">
        <f t="shared" si="2"/>
        <v>0</v>
      </c>
      <c r="BH95" s="27"/>
      <c r="BI95" s="27"/>
      <c r="BJ95" s="27"/>
    </row>
    <row r="96" ht="15.75" customHeight="1" spans="1:62">
      <c r="A96" s="29"/>
      <c r="B96" s="29"/>
      <c r="C96" s="29"/>
      <c r="D96" s="33">
        <v>87</v>
      </c>
      <c r="E96" s="31"/>
      <c r="F96" s="31"/>
      <c r="G96" s="32"/>
      <c r="H96" s="32"/>
      <c r="I96" s="33"/>
      <c r="J96" s="27" t="str">
        <f t="shared" si="0"/>
        <v/>
      </c>
      <c r="K96" s="32"/>
      <c r="L96" s="32"/>
      <c r="M96" s="32"/>
      <c r="N96" s="32"/>
      <c r="O96" s="32"/>
      <c r="P96" s="32"/>
      <c r="Q96" s="34"/>
      <c r="R96" s="88" t="str">
        <f ca="1" t="shared" si="4"/>
        <v/>
      </c>
      <c r="S96" s="27"/>
      <c r="T96" s="27"/>
      <c r="U96" s="27"/>
      <c r="V96" s="35"/>
      <c r="W96" s="30"/>
      <c r="X96" s="33"/>
      <c r="Y96" s="36"/>
      <c r="Z96" s="37"/>
      <c r="AA96" s="27"/>
      <c r="AB96" s="27"/>
      <c r="AC96" s="27"/>
      <c r="AD96" s="27"/>
      <c r="AE96" s="27"/>
      <c r="AF96" s="27"/>
      <c r="AG96" s="90" t="b">
        <v>0</v>
      </c>
      <c r="AH96" s="91" t="b">
        <v>0</v>
      </c>
      <c r="AI96" s="91" t="b">
        <v>0</v>
      </c>
      <c r="AJ96" s="92" t="b">
        <v>0</v>
      </c>
      <c r="AK96" s="90"/>
      <c r="AL96" s="91"/>
      <c r="AM96" s="91"/>
      <c r="AN96" s="92"/>
      <c r="AO96" s="90"/>
      <c r="AP96" s="91"/>
      <c r="AQ96" s="91"/>
      <c r="AR96" s="92"/>
      <c r="AS96" s="90"/>
      <c r="AT96" s="91"/>
      <c r="AU96" s="91"/>
      <c r="AV96" s="92"/>
      <c r="AW96" s="90"/>
      <c r="AX96" s="91"/>
      <c r="AY96" s="93"/>
      <c r="AZ96" s="91"/>
      <c r="BA96" s="92"/>
      <c r="BB96" s="90"/>
      <c r="BC96" s="91"/>
      <c r="BD96" s="93"/>
      <c r="BE96" s="91"/>
      <c r="BF96" s="92"/>
      <c r="BG96" s="33">
        <f t="shared" si="2"/>
        <v>0</v>
      </c>
      <c r="BH96" s="27"/>
      <c r="BI96" s="27"/>
      <c r="BJ96" s="27"/>
    </row>
    <row r="97" ht="15.75" customHeight="1" spans="1:62">
      <c r="A97" s="29"/>
      <c r="B97" s="29"/>
      <c r="C97" s="29"/>
      <c r="D97" s="33">
        <v>88</v>
      </c>
      <c r="E97" s="31"/>
      <c r="F97" s="31"/>
      <c r="G97" s="32"/>
      <c r="H97" s="32"/>
      <c r="I97" s="33"/>
      <c r="J97" s="27" t="str">
        <f t="shared" si="0"/>
        <v/>
      </c>
      <c r="K97" s="32"/>
      <c r="L97" s="32"/>
      <c r="M97" s="32"/>
      <c r="N97" s="32"/>
      <c r="O97" s="32"/>
      <c r="P97" s="32"/>
      <c r="Q97" s="34"/>
      <c r="R97" s="88" t="str">
        <f ca="1" t="shared" si="4"/>
        <v/>
      </c>
      <c r="S97" s="27"/>
      <c r="T97" s="27"/>
      <c r="U97" s="27"/>
      <c r="V97" s="35"/>
      <c r="W97" s="30"/>
      <c r="X97" s="33"/>
      <c r="Y97" s="36"/>
      <c r="Z97" s="37"/>
      <c r="AA97" s="27"/>
      <c r="AB97" s="27"/>
      <c r="AC97" s="27"/>
      <c r="AD97" s="27"/>
      <c r="AE97" s="27"/>
      <c r="AF97" s="27"/>
      <c r="AG97" s="90" t="b">
        <v>0</v>
      </c>
      <c r="AH97" s="91" t="b">
        <v>0</v>
      </c>
      <c r="AI97" s="91" t="b">
        <v>0</v>
      </c>
      <c r="AJ97" s="92" t="b">
        <v>0</v>
      </c>
      <c r="AK97" s="90"/>
      <c r="AL97" s="91"/>
      <c r="AM97" s="91"/>
      <c r="AN97" s="92"/>
      <c r="AO97" s="90"/>
      <c r="AP97" s="91"/>
      <c r="AQ97" s="91"/>
      <c r="AR97" s="92"/>
      <c r="AS97" s="90"/>
      <c r="AT97" s="91"/>
      <c r="AU97" s="91"/>
      <c r="AV97" s="92"/>
      <c r="AW97" s="90"/>
      <c r="AX97" s="91"/>
      <c r="AY97" s="93"/>
      <c r="AZ97" s="91"/>
      <c r="BA97" s="92"/>
      <c r="BB97" s="90"/>
      <c r="BC97" s="91"/>
      <c r="BD97" s="93"/>
      <c r="BE97" s="91"/>
      <c r="BF97" s="92"/>
      <c r="BG97" s="33">
        <f t="shared" si="2"/>
        <v>0</v>
      </c>
      <c r="BH97" s="27"/>
      <c r="BI97" s="27"/>
      <c r="BJ97" s="27"/>
    </row>
    <row r="98" ht="15.75" customHeight="1" spans="1:62">
      <c r="A98" s="29"/>
      <c r="B98" s="29"/>
      <c r="C98" s="29"/>
      <c r="D98" s="33">
        <v>89</v>
      </c>
      <c r="E98" s="31"/>
      <c r="F98" s="31"/>
      <c r="G98" s="32"/>
      <c r="H98" s="32"/>
      <c r="I98" s="33"/>
      <c r="J98" s="27" t="str">
        <f t="shared" si="0"/>
        <v/>
      </c>
      <c r="K98" s="32"/>
      <c r="L98" s="32"/>
      <c r="M98" s="32"/>
      <c r="N98" s="32"/>
      <c r="O98" s="32"/>
      <c r="P98" s="32"/>
      <c r="Q98" s="34"/>
      <c r="R98" s="88" t="str">
        <f ca="1" t="shared" si="4"/>
        <v/>
      </c>
      <c r="S98" s="27"/>
      <c r="T98" s="27"/>
      <c r="U98" s="27"/>
      <c r="V98" s="35"/>
      <c r="W98" s="30"/>
      <c r="X98" s="33"/>
      <c r="Y98" s="36"/>
      <c r="Z98" s="37"/>
      <c r="AA98" s="27"/>
      <c r="AB98" s="27"/>
      <c r="AC98" s="27"/>
      <c r="AD98" s="27"/>
      <c r="AE98" s="27"/>
      <c r="AF98" s="27"/>
      <c r="AG98" s="90" t="b">
        <v>0</v>
      </c>
      <c r="AH98" s="91" t="b">
        <v>0</v>
      </c>
      <c r="AI98" s="91" t="b">
        <v>0</v>
      </c>
      <c r="AJ98" s="92" t="b">
        <v>0</v>
      </c>
      <c r="AK98" s="90"/>
      <c r="AL98" s="91"/>
      <c r="AM98" s="91"/>
      <c r="AN98" s="92"/>
      <c r="AO98" s="90"/>
      <c r="AP98" s="91"/>
      <c r="AQ98" s="91"/>
      <c r="AR98" s="92"/>
      <c r="AS98" s="90"/>
      <c r="AT98" s="91"/>
      <c r="AU98" s="91"/>
      <c r="AV98" s="92"/>
      <c r="AW98" s="90"/>
      <c r="AX98" s="91"/>
      <c r="AY98" s="93"/>
      <c r="AZ98" s="91"/>
      <c r="BA98" s="92"/>
      <c r="BB98" s="90"/>
      <c r="BC98" s="91"/>
      <c r="BD98" s="93"/>
      <c r="BE98" s="91"/>
      <c r="BF98" s="92"/>
      <c r="BG98" s="33">
        <f t="shared" si="2"/>
        <v>0</v>
      </c>
      <c r="BH98" s="27"/>
      <c r="BI98" s="27"/>
      <c r="BJ98" s="27"/>
    </row>
    <row r="99" ht="15.75" customHeight="1" spans="1:62">
      <c r="A99" s="29"/>
      <c r="B99" s="29"/>
      <c r="C99" s="29"/>
      <c r="D99" s="33">
        <v>90</v>
      </c>
      <c r="E99" s="31"/>
      <c r="F99" s="31"/>
      <c r="G99" s="32"/>
      <c r="H99" s="32"/>
      <c r="I99" s="33"/>
      <c r="J99" s="27" t="str">
        <f t="shared" si="0"/>
        <v/>
      </c>
      <c r="K99" s="32"/>
      <c r="L99" s="32"/>
      <c r="M99" s="32"/>
      <c r="N99" s="32"/>
      <c r="O99" s="32"/>
      <c r="P99" s="32"/>
      <c r="Q99" s="34"/>
      <c r="R99" s="88" t="str">
        <f ca="1" t="shared" si="4"/>
        <v/>
      </c>
      <c r="S99" s="27"/>
      <c r="T99" s="27"/>
      <c r="U99" s="27"/>
      <c r="V99" s="35"/>
      <c r="W99" s="30"/>
      <c r="X99" s="33"/>
      <c r="Y99" s="36"/>
      <c r="Z99" s="37"/>
      <c r="AA99" s="27"/>
      <c r="AB99" s="27"/>
      <c r="AC99" s="27"/>
      <c r="AD99" s="27"/>
      <c r="AE99" s="27"/>
      <c r="AF99" s="27"/>
      <c r="AG99" s="90" t="b">
        <v>0</v>
      </c>
      <c r="AH99" s="91" t="b">
        <v>0</v>
      </c>
      <c r="AI99" s="91" t="b">
        <v>0</v>
      </c>
      <c r="AJ99" s="92" t="b">
        <v>0</v>
      </c>
      <c r="AK99" s="90"/>
      <c r="AL99" s="91"/>
      <c r="AM99" s="91"/>
      <c r="AN99" s="92"/>
      <c r="AO99" s="90"/>
      <c r="AP99" s="91"/>
      <c r="AQ99" s="91"/>
      <c r="AR99" s="92"/>
      <c r="AS99" s="90"/>
      <c r="AT99" s="91"/>
      <c r="AU99" s="91"/>
      <c r="AV99" s="92"/>
      <c r="AW99" s="90"/>
      <c r="AX99" s="91"/>
      <c r="AY99" s="93"/>
      <c r="AZ99" s="91"/>
      <c r="BA99" s="92"/>
      <c r="BB99" s="90"/>
      <c r="BC99" s="91"/>
      <c r="BD99" s="93"/>
      <c r="BE99" s="91"/>
      <c r="BF99" s="92"/>
      <c r="BG99" s="33">
        <f t="shared" si="2"/>
        <v>0</v>
      </c>
      <c r="BH99" s="27"/>
      <c r="BI99" s="27"/>
      <c r="BJ99" s="27"/>
    </row>
    <row r="100" ht="15.75" customHeight="1" spans="1:62">
      <c r="A100" s="29"/>
      <c r="B100" s="29"/>
      <c r="C100" s="29"/>
      <c r="D100" s="33">
        <v>91</v>
      </c>
      <c r="E100" s="31"/>
      <c r="F100" s="31"/>
      <c r="G100" s="32"/>
      <c r="H100" s="32"/>
      <c r="I100" s="33"/>
      <c r="J100" s="27" t="str">
        <f t="shared" si="0"/>
        <v/>
      </c>
      <c r="K100" s="32"/>
      <c r="L100" s="32"/>
      <c r="M100" s="32"/>
      <c r="N100" s="32"/>
      <c r="O100" s="32"/>
      <c r="P100" s="32"/>
      <c r="Q100" s="34"/>
      <c r="R100" s="88" t="str">
        <f ca="1" t="shared" si="4"/>
        <v/>
      </c>
      <c r="S100" s="27"/>
      <c r="T100" s="27"/>
      <c r="U100" s="27"/>
      <c r="V100" s="35"/>
      <c r="W100" s="30"/>
      <c r="X100" s="33"/>
      <c r="Y100" s="36"/>
      <c r="Z100" s="37"/>
      <c r="AA100" s="27"/>
      <c r="AB100" s="27"/>
      <c r="AC100" s="27"/>
      <c r="AD100" s="27"/>
      <c r="AE100" s="27"/>
      <c r="AF100" s="27"/>
      <c r="AG100" s="90" t="b">
        <v>0</v>
      </c>
      <c r="AH100" s="91" t="b">
        <v>0</v>
      </c>
      <c r="AI100" s="91" t="b">
        <v>0</v>
      </c>
      <c r="AJ100" s="92" t="b">
        <v>0</v>
      </c>
      <c r="AK100" s="90"/>
      <c r="AL100" s="91"/>
      <c r="AM100" s="91"/>
      <c r="AN100" s="92"/>
      <c r="AO100" s="90"/>
      <c r="AP100" s="91"/>
      <c r="AQ100" s="91"/>
      <c r="AR100" s="92"/>
      <c r="AS100" s="90"/>
      <c r="AT100" s="91"/>
      <c r="AU100" s="91"/>
      <c r="AV100" s="92"/>
      <c r="AW100" s="90"/>
      <c r="AX100" s="91"/>
      <c r="AY100" s="93"/>
      <c r="AZ100" s="91"/>
      <c r="BA100" s="92"/>
      <c r="BB100" s="90"/>
      <c r="BC100" s="91"/>
      <c r="BD100" s="93"/>
      <c r="BE100" s="91"/>
      <c r="BF100" s="92"/>
      <c r="BG100" s="33">
        <f t="shared" si="2"/>
        <v>0</v>
      </c>
      <c r="BH100" s="27"/>
      <c r="BI100" s="27"/>
      <c r="BJ100" s="27"/>
    </row>
    <row r="101" ht="15.75" customHeight="1" spans="1:62">
      <c r="A101" s="29"/>
      <c r="B101" s="29"/>
      <c r="C101" s="29"/>
      <c r="D101" s="33">
        <v>92</v>
      </c>
      <c r="E101" s="31"/>
      <c r="F101" s="31"/>
      <c r="G101" s="32"/>
      <c r="H101" s="32"/>
      <c r="I101" s="33"/>
      <c r="J101" s="27" t="str">
        <f t="shared" si="0"/>
        <v/>
      </c>
      <c r="K101" s="32"/>
      <c r="L101" s="32"/>
      <c r="M101" s="32"/>
      <c r="N101" s="32"/>
      <c r="O101" s="32"/>
      <c r="P101" s="32"/>
      <c r="Q101" s="34"/>
      <c r="R101" s="88" t="str">
        <f ca="1" t="shared" si="4"/>
        <v/>
      </c>
      <c r="S101" s="27"/>
      <c r="T101" s="27"/>
      <c r="U101" s="27"/>
      <c r="V101" s="35"/>
      <c r="W101" s="30"/>
      <c r="X101" s="33"/>
      <c r="Y101" s="36"/>
      <c r="Z101" s="37"/>
      <c r="AA101" s="27"/>
      <c r="AB101" s="27"/>
      <c r="AC101" s="27"/>
      <c r="AD101" s="27"/>
      <c r="AE101" s="27"/>
      <c r="AF101" s="27"/>
      <c r="AG101" s="90" t="b">
        <v>0</v>
      </c>
      <c r="AH101" s="91" t="b">
        <v>0</v>
      </c>
      <c r="AI101" s="91" t="b">
        <v>0</v>
      </c>
      <c r="AJ101" s="92" t="b">
        <v>0</v>
      </c>
      <c r="AK101" s="90"/>
      <c r="AL101" s="91"/>
      <c r="AM101" s="91"/>
      <c r="AN101" s="92"/>
      <c r="AO101" s="90"/>
      <c r="AP101" s="91"/>
      <c r="AQ101" s="91"/>
      <c r="AR101" s="92"/>
      <c r="AS101" s="90"/>
      <c r="AT101" s="91"/>
      <c r="AU101" s="91"/>
      <c r="AV101" s="92"/>
      <c r="AW101" s="90"/>
      <c r="AX101" s="91"/>
      <c r="AY101" s="93"/>
      <c r="AZ101" s="91"/>
      <c r="BA101" s="92"/>
      <c r="BB101" s="90"/>
      <c r="BC101" s="91"/>
      <c r="BD101" s="93"/>
      <c r="BE101" s="91"/>
      <c r="BF101" s="92"/>
      <c r="BG101" s="33">
        <f t="shared" si="2"/>
        <v>0</v>
      </c>
      <c r="BH101" s="27"/>
      <c r="BI101" s="27"/>
      <c r="BJ101" s="27"/>
    </row>
    <row r="102" ht="15.75" customHeight="1" spans="1:62">
      <c r="A102" s="29"/>
      <c r="B102" s="29"/>
      <c r="C102" s="29"/>
      <c r="D102" s="33">
        <v>93</v>
      </c>
      <c r="E102" s="31"/>
      <c r="F102" s="31"/>
      <c r="G102" s="32"/>
      <c r="H102" s="32"/>
      <c r="I102" s="33"/>
      <c r="J102" s="27" t="str">
        <f t="shared" si="0"/>
        <v/>
      </c>
      <c r="K102" s="32"/>
      <c r="L102" s="32"/>
      <c r="M102" s="32"/>
      <c r="N102" s="32"/>
      <c r="O102" s="32"/>
      <c r="P102" s="32"/>
      <c r="Q102" s="34"/>
      <c r="R102" s="88" t="str">
        <f ca="1" t="shared" si="4"/>
        <v/>
      </c>
      <c r="S102" s="27"/>
      <c r="T102" s="27"/>
      <c r="U102" s="27"/>
      <c r="V102" s="35"/>
      <c r="W102" s="30"/>
      <c r="X102" s="33"/>
      <c r="Y102" s="36"/>
      <c r="Z102" s="37"/>
      <c r="AA102" s="27"/>
      <c r="AB102" s="27"/>
      <c r="AC102" s="27"/>
      <c r="AD102" s="27"/>
      <c r="AE102" s="27"/>
      <c r="AF102" s="27"/>
      <c r="AG102" s="90" t="b">
        <v>0</v>
      </c>
      <c r="AH102" s="91" t="b">
        <v>0</v>
      </c>
      <c r="AI102" s="91" t="b">
        <v>0</v>
      </c>
      <c r="AJ102" s="92" t="b">
        <v>0</v>
      </c>
      <c r="AK102" s="90"/>
      <c r="AL102" s="91"/>
      <c r="AM102" s="91"/>
      <c r="AN102" s="92"/>
      <c r="AO102" s="90"/>
      <c r="AP102" s="91"/>
      <c r="AQ102" s="91"/>
      <c r="AR102" s="92"/>
      <c r="AS102" s="90"/>
      <c r="AT102" s="91"/>
      <c r="AU102" s="91"/>
      <c r="AV102" s="92"/>
      <c r="AW102" s="90"/>
      <c r="AX102" s="91"/>
      <c r="AY102" s="93"/>
      <c r="AZ102" s="91"/>
      <c r="BA102" s="92"/>
      <c r="BB102" s="90"/>
      <c r="BC102" s="91"/>
      <c r="BD102" s="93"/>
      <c r="BE102" s="91"/>
      <c r="BF102" s="92"/>
      <c r="BG102" s="33">
        <f t="shared" si="2"/>
        <v>0</v>
      </c>
      <c r="BH102" s="27"/>
      <c r="BI102" s="27"/>
      <c r="BJ102" s="27"/>
    </row>
    <row r="103" ht="15.75" customHeight="1" spans="1:62">
      <c r="A103" s="29"/>
      <c r="B103" s="29"/>
      <c r="C103" s="29"/>
      <c r="D103" s="33">
        <v>94</v>
      </c>
      <c r="E103" s="31"/>
      <c r="F103" s="31"/>
      <c r="G103" s="32"/>
      <c r="H103" s="32"/>
      <c r="I103" s="33"/>
      <c r="J103" s="27" t="str">
        <f t="shared" si="0"/>
        <v/>
      </c>
      <c r="K103" s="32"/>
      <c r="L103" s="32"/>
      <c r="M103" s="32"/>
      <c r="N103" s="32"/>
      <c r="O103" s="32"/>
      <c r="P103" s="32"/>
      <c r="Q103" s="34"/>
      <c r="R103" s="88" t="str">
        <f ca="1" t="shared" si="4"/>
        <v/>
      </c>
      <c r="S103" s="27"/>
      <c r="T103" s="27"/>
      <c r="U103" s="27"/>
      <c r="V103" s="35"/>
      <c r="W103" s="30"/>
      <c r="X103" s="33"/>
      <c r="Y103" s="36"/>
      <c r="Z103" s="37"/>
      <c r="AA103" s="27"/>
      <c r="AB103" s="27"/>
      <c r="AC103" s="27"/>
      <c r="AD103" s="27"/>
      <c r="AE103" s="27"/>
      <c r="AF103" s="27"/>
      <c r="AG103" s="90" t="b">
        <v>0</v>
      </c>
      <c r="AH103" s="91" t="b">
        <v>0</v>
      </c>
      <c r="AI103" s="91" t="b">
        <v>0</v>
      </c>
      <c r="AJ103" s="92" t="b">
        <v>0</v>
      </c>
      <c r="AK103" s="90"/>
      <c r="AL103" s="91"/>
      <c r="AM103" s="91"/>
      <c r="AN103" s="92"/>
      <c r="AO103" s="90"/>
      <c r="AP103" s="91"/>
      <c r="AQ103" s="91"/>
      <c r="AR103" s="92"/>
      <c r="AS103" s="90"/>
      <c r="AT103" s="91"/>
      <c r="AU103" s="91"/>
      <c r="AV103" s="92"/>
      <c r="AW103" s="90"/>
      <c r="AX103" s="91"/>
      <c r="AY103" s="93"/>
      <c r="AZ103" s="91"/>
      <c r="BA103" s="92"/>
      <c r="BB103" s="90"/>
      <c r="BC103" s="91"/>
      <c r="BD103" s="93"/>
      <c r="BE103" s="91"/>
      <c r="BF103" s="92"/>
      <c r="BG103" s="33">
        <f t="shared" si="2"/>
        <v>0</v>
      </c>
      <c r="BH103" s="27"/>
      <c r="BI103" s="27"/>
      <c r="BJ103" s="27"/>
    </row>
    <row r="104" ht="15.75" customHeight="1" spans="1:62">
      <c r="A104" s="29"/>
      <c r="B104" s="29"/>
      <c r="C104" s="29"/>
      <c r="D104" s="33">
        <v>95</v>
      </c>
      <c r="E104" s="31"/>
      <c r="F104" s="31"/>
      <c r="G104" s="32"/>
      <c r="H104" s="32"/>
      <c r="I104" s="33"/>
      <c r="J104" s="27" t="str">
        <f t="shared" si="0"/>
        <v/>
      </c>
      <c r="K104" s="32"/>
      <c r="L104" s="32"/>
      <c r="M104" s="32"/>
      <c r="N104" s="32"/>
      <c r="O104" s="32"/>
      <c r="P104" s="32"/>
      <c r="Q104" s="34"/>
      <c r="R104" s="88" t="str">
        <f ca="1" t="shared" si="4"/>
        <v/>
      </c>
      <c r="S104" s="27"/>
      <c r="T104" s="27"/>
      <c r="U104" s="27"/>
      <c r="V104" s="35"/>
      <c r="W104" s="30"/>
      <c r="X104" s="33"/>
      <c r="Y104" s="36"/>
      <c r="Z104" s="37"/>
      <c r="AA104" s="27"/>
      <c r="AB104" s="27"/>
      <c r="AC104" s="27"/>
      <c r="AD104" s="27"/>
      <c r="AE104" s="27"/>
      <c r="AF104" s="27"/>
      <c r="AG104" s="90" t="b">
        <v>0</v>
      </c>
      <c r="AH104" s="91" t="b">
        <v>0</v>
      </c>
      <c r="AI104" s="91" t="b">
        <v>0</v>
      </c>
      <c r="AJ104" s="92" t="b">
        <v>0</v>
      </c>
      <c r="AK104" s="90"/>
      <c r="AL104" s="91"/>
      <c r="AM104" s="91"/>
      <c r="AN104" s="92"/>
      <c r="AO104" s="90"/>
      <c r="AP104" s="91"/>
      <c r="AQ104" s="91"/>
      <c r="AR104" s="92"/>
      <c r="AS104" s="90"/>
      <c r="AT104" s="91"/>
      <c r="AU104" s="91"/>
      <c r="AV104" s="92"/>
      <c r="AW104" s="90"/>
      <c r="AX104" s="91"/>
      <c r="AY104" s="93"/>
      <c r="AZ104" s="91"/>
      <c r="BA104" s="92"/>
      <c r="BB104" s="90"/>
      <c r="BC104" s="91"/>
      <c r="BD104" s="93"/>
      <c r="BE104" s="91"/>
      <c r="BF104" s="92"/>
      <c r="BG104" s="33">
        <f t="shared" si="2"/>
        <v>0</v>
      </c>
      <c r="BH104" s="27"/>
      <c r="BI104" s="27"/>
      <c r="BJ104" s="27"/>
    </row>
    <row r="105" ht="15.75" customHeight="1" spans="1:62">
      <c r="A105" s="29"/>
      <c r="B105" s="29"/>
      <c r="C105" s="29"/>
      <c r="D105" s="33">
        <v>96</v>
      </c>
      <c r="E105" s="31"/>
      <c r="F105" s="31"/>
      <c r="G105" s="32"/>
      <c r="H105" s="32"/>
      <c r="I105" s="33"/>
      <c r="J105" s="27" t="str">
        <f t="shared" si="0"/>
        <v/>
      </c>
      <c r="K105" s="32"/>
      <c r="L105" s="32"/>
      <c r="M105" s="32"/>
      <c r="N105" s="32"/>
      <c r="O105" s="32"/>
      <c r="P105" s="32"/>
      <c r="Q105" s="34"/>
      <c r="R105" s="88" t="str">
        <f ca="1" t="shared" si="4"/>
        <v/>
      </c>
      <c r="S105" s="27"/>
      <c r="T105" s="27"/>
      <c r="U105" s="27"/>
      <c r="V105" s="35"/>
      <c r="W105" s="30"/>
      <c r="X105" s="33"/>
      <c r="Y105" s="36"/>
      <c r="Z105" s="37"/>
      <c r="AA105" s="27"/>
      <c r="AB105" s="27"/>
      <c r="AC105" s="27"/>
      <c r="AD105" s="27"/>
      <c r="AE105" s="27"/>
      <c r="AF105" s="27"/>
      <c r="AG105" s="90" t="b">
        <v>0</v>
      </c>
      <c r="AH105" s="91" t="b">
        <v>0</v>
      </c>
      <c r="AI105" s="91" t="b">
        <v>0</v>
      </c>
      <c r="AJ105" s="92" t="b">
        <v>0</v>
      </c>
      <c r="AK105" s="90"/>
      <c r="AL105" s="91"/>
      <c r="AM105" s="91"/>
      <c r="AN105" s="92"/>
      <c r="AO105" s="90"/>
      <c r="AP105" s="91"/>
      <c r="AQ105" s="91"/>
      <c r="AR105" s="92"/>
      <c r="AS105" s="90"/>
      <c r="AT105" s="91"/>
      <c r="AU105" s="91"/>
      <c r="AV105" s="92"/>
      <c r="AW105" s="90"/>
      <c r="AX105" s="91"/>
      <c r="AY105" s="93"/>
      <c r="AZ105" s="91"/>
      <c r="BA105" s="92"/>
      <c r="BB105" s="90"/>
      <c r="BC105" s="91"/>
      <c r="BD105" s="93"/>
      <c r="BE105" s="91"/>
      <c r="BF105" s="92"/>
      <c r="BG105" s="33">
        <f t="shared" si="2"/>
        <v>0</v>
      </c>
      <c r="BH105" s="27"/>
      <c r="BI105" s="27"/>
      <c r="BJ105" s="27"/>
    </row>
    <row r="106" ht="15.75" customHeight="1" spans="1:62">
      <c r="A106" s="29"/>
      <c r="B106" s="29"/>
      <c r="C106" s="29"/>
      <c r="D106" s="33">
        <v>97</v>
      </c>
      <c r="E106" s="31"/>
      <c r="F106" s="31"/>
      <c r="G106" s="32"/>
      <c r="H106" s="32"/>
      <c r="I106" s="33"/>
      <c r="J106" s="27" t="str">
        <f t="shared" si="0"/>
        <v/>
      </c>
      <c r="K106" s="32"/>
      <c r="L106" s="32"/>
      <c r="M106" s="32"/>
      <c r="N106" s="32"/>
      <c r="O106" s="32"/>
      <c r="P106" s="32"/>
      <c r="Q106" s="34"/>
      <c r="R106" s="88" t="str">
        <f ca="1" t="shared" si="4"/>
        <v/>
      </c>
      <c r="S106" s="27"/>
      <c r="T106" s="27"/>
      <c r="U106" s="27"/>
      <c r="V106" s="35"/>
      <c r="W106" s="30"/>
      <c r="X106" s="33"/>
      <c r="Y106" s="36"/>
      <c r="Z106" s="37"/>
      <c r="AA106" s="27"/>
      <c r="AB106" s="27"/>
      <c r="AC106" s="27"/>
      <c r="AD106" s="27"/>
      <c r="AE106" s="27"/>
      <c r="AF106" s="27"/>
      <c r="AG106" s="90" t="b">
        <v>0</v>
      </c>
      <c r="AH106" s="91" t="b">
        <v>0</v>
      </c>
      <c r="AI106" s="91" t="b">
        <v>0</v>
      </c>
      <c r="AJ106" s="92" t="b">
        <v>0</v>
      </c>
      <c r="AK106" s="90"/>
      <c r="AL106" s="91"/>
      <c r="AM106" s="91"/>
      <c r="AN106" s="92"/>
      <c r="AO106" s="90"/>
      <c r="AP106" s="91"/>
      <c r="AQ106" s="91"/>
      <c r="AR106" s="92"/>
      <c r="AS106" s="90"/>
      <c r="AT106" s="91"/>
      <c r="AU106" s="91"/>
      <c r="AV106" s="92"/>
      <c r="AW106" s="90"/>
      <c r="AX106" s="91"/>
      <c r="AY106" s="93"/>
      <c r="AZ106" s="91"/>
      <c r="BA106" s="92"/>
      <c r="BB106" s="90"/>
      <c r="BC106" s="91"/>
      <c r="BD106" s="93"/>
      <c r="BE106" s="91"/>
      <c r="BF106" s="92"/>
      <c r="BG106" s="33">
        <f t="shared" si="2"/>
        <v>0</v>
      </c>
      <c r="BH106" s="27"/>
      <c r="BI106" s="27"/>
      <c r="BJ106" s="27"/>
    </row>
    <row r="107" ht="15.75" customHeight="1" spans="1:62">
      <c r="A107" s="29"/>
      <c r="B107" s="29"/>
      <c r="C107" s="29"/>
      <c r="D107" s="33">
        <v>98</v>
      </c>
      <c r="E107" s="31"/>
      <c r="F107" s="31"/>
      <c r="G107" s="32"/>
      <c r="H107" s="32"/>
      <c r="I107" s="33"/>
      <c r="J107" s="27" t="str">
        <f t="shared" si="0"/>
        <v/>
      </c>
      <c r="K107" s="32"/>
      <c r="L107" s="32"/>
      <c r="M107" s="32"/>
      <c r="N107" s="32"/>
      <c r="O107" s="32"/>
      <c r="P107" s="32"/>
      <c r="Q107" s="34"/>
      <c r="R107" s="88" t="str">
        <f ca="1" t="shared" si="4"/>
        <v/>
      </c>
      <c r="S107" s="27"/>
      <c r="T107" s="27"/>
      <c r="U107" s="27"/>
      <c r="V107" s="35"/>
      <c r="W107" s="30"/>
      <c r="X107" s="33"/>
      <c r="Y107" s="36"/>
      <c r="Z107" s="37"/>
      <c r="AA107" s="27"/>
      <c r="AB107" s="27"/>
      <c r="AC107" s="27"/>
      <c r="AD107" s="27"/>
      <c r="AE107" s="27"/>
      <c r="AF107" s="27"/>
      <c r="AG107" s="90" t="b">
        <v>0</v>
      </c>
      <c r="AH107" s="91" t="b">
        <v>0</v>
      </c>
      <c r="AI107" s="91" t="b">
        <v>0</v>
      </c>
      <c r="AJ107" s="92" t="b">
        <v>0</v>
      </c>
      <c r="AK107" s="90"/>
      <c r="AL107" s="91"/>
      <c r="AM107" s="91"/>
      <c r="AN107" s="92"/>
      <c r="AO107" s="90"/>
      <c r="AP107" s="91"/>
      <c r="AQ107" s="91"/>
      <c r="AR107" s="92"/>
      <c r="AS107" s="90"/>
      <c r="AT107" s="91"/>
      <c r="AU107" s="91"/>
      <c r="AV107" s="92"/>
      <c r="AW107" s="90"/>
      <c r="AX107" s="91"/>
      <c r="AY107" s="93"/>
      <c r="AZ107" s="91"/>
      <c r="BA107" s="92"/>
      <c r="BB107" s="90"/>
      <c r="BC107" s="91"/>
      <c r="BD107" s="93"/>
      <c r="BE107" s="91"/>
      <c r="BF107" s="92"/>
      <c r="BG107" s="33">
        <f t="shared" si="2"/>
        <v>0</v>
      </c>
      <c r="BH107" s="27"/>
      <c r="BI107" s="27"/>
      <c r="BJ107" s="27"/>
    </row>
    <row r="108" ht="15.75" customHeight="1" spans="1:62">
      <c r="A108" s="29"/>
      <c r="B108" s="29"/>
      <c r="C108" s="29"/>
      <c r="D108" s="33">
        <v>99</v>
      </c>
      <c r="E108" s="31"/>
      <c r="F108" s="31"/>
      <c r="G108" s="32"/>
      <c r="H108" s="32"/>
      <c r="I108" s="33"/>
      <c r="J108" s="27" t="str">
        <f t="shared" si="0"/>
        <v/>
      </c>
      <c r="K108" s="32"/>
      <c r="L108" s="32"/>
      <c r="M108" s="32"/>
      <c r="N108" s="32"/>
      <c r="O108" s="32"/>
      <c r="P108" s="32"/>
      <c r="Q108" s="34"/>
      <c r="R108" s="88" t="str">
        <f ca="1" t="shared" si="4"/>
        <v/>
      </c>
      <c r="S108" s="27"/>
      <c r="T108" s="27"/>
      <c r="U108" s="27"/>
      <c r="V108" s="35"/>
      <c r="W108" s="30"/>
      <c r="X108" s="33"/>
      <c r="Y108" s="36"/>
      <c r="Z108" s="37"/>
      <c r="AA108" s="27"/>
      <c r="AB108" s="27"/>
      <c r="AC108" s="27"/>
      <c r="AD108" s="27"/>
      <c r="AE108" s="27"/>
      <c r="AF108" s="27"/>
      <c r="AG108" s="90" t="b">
        <v>0</v>
      </c>
      <c r="AH108" s="91" t="b">
        <v>0</v>
      </c>
      <c r="AI108" s="91" t="b">
        <v>0</v>
      </c>
      <c r="AJ108" s="92" t="b">
        <v>0</v>
      </c>
      <c r="AK108" s="90"/>
      <c r="AL108" s="91"/>
      <c r="AM108" s="91"/>
      <c r="AN108" s="92"/>
      <c r="AO108" s="90"/>
      <c r="AP108" s="91"/>
      <c r="AQ108" s="91"/>
      <c r="AR108" s="92"/>
      <c r="AS108" s="90"/>
      <c r="AT108" s="91"/>
      <c r="AU108" s="91"/>
      <c r="AV108" s="92"/>
      <c r="AW108" s="90"/>
      <c r="AX108" s="91"/>
      <c r="AY108" s="93"/>
      <c r="AZ108" s="91"/>
      <c r="BA108" s="92"/>
      <c r="BB108" s="90"/>
      <c r="BC108" s="91"/>
      <c r="BD108" s="93"/>
      <c r="BE108" s="91"/>
      <c r="BF108" s="92"/>
      <c r="BG108" s="33">
        <f t="shared" si="2"/>
        <v>0</v>
      </c>
      <c r="BH108" s="27"/>
      <c r="BI108" s="27"/>
      <c r="BJ108" s="27"/>
    </row>
    <row r="109" ht="15.75" customHeight="1" spans="1:62">
      <c r="A109" s="29"/>
      <c r="B109" s="29"/>
      <c r="C109" s="29"/>
      <c r="D109" s="33">
        <v>100</v>
      </c>
      <c r="E109" s="31"/>
      <c r="F109" s="31"/>
      <c r="G109" s="32"/>
      <c r="H109" s="32"/>
      <c r="I109" s="33"/>
      <c r="J109" s="27" t="str">
        <f t="shared" si="0"/>
        <v/>
      </c>
      <c r="K109" s="32"/>
      <c r="L109" s="32"/>
      <c r="M109" s="32"/>
      <c r="N109" s="32"/>
      <c r="O109" s="32"/>
      <c r="P109" s="32"/>
      <c r="Q109" s="34"/>
      <c r="R109" s="88" t="str">
        <f ca="1" t="shared" si="4"/>
        <v/>
      </c>
      <c r="S109" s="27"/>
      <c r="T109" s="27"/>
      <c r="U109" s="27"/>
      <c r="V109" s="35"/>
      <c r="W109" s="30"/>
      <c r="X109" s="33"/>
      <c r="Y109" s="36"/>
      <c r="Z109" s="37"/>
      <c r="AA109" s="27"/>
      <c r="AB109" s="27"/>
      <c r="AC109" s="27"/>
      <c r="AD109" s="27"/>
      <c r="AE109" s="27"/>
      <c r="AF109" s="27"/>
      <c r="AG109" s="90" t="b">
        <v>0</v>
      </c>
      <c r="AH109" s="91" t="b">
        <v>0</v>
      </c>
      <c r="AI109" s="91" t="b">
        <v>0</v>
      </c>
      <c r="AJ109" s="92" t="b">
        <v>0</v>
      </c>
      <c r="AK109" s="90"/>
      <c r="AL109" s="91"/>
      <c r="AM109" s="91"/>
      <c r="AN109" s="92"/>
      <c r="AO109" s="90"/>
      <c r="AP109" s="91"/>
      <c r="AQ109" s="91"/>
      <c r="AR109" s="92"/>
      <c r="AS109" s="90"/>
      <c r="AT109" s="91"/>
      <c r="AU109" s="91"/>
      <c r="AV109" s="92"/>
      <c r="AW109" s="90"/>
      <c r="AX109" s="91"/>
      <c r="AY109" s="93"/>
      <c r="AZ109" s="91"/>
      <c r="BA109" s="92"/>
      <c r="BB109" s="90"/>
      <c r="BC109" s="91"/>
      <c r="BD109" s="93"/>
      <c r="BE109" s="91"/>
      <c r="BF109" s="92"/>
      <c r="BG109" s="33">
        <f t="shared" si="2"/>
        <v>0</v>
      </c>
      <c r="BH109" s="27"/>
      <c r="BI109" s="27"/>
      <c r="BJ109" s="27"/>
    </row>
    <row r="110" ht="15.75" customHeight="1" spans="1:62">
      <c r="A110" s="29"/>
      <c r="B110" s="29"/>
      <c r="C110" s="29"/>
      <c r="D110" s="33">
        <v>101</v>
      </c>
      <c r="E110" s="31"/>
      <c r="F110" s="31"/>
      <c r="G110" s="32"/>
      <c r="H110" s="32"/>
      <c r="I110" s="33"/>
      <c r="J110" s="27" t="str">
        <f t="shared" si="0"/>
        <v/>
      </c>
      <c r="K110" s="32"/>
      <c r="L110" s="32"/>
      <c r="M110" s="32"/>
      <c r="N110" s="32"/>
      <c r="O110" s="32"/>
      <c r="P110" s="32"/>
      <c r="Q110" s="34"/>
      <c r="R110" s="88" t="str">
        <f ca="1" t="shared" si="4"/>
        <v/>
      </c>
      <c r="S110" s="27"/>
      <c r="T110" s="27"/>
      <c r="U110" s="27"/>
      <c r="V110" s="35"/>
      <c r="W110" s="30"/>
      <c r="X110" s="33"/>
      <c r="Y110" s="36"/>
      <c r="Z110" s="37"/>
      <c r="AA110" s="27"/>
      <c r="AB110" s="27"/>
      <c r="AC110" s="27"/>
      <c r="AD110" s="27"/>
      <c r="AE110" s="27"/>
      <c r="AF110" s="27"/>
      <c r="AG110" s="90" t="b">
        <v>0</v>
      </c>
      <c r="AH110" s="91" t="b">
        <v>0</v>
      </c>
      <c r="AI110" s="91" t="b">
        <v>0</v>
      </c>
      <c r="AJ110" s="92" t="b">
        <v>0</v>
      </c>
      <c r="AK110" s="90"/>
      <c r="AL110" s="91"/>
      <c r="AM110" s="91"/>
      <c r="AN110" s="92"/>
      <c r="AO110" s="90"/>
      <c r="AP110" s="91"/>
      <c r="AQ110" s="91"/>
      <c r="AR110" s="92"/>
      <c r="AS110" s="90"/>
      <c r="AT110" s="91"/>
      <c r="AU110" s="91"/>
      <c r="AV110" s="92"/>
      <c r="AW110" s="90"/>
      <c r="AX110" s="91"/>
      <c r="AY110" s="93"/>
      <c r="AZ110" s="91"/>
      <c r="BA110" s="92"/>
      <c r="BB110" s="90"/>
      <c r="BC110" s="91"/>
      <c r="BD110" s="93"/>
      <c r="BE110" s="91"/>
      <c r="BF110" s="92"/>
      <c r="BG110" s="33">
        <f t="shared" si="2"/>
        <v>0</v>
      </c>
      <c r="BH110" s="27"/>
      <c r="BI110" s="27"/>
      <c r="BJ110" s="27"/>
    </row>
    <row r="111" ht="15.75" customHeight="1" spans="1:62">
      <c r="A111" s="29"/>
      <c r="B111" s="29"/>
      <c r="C111" s="29"/>
      <c r="D111" s="33">
        <v>102</v>
      </c>
      <c r="E111" s="31"/>
      <c r="F111" s="31"/>
      <c r="G111" s="32"/>
      <c r="H111" s="32"/>
      <c r="I111" s="33"/>
      <c r="J111" s="27" t="str">
        <f t="shared" si="0"/>
        <v/>
      </c>
      <c r="K111" s="32"/>
      <c r="L111" s="32"/>
      <c r="M111" s="32"/>
      <c r="N111" s="32"/>
      <c r="O111" s="32"/>
      <c r="P111" s="32"/>
      <c r="Q111" s="34"/>
      <c r="R111" s="88" t="str">
        <f ca="1" t="shared" si="4"/>
        <v/>
      </c>
      <c r="S111" s="27"/>
      <c r="T111" s="27"/>
      <c r="U111" s="27"/>
      <c r="V111" s="35"/>
      <c r="W111" s="30"/>
      <c r="X111" s="33"/>
      <c r="Y111" s="36"/>
      <c r="Z111" s="37"/>
      <c r="AA111" s="27"/>
      <c r="AB111" s="27"/>
      <c r="AC111" s="27"/>
      <c r="AD111" s="27"/>
      <c r="AE111" s="27"/>
      <c r="AF111" s="27"/>
      <c r="AG111" s="90" t="b">
        <v>0</v>
      </c>
      <c r="AH111" s="91" t="b">
        <v>0</v>
      </c>
      <c r="AI111" s="91" t="b">
        <v>0</v>
      </c>
      <c r="AJ111" s="92" t="b">
        <v>0</v>
      </c>
      <c r="AK111" s="90"/>
      <c r="AL111" s="91"/>
      <c r="AM111" s="91"/>
      <c r="AN111" s="92"/>
      <c r="AO111" s="90"/>
      <c r="AP111" s="91"/>
      <c r="AQ111" s="91"/>
      <c r="AR111" s="92"/>
      <c r="AS111" s="90"/>
      <c r="AT111" s="91"/>
      <c r="AU111" s="91"/>
      <c r="AV111" s="92"/>
      <c r="AW111" s="90"/>
      <c r="AX111" s="91"/>
      <c r="AY111" s="93"/>
      <c r="AZ111" s="91"/>
      <c r="BA111" s="92"/>
      <c r="BB111" s="90"/>
      <c r="BC111" s="91"/>
      <c r="BD111" s="93"/>
      <c r="BE111" s="91"/>
      <c r="BF111" s="92"/>
      <c r="BG111" s="33">
        <f t="shared" si="2"/>
        <v>0</v>
      </c>
      <c r="BH111" s="27"/>
      <c r="BI111" s="27"/>
      <c r="BJ111" s="27"/>
    </row>
    <row r="112" ht="15.75" customHeight="1" spans="1:62">
      <c r="A112" s="29"/>
      <c r="B112" s="29"/>
      <c r="C112" s="29"/>
      <c r="D112" s="33">
        <v>103</v>
      </c>
      <c r="E112" s="31"/>
      <c r="F112" s="31"/>
      <c r="G112" s="32"/>
      <c r="H112" s="32"/>
      <c r="I112" s="33"/>
      <c r="J112" s="27" t="str">
        <f t="shared" si="0"/>
        <v/>
      </c>
      <c r="K112" s="32"/>
      <c r="L112" s="32"/>
      <c r="M112" s="32"/>
      <c r="N112" s="32"/>
      <c r="O112" s="32"/>
      <c r="P112" s="32"/>
      <c r="Q112" s="34"/>
      <c r="R112" s="88" t="str">
        <f ca="1" t="shared" si="4"/>
        <v/>
      </c>
      <c r="S112" s="27"/>
      <c r="T112" s="27"/>
      <c r="U112" s="27"/>
      <c r="V112" s="35"/>
      <c r="W112" s="30"/>
      <c r="X112" s="33"/>
      <c r="Y112" s="36"/>
      <c r="Z112" s="37"/>
      <c r="AA112" s="27"/>
      <c r="AB112" s="27"/>
      <c r="AC112" s="27"/>
      <c r="AD112" s="27"/>
      <c r="AE112" s="27"/>
      <c r="AF112" s="27"/>
      <c r="AG112" s="90" t="b">
        <v>0</v>
      </c>
      <c r="AH112" s="91" t="b">
        <v>0</v>
      </c>
      <c r="AI112" s="91" t="b">
        <v>0</v>
      </c>
      <c r="AJ112" s="92" t="b">
        <v>0</v>
      </c>
      <c r="AK112" s="90"/>
      <c r="AL112" s="91"/>
      <c r="AM112" s="91"/>
      <c r="AN112" s="92"/>
      <c r="AO112" s="90"/>
      <c r="AP112" s="91"/>
      <c r="AQ112" s="91"/>
      <c r="AR112" s="92"/>
      <c r="AS112" s="90"/>
      <c r="AT112" s="91"/>
      <c r="AU112" s="91"/>
      <c r="AV112" s="92"/>
      <c r="AW112" s="90"/>
      <c r="AX112" s="91"/>
      <c r="AY112" s="93"/>
      <c r="AZ112" s="91"/>
      <c r="BA112" s="92"/>
      <c r="BB112" s="90"/>
      <c r="BC112" s="91"/>
      <c r="BD112" s="93"/>
      <c r="BE112" s="91"/>
      <c r="BF112" s="92"/>
      <c r="BG112" s="33">
        <f t="shared" si="2"/>
        <v>0</v>
      </c>
      <c r="BH112" s="27"/>
      <c r="BI112" s="27"/>
      <c r="BJ112" s="27"/>
    </row>
    <row r="113" ht="15.75" customHeight="1" spans="1:62">
      <c r="A113" s="29"/>
      <c r="B113" s="29"/>
      <c r="C113" s="29"/>
      <c r="D113" s="33">
        <v>104</v>
      </c>
      <c r="E113" s="31"/>
      <c r="F113" s="31"/>
      <c r="G113" s="32"/>
      <c r="H113" s="32"/>
      <c r="I113" s="33"/>
      <c r="J113" s="27" t="str">
        <f t="shared" si="0"/>
        <v/>
      </c>
      <c r="K113" s="32"/>
      <c r="L113" s="32"/>
      <c r="M113" s="32"/>
      <c r="N113" s="32"/>
      <c r="O113" s="32"/>
      <c r="P113" s="32"/>
      <c r="Q113" s="34"/>
      <c r="R113" s="88" t="str">
        <f ca="1" t="shared" si="4"/>
        <v/>
      </c>
      <c r="S113" s="27"/>
      <c r="T113" s="27"/>
      <c r="U113" s="27"/>
      <c r="V113" s="35"/>
      <c r="W113" s="30"/>
      <c r="X113" s="33"/>
      <c r="Y113" s="36"/>
      <c r="Z113" s="37"/>
      <c r="AA113" s="27"/>
      <c r="AB113" s="27"/>
      <c r="AC113" s="27"/>
      <c r="AD113" s="27"/>
      <c r="AE113" s="27"/>
      <c r="AF113" s="27"/>
      <c r="AG113" s="90" t="b">
        <v>0</v>
      </c>
      <c r="AH113" s="91" t="b">
        <v>0</v>
      </c>
      <c r="AI113" s="91" t="b">
        <v>0</v>
      </c>
      <c r="AJ113" s="92" t="b">
        <v>0</v>
      </c>
      <c r="AK113" s="90"/>
      <c r="AL113" s="91"/>
      <c r="AM113" s="91"/>
      <c r="AN113" s="92"/>
      <c r="AO113" s="90"/>
      <c r="AP113" s="91"/>
      <c r="AQ113" s="91"/>
      <c r="AR113" s="92"/>
      <c r="AS113" s="90"/>
      <c r="AT113" s="91"/>
      <c r="AU113" s="91"/>
      <c r="AV113" s="92"/>
      <c r="AW113" s="90"/>
      <c r="AX113" s="91"/>
      <c r="AY113" s="93"/>
      <c r="AZ113" s="91"/>
      <c r="BA113" s="92"/>
      <c r="BB113" s="90"/>
      <c r="BC113" s="91"/>
      <c r="BD113" s="93"/>
      <c r="BE113" s="91"/>
      <c r="BF113" s="92"/>
      <c r="BG113" s="33">
        <f t="shared" si="2"/>
        <v>0</v>
      </c>
      <c r="BH113" s="27"/>
      <c r="BI113" s="27"/>
      <c r="BJ113" s="27"/>
    </row>
    <row r="114" ht="15.75" customHeight="1" spans="1:62">
      <c r="A114" s="29"/>
      <c r="B114" s="29"/>
      <c r="C114" s="29"/>
      <c r="D114" s="33">
        <v>105</v>
      </c>
      <c r="E114" s="31"/>
      <c r="F114" s="31"/>
      <c r="G114" s="32"/>
      <c r="H114" s="32"/>
      <c r="I114" s="33"/>
      <c r="J114" s="27" t="str">
        <f t="shared" si="0"/>
        <v/>
      </c>
      <c r="K114" s="32"/>
      <c r="L114" s="32"/>
      <c r="M114" s="32"/>
      <c r="N114" s="32"/>
      <c r="O114" s="32"/>
      <c r="P114" s="32"/>
      <c r="Q114" s="34"/>
      <c r="R114" s="88" t="str">
        <f ca="1" t="shared" si="4"/>
        <v/>
      </c>
      <c r="S114" s="27"/>
      <c r="T114" s="27"/>
      <c r="U114" s="27"/>
      <c r="V114" s="35"/>
      <c r="W114" s="30"/>
      <c r="X114" s="33"/>
      <c r="Y114" s="36"/>
      <c r="Z114" s="37"/>
      <c r="AA114" s="27"/>
      <c r="AB114" s="27"/>
      <c r="AC114" s="27"/>
      <c r="AD114" s="27"/>
      <c r="AE114" s="27"/>
      <c r="AF114" s="27"/>
      <c r="AG114" s="90" t="b">
        <v>0</v>
      </c>
      <c r="AH114" s="91" t="b">
        <v>0</v>
      </c>
      <c r="AI114" s="91" t="b">
        <v>0</v>
      </c>
      <c r="AJ114" s="92" t="b">
        <v>0</v>
      </c>
      <c r="AK114" s="90"/>
      <c r="AL114" s="91"/>
      <c r="AM114" s="91"/>
      <c r="AN114" s="92"/>
      <c r="AO114" s="90"/>
      <c r="AP114" s="91"/>
      <c r="AQ114" s="91"/>
      <c r="AR114" s="92"/>
      <c r="AS114" s="90"/>
      <c r="AT114" s="91"/>
      <c r="AU114" s="91"/>
      <c r="AV114" s="92"/>
      <c r="AW114" s="90"/>
      <c r="AX114" s="91"/>
      <c r="AY114" s="93"/>
      <c r="AZ114" s="91"/>
      <c r="BA114" s="92"/>
      <c r="BB114" s="90"/>
      <c r="BC114" s="91"/>
      <c r="BD114" s="93"/>
      <c r="BE114" s="91"/>
      <c r="BF114" s="92"/>
      <c r="BG114" s="33">
        <f t="shared" si="2"/>
        <v>0</v>
      </c>
      <c r="BH114" s="27"/>
      <c r="BI114" s="27"/>
      <c r="BJ114" s="27"/>
    </row>
    <row r="115" ht="15.75" customHeight="1" spans="1:62">
      <c r="A115" s="29"/>
      <c r="B115" s="29"/>
      <c r="C115" s="29"/>
      <c r="D115" s="33">
        <v>106</v>
      </c>
      <c r="E115" s="31"/>
      <c r="F115" s="31"/>
      <c r="G115" s="32"/>
      <c r="H115" s="32"/>
      <c r="I115" s="33"/>
      <c r="J115" s="27" t="str">
        <f t="shared" si="0"/>
        <v/>
      </c>
      <c r="K115" s="32"/>
      <c r="L115" s="32"/>
      <c r="M115" s="32"/>
      <c r="N115" s="32"/>
      <c r="O115" s="32"/>
      <c r="P115" s="32"/>
      <c r="Q115" s="34"/>
      <c r="R115" s="88" t="str">
        <f ca="1" t="shared" si="4"/>
        <v/>
      </c>
      <c r="S115" s="27"/>
      <c r="T115" s="27"/>
      <c r="U115" s="27"/>
      <c r="V115" s="35"/>
      <c r="W115" s="30"/>
      <c r="X115" s="33"/>
      <c r="Y115" s="36"/>
      <c r="Z115" s="37"/>
      <c r="AA115" s="27"/>
      <c r="AB115" s="27"/>
      <c r="AC115" s="27"/>
      <c r="AD115" s="27"/>
      <c r="AE115" s="27"/>
      <c r="AF115" s="27"/>
      <c r="AG115" s="90" t="b">
        <v>0</v>
      </c>
      <c r="AH115" s="91" t="b">
        <v>0</v>
      </c>
      <c r="AI115" s="91" t="b">
        <v>0</v>
      </c>
      <c r="AJ115" s="92" t="b">
        <v>0</v>
      </c>
      <c r="AK115" s="90"/>
      <c r="AL115" s="91"/>
      <c r="AM115" s="91"/>
      <c r="AN115" s="92"/>
      <c r="AO115" s="90"/>
      <c r="AP115" s="91"/>
      <c r="AQ115" s="91"/>
      <c r="AR115" s="92"/>
      <c r="AS115" s="90"/>
      <c r="AT115" s="91"/>
      <c r="AU115" s="91"/>
      <c r="AV115" s="92"/>
      <c r="AW115" s="90"/>
      <c r="AX115" s="91"/>
      <c r="AY115" s="93"/>
      <c r="AZ115" s="91"/>
      <c r="BA115" s="92"/>
      <c r="BB115" s="90"/>
      <c r="BC115" s="91"/>
      <c r="BD115" s="93"/>
      <c r="BE115" s="91"/>
      <c r="BF115" s="92"/>
      <c r="BG115" s="33">
        <f t="shared" si="2"/>
        <v>0</v>
      </c>
      <c r="BH115" s="27"/>
      <c r="BI115" s="27"/>
      <c r="BJ115" s="27"/>
    </row>
    <row r="116" ht="15.75" customHeight="1" spans="1:62">
      <c r="A116" s="29"/>
      <c r="B116" s="29"/>
      <c r="C116" s="29"/>
      <c r="D116" s="33">
        <v>107</v>
      </c>
      <c r="E116" s="31"/>
      <c r="F116" s="31"/>
      <c r="G116" s="32"/>
      <c r="H116" s="32"/>
      <c r="I116" s="33"/>
      <c r="J116" s="27" t="str">
        <f t="shared" si="0"/>
        <v/>
      </c>
      <c r="K116" s="32"/>
      <c r="L116" s="32"/>
      <c r="M116" s="32"/>
      <c r="N116" s="32"/>
      <c r="O116" s="32"/>
      <c r="P116" s="32"/>
      <c r="Q116" s="34"/>
      <c r="R116" s="88" t="str">
        <f ca="1" t="shared" si="4"/>
        <v/>
      </c>
      <c r="S116" s="27"/>
      <c r="T116" s="27"/>
      <c r="U116" s="27"/>
      <c r="V116" s="35"/>
      <c r="W116" s="30"/>
      <c r="X116" s="33"/>
      <c r="Y116" s="36"/>
      <c r="Z116" s="37"/>
      <c r="AA116" s="27"/>
      <c r="AB116" s="27"/>
      <c r="AC116" s="27"/>
      <c r="AD116" s="27"/>
      <c r="AE116" s="27"/>
      <c r="AF116" s="27"/>
      <c r="AG116" s="90" t="b">
        <v>0</v>
      </c>
      <c r="AH116" s="91" t="b">
        <v>0</v>
      </c>
      <c r="AI116" s="91" t="b">
        <v>0</v>
      </c>
      <c r="AJ116" s="92" t="b">
        <v>0</v>
      </c>
      <c r="AK116" s="90"/>
      <c r="AL116" s="91"/>
      <c r="AM116" s="91"/>
      <c r="AN116" s="92"/>
      <c r="AO116" s="90"/>
      <c r="AP116" s="91"/>
      <c r="AQ116" s="91"/>
      <c r="AR116" s="92"/>
      <c r="AS116" s="90"/>
      <c r="AT116" s="91"/>
      <c r="AU116" s="91"/>
      <c r="AV116" s="92"/>
      <c r="AW116" s="90"/>
      <c r="AX116" s="91"/>
      <c r="AY116" s="93"/>
      <c r="AZ116" s="91"/>
      <c r="BA116" s="92"/>
      <c r="BB116" s="90"/>
      <c r="BC116" s="91"/>
      <c r="BD116" s="93"/>
      <c r="BE116" s="91"/>
      <c r="BF116" s="92"/>
      <c r="BG116" s="33">
        <f t="shared" si="2"/>
        <v>0</v>
      </c>
      <c r="BH116" s="27"/>
      <c r="BI116" s="27"/>
      <c r="BJ116" s="27"/>
    </row>
    <row r="117" ht="15.75" customHeight="1" spans="1:62">
      <c r="A117" s="29"/>
      <c r="B117" s="29"/>
      <c r="C117" s="29"/>
      <c r="D117" s="33">
        <v>108</v>
      </c>
      <c r="E117" s="31"/>
      <c r="F117" s="31"/>
      <c r="G117" s="32"/>
      <c r="H117" s="32"/>
      <c r="I117" s="33"/>
      <c r="J117" s="27" t="str">
        <f t="shared" si="0"/>
        <v/>
      </c>
      <c r="K117" s="32"/>
      <c r="L117" s="32"/>
      <c r="M117" s="32"/>
      <c r="N117" s="32"/>
      <c r="O117" s="32"/>
      <c r="P117" s="32"/>
      <c r="Q117" s="34"/>
      <c r="R117" s="88" t="str">
        <f ca="1" t="shared" si="4"/>
        <v/>
      </c>
      <c r="S117" s="27"/>
      <c r="T117" s="27"/>
      <c r="U117" s="27"/>
      <c r="V117" s="35"/>
      <c r="W117" s="30"/>
      <c r="X117" s="33"/>
      <c r="Y117" s="36"/>
      <c r="Z117" s="37"/>
      <c r="AA117" s="27"/>
      <c r="AB117" s="27"/>
      <c r="AC117" s="27"/>
      <c r="AD117" s="27"/>
      <c r="AE117" s="27"/>
      <c r="AF117" s="27"/>
      <c r="AG117" s="90" t="b">
        <v>0</v>
      </c>
      <c r="AH117" s="91" t="b">
        <v>0</v>
      </c>
      <c r="AI117" s="91" t="b">
        <v>0</v>
      </c>
      <c r="AJ117" s="92" t="b">
        <v>0</v>
      </c>
      <c r="AK117" s="90"/>
      <c r="AL117" s="91"/>
      <c r="AM117" s="91"/>
      <c r="AN117" s="92"/>
      <c r="AO117" s="90"/>
      <c r="AP117" s="91"/>
      <c r="AQ117" s="91"/>
      <c r="AR117" s="92"/>
      <c r="AS117" s="90"/>
      <c r="AT117" s="91"/>
      <c r="AU117" s="91"/>
      <c r="AV117" s="92"/>
      <c r="AW117" s="90"/>
      <c r="AX117" s="91"/>
      <c r="AY117" s="93"/>
      <c r="AZ117" s="91"/>
      <c r="BA117" s="92"/>
      <c r="BB117" s="90"/>
      <c r="BC117" s="91"/>
      <c r="BD117" s="93"/>
      <c r="BE117" s="91"/>
      <c r="BF117" s="92"/>
      <c r="BG117" s="33">
        <f t="shared" si="2"/>
        <v>0</v>
      </c>
      <c r="BH117" s="27"/>
      <c r="BI117" s="27"/>
      <c r="BJ117" s="27"/>
    </row>
    <row r="118" ht="15.75" customHeight="1" spans="1:62">
      <c r="A118" s="29"/>
      <c r="B118" s="29"/>
      <c r="C118" s="29"/>
      <c r="D118" s="33">
        <v>109</v>
      </c>
      <c r="E118" s="31"/>
      <c r="F118" s="31"/>
      <c r="G118" s="32"/>
      <c r="H118" s="32"/>
      <c r="I118" s="33"/>
      <c r="J118" s="27" t="str">
        <f t="shared" si="0"/>
        <v/>
      </c>
      <c r="K118" s="32"/>
      <c r="L118" s="32"/>
      <c r="M118" s="32"/>
      <c r="N118" s="32"/>
      <c r="O118" s="32"/>
      <c r="P118" s="32"/>
      <c r="Q118" s="34"/>
      <c r="R118" s="88" t="str">
        <f ca="1" t="shared" si="4"/>
        <v/>
      </c>
      <c r="S118" s="27"/>
      <c r="T118" s="27"/>
      <c r="U118" s="27"/>
      <c r="V118" s="35"/>
      <c r="W118" s="30"/>
      <c r="X118" s="33"/>
      <c r="Y118" s="36"/>
      <c r="Z118" s="37"/>
      <c r="AA118" s="27"/>
      <c r="AB118" s="27"/>
      <c r="AC118" s="27"/>
      <c r="AD118" s="27"/>
      <c r="AE118" s="27"/>
      <c r="AF118" s="27"/>
      <c r="AG118" s="90" t="b">
        <v>0</v>
      </c>
      <c r="AH118" s="91" t="b">
        <v>0</v>
      </c>
      <c r="AI118" s="91" t="b">
        <v>0</v>
      </c>
      <c r="AJ118" s="92" t="b">
        <v>0</v>
      </c>
      <c r="AK118" s="90"/>
      <c r="AL118" s="91"/>
      <c r="AM118" s="91"/>
      <c r="AN118" s="92"/>
      <c r="AO118" s="90"/>
      <c r="AP118" s="91"/>
      <c r="AQ118" s="91"/>
      <c r="AR118" s="92"/>
      <c r="AS118" s="90"/>
      <c r="AT118" s="91"/>
      <c r="AU118" s="91"/>
      <c r="AV118" s="92"/>
      <c r="AW118" s="90"/>
      <c r="AX118" s="91"/>
      <c r="AY118" s="93"/>
      <c r="AZ118" s="91"/>
      <c r="BA118" s="92"/>
      <c r="BB118" s="90"/>
      <c r="BC118" s="91"/>
      <c r="BD118" s="93"/>
      <c r="BE118" s="91"/>
      <c r="BF118" s="92"/>
      <c r="BG118" s="33">
        <f t="shared" si="2"/>
        <v>0</v>
      </c>
      <c r="BH118" s="27"/>
      <c r="BI118" s="27"/>
      <c r="BJ118" s="27"/>
    </row>
    <row r="119" ht="15.75" customHeight="1" spans="1:62">
      <c r="A119" s="29"/>
      <c r="B119" s="29"/>
      <c r="C119" s="29"/>
      <c r="D119" s="33">
        <v>110</v>
      </c>
      <c r="E119" s="31"/>
      <c r="F119" s="31"/>
      <c r="G119" s="32"/>
      <c r="H119" s="32"/>
      <c r="I119" s="33"/>
      <c r="J119" s="27" t="str">
        <f t="shared" si="0"/>
        <v/>
      </c>
      <c r="K119" s="32"/>
      <c r="L119" s="32"/>
      <c r="M119" s="32"/>
      <c r="N119" s="32"/>
      <c r="O119" s="32"/>
      <c r="P119" s="32"/>
      <c r="Q119" s="34"/>
      <c r="R119" s="88" t="str">
        <f ca="1" t="shared" si="4"/>
        <v/>
      </c>
      <c r="S119" s="27"/>
      <c r="T119" s="27"/>
      <c r="U119" s="27"/>
      <c r="V119" s="35"/>
      <c r="W119" s="30"/>
      <c r="X119" s="33"/>
      <c r="Y119" s="36"/>
      <c r="Z119" s="37"/>
      <c r="AA119" s="27"/>
      <c r="AB119" s="27"/>
      <c r="AC119" s="27"/>
      <c r="AD119" s="27"/>
      <c r="AE119" s="27"/>
      <c r="AF119" s="27"/>
      <c r="AG119" s="90" t="b">
        <v>0</v>
      </c>
      <c r="AH119" s="91" t="b">
        <v>0</v>
      </c>
      <c r="AI119" s="91" t="b">
        <v>0</v>
      </c>
      <c r="AJ119" s="92" t="b">
        <v>0</v>
      </c>
      <c r="AK119" s="90"/>
      <c r="AL119" s="91"/>
      <c r="AM119" s="91"/>
      <c r="AN119" s="92"/>
      <c r="AO119" s="90"/>
      <c r="AP119" s="91"/>
      <c r="AQ119" s="91"/>
      <c r="AR119" s="92"/>
      <c r="AS119" s="90"/>
      <c r="AT119" s="91"/>
      <c r="AU119" s="91"/>
      <c r="AV119" s="92"/>
      <c r="AW119" s="90"/>
      <c r="AX119" s="91"/>
      <c r="AY119" s="93"/>
      <c r="AZ119" s="91"/>
      <c r="BA119" s="92"/>
      <c r="BB119" s="90"/>
      <c r="BC119" s="91"/>
      <c r="BD119" s="93"/>
      <c r="BE119" s="91"/>
      <c r="BF119" s="92"/>
      <c r="BG119" s="33">
        <f t="shared" si="2"/>
        <v>0</v>
      </c>
      <c r="BH119" s="27"/>
      <c r="BI119" s="27"/>
      <c r="BJ119" s="27"/>
    </row>
    <row r="120" ht="15.75" customHeight="1" spans="1:62">
      <c r="A120" s="29"/>
      <c r="B120" s="29"/>
      <c r="C120" s="29"/>
      <c r="D120" s="33">
        <v>111</v>
      </c>
      <c r="E120" s="31"/>
      <c r="F120" s="31"/>
      <c r="G120" s="32"/>
      <c r="H120" s="32"/>
      <c r="I120" s="33"/>
      <c r="J120" s="27" t="str">
        <f t="shared" si="0"/>
        <v/>
      </c>
      <c r="K120" s="32"/>
      <c r="L120" s="32"/>
      <c r="M120" s="32"/>
      <c r="N120" s="32"/>
      <c r="O120" s="32"/>
      <c r="P120" s="32"/>
      <c r="Q120" s="34"/>
      <c r="R120" s="88" t="str">
        <f ca="1" t="shared" si="4"/>
        <v/>
      </c>
      <c r="S120" s="27"/>
      <c r="T120" s="27"/>
      <c r="U120" s="27"/>
      <c r="V120" s="35"/>
      <c r="W120" s="30"/>
      <c r="X120" s="33"/>
      <c r="Y120" s="36"/>
      <c r="Z120" s="37"/>
      <c r="AA120" s="27"/>
      <c r="AB120" s="27"/>
      <c r="AC120" s="27"/>
      <c r="AD120" s="27"/>
      <c r="AE120" s="27"/>
      <c r="AF120" s="27"/>
      <c r="AG120" s="90" t="b">
        <v>0</v>
      </c>
      <c r="AH120" s="91" t="b">
        <v>0</v>
      </c>
      <c r="AI120" s="91" t="b">
        <v>0</v>
      </c>
      <c r="AJ120" s="92" t="b">
        <v>0</v>
      </c>
      <c r="AK120" s="90"/>
      <c r="AL120" s="91"/>
      <c r="AM120" s="91"/>
      <c r="AN120" s="92"/>
      <c r="AO120" s="90"/>
      <c r="AP120" s="91"/>
      <c r="AQ120" s="91"/>
      <c r="AR120" s="92"/>
      <c r="AS120" s="90"/>
      <c r="AT120" s="91"/>
      <c r="AU120" s="91"/>
      <c r="AV120" s="92"/>
      <c r="AW120" s="90"/>
      <c r="AX120" s="91"/>
      <c r="AY120" s="93"/>
      <c r="AZ120" s="91"/>
      <c r="BA120" s="92"/>
      <c r="BB120" s="90"/>
      <c r="BC120" s="91"/>
      <c r="BD120" s="93"/>
      <c r="BE120" s="91"/>
      <c r="BF120" s="92"/>
      <c r="BG120" s="33">
        <f t="shared" si="2"/>
        <v>0</v>
      </c>
      <c r="BH120" s="27"/>
      <c r="BI120" s="27"/>
      <c r="BJ120" s="27"/>
    </row>
    <row r="121" ht="15.75" customHeight="1" spans="1:62">
      <c r="A121" s="29"/>
      <c r="B121" s="29"/>
      <c r="C121" s="29"/>
      <c r="D121" s="33">
        <v>112</v>
      </c>
      <c r="E121" s="31"/>
      <c r="F121" s="31"/>
      <c r="G121" s="32"/>
      <c r="H121" s="32"/>
      <c r="I121" s="33"/>
      <c r="J121" s="27" t="str">
        <f t="shared" si="0"/>
        <v/>
      </c>
      <c r="K121" s="32"/>
      <c r="L121" s="32"/>
      <c r="M121" s="32"/>
      <c r="N121" s="32"/>
      <c r="O121" s="32"/>
      <c r="P121" s="32"/>
      <c r="Q121" s="34"/>
      <c r="R121" s="88" t="str">
        <f ca="1" t="shared" si="4"/>
        <v/>
      </c>
      <c r="S121" s="27"/>
      <c r="T121" s="27"/>
      <c r="U121" s="27"/>
      <c r="V121" s="35"/>
      <c r="W121" s="30"/>
      <c r="X121" s="33"/>
      <c r="Y121" s="36"/>
      <c r="Z121" s="37"/>
      <c r="AA121" s="27"/>
      <c r="AB121" s="27"/>
      <c r="AC121" s="27"/>
      <c r="AD121" s="27"/>
      <c r="AE121" s="27"/>
      <c r="AF121" s="27"/>
      <c r="AG121" s="90" t="b">
        <v>0</v>
      </c>
      <c r="AH121" s="91" t="b">
        <v>0</v>
      </c>
      <c r="AI121" s="91" t="b">
        <v>0</v>
      </c>
      <c r="AJ121" s="92" t="b">
        <v>0</v>
      </c>
      <c r="AK121" s="90"/>
      <c r="AL121" s="91"/>
      <c r="AM121" s="91"/>
      <c r="AN121" s="92"/>
      <c r="AO121" s="90"/>
      <c r="AP121" s="91"/>
      <c r="AQ121" s="91"/>
      <c r="AR121" s="92"/>
      <c r="AS121" s="90"/>
      <c r="AT121" s="91"/>
      <c r="AU121" s="91"/>
      <c r="AV121" s="92"/>
      <c r="AW121" s="90"/>
      <c r="AX121" s="91"/>
      <c r="AY121" s="93"/>
      <c r="AZ121" s="91"/>
      <c r="BA121" s="92"/>
      <c r="BB121" s="90"/>
      <c r="BC121" s="91"/>
      <c r="BD121" s="93"/>
      <c r="BE121" s="91"/>
      <c r="BF121" s="92"/>
      <c r="BG121" s="33">
        <f t="shared" si="2"/>
        <v>0</v>
      </c>
      <c r="BH121" s="27"/>
      <c r="BI121" s="27"/>
      <c r="BJ121" s="27"/>
    </row>
    <row r="122" ht="15.75" customHeight="1" spans="1:62">
      <c r="A122" s="29"/>
      <c r="B122" s="29"/>
      <c r="C122" s="29"/>
      <c r="D122" s="33">
        <v>113</v>
      </c>
      <c r="E122" s="31"/>
      <c r="F122" s="31"/>
      <c r="G122" s="32"/>
      <c r="H122" s="32"/>
      <c r="I122" s="33"/>
      <c r="J122" s="27" t="str">
        <f t="shared" si="0"/>
        <v/>
      </c>
      <c r="K122" s="32"/>
      <c r="L122" s="32"/>
      <c r="M122" s="32"/>
      <c r="N122" s="32"/>
      <c r="O122" s="32"/>
      <c r="P122" s="32"/>
      <c r="Q122" s="34"/>
      <c r="R122" s="88" t="str">
        <f ca="1" t="shared" si="4"/>
        <v/>
      </c>
      <c r="S122" s="27"/>
      <c r="T122" s="27"/>
      <c r="U122" s="27"/>
      <c r="V122" s="35"/>
      <c r="W122" s="30"/>
      <c r="X122" s="33"/>
      <c r="Y122" s="36"/>
      <c r="Z122" s="37"/>
      <c r="AA122" s="27"/>
      <c r="AB122" s="27"/>
      <c r="AC122" s="27"/>
      <c r="AD122" s="27"/>
      <c r="AE122" s="27"/>
      <c r="AF122" s="27"/>
      <c r="AG122" s="90" t="b">
        <v>0</v>
      </c>
      <c r="AH122" s="91" t="b">
        <v>0</v>
      </c>
      <c r="AI122" s="91" t="b">
        <v>0</v>
      </c>
      <c r="AJ122" s="92" t="b">
        <v>0</v>
      </c>
      <c r="AK122" s="90"/>
      <c r="AL122" s="91"/>
      <c r="AM122" s="91"/>
      <c r="AN122" s="92"/>
      <c r="AO122" s="90"/>
      <c r="AP122" s="91"/>
      <c r="AQ122" s="91"/>
      <c r="AR122" s="92"/>
      <c r="AS122" s="90"/>
      <c r="AT122" s="91"/>
      <c r="AU122" s="91"/>
      <c r="AV122" s="92"/>
      <c r="AW122" s="90"/>
      <c r="AX122" s="91"/>
      <c r="AY122" s="93"/>
      <c r="AZ122" s="91"/>
      <c r="BA122" s="92"/>
      <c r="BB122" s="90"/>
      <c r="BC122" s="91"/>
      <c r="BD122" s="93"/>
      <c r="BE122" s="91"/>
      <c r="BF122" s="92"/>
      <c r="BG122" s="33">
        <f t="shared" si="2"/>
        <v>0</v>
      </c>
      <c r="BH122" s="27"/>
      <c r="BI122" s="27"/>
      <c r="BJ122" s="27"/>
    </row>
    <row r="123" ht="15.75" customHeight="1" spans="1:62">
      <c r="A123" s="29"/>
      <c r="B123" s="29"/>
      <c r="C123" s="29"/>
      <c r="D123" s="33">
        <v>114</v>
      </c>
      <c r="E123" s="31"/>
      <c r="F123" s="31"/>
      <c r="G123" s="32"/>
      <c r="H123" s="32"/>
      <c r="I123" s="33"/>
      <c r="J123" s="27" t="str">
        <f t="shared" si="0"/>
        <v/>
      </c>
      <c r="K123" s="32"/>
      <c r="L123" s="32"/>
      <c r="M123" s="32"/>
      <c r="N123" s="32"/>
      <c r="O123" s="32"/>
      <c r="P123" s="32"/>
      <c r="Q123" s="34"/>
      <c r="R123" s="88" t="str">
        <f ca="1" t="shared" si="4"/>
        <v/>
      </c>
      <c r="S123" s="27"/>
      <c r="T123" s="27"/>
      <c r="U123" s="27"/>
      <c r="V123" s="35"/>
      <c r="W123" s="30"/>
      <c r="X123" s="33"/>
      <c r="Y123" s="36"/>
      <c r="Z123" s="37"/>
      <c r="AA123" s="27"/>
      <c r="AB123" s="27"/>
      <c r="AC123" s="27"/>
      <c r="AD123" s="27"/>
      <c r="AE123" s="27"/>
      <c r="AF123" s="27"/>
      <c r="AG123" s="90" t="b">
        <v>0</v>
      </c>
      <c r="AH123" s="91" t="b">
        <v>0</v>
      </c>
      <c r="AI123" s="91" t="b">
        <v>0</v>
      </c>
      <c r="AJ123" s="92" t="b">
        <v>0</v>
      </c>
      <c r="AK123" s="90"/>
      <c r="AL123" s="91"/>
      <c r="AM123" s="91"/>
      <c r="AN123" s="92"/>
      <c r="AO123" s="90"/>
      <c r="AP123" s="91"/>
      <c r="AQ123" s="91"/>
      <c r="AR123" s="92"/>
      <c r="AS123" s="90"/>
      <c r="AT123" s="91"/>
      <c r="AU123" s="91"/>
      <c r="AV123" s="92"/>
      <c r="AW123" s="90"/>
      <c r="AX123" s="91"/>
      <c r="AY123" s="93"/>
      <c r="AZ123" s="91"/>
      <c r="BA123" s="92"/>
      <c r="BB123" s="90"/>
      <c r="BC123" s="91"/>
      <c r="BD123" s="93"/>
      <c r="BE123" s="91"/>
      <c r="BF123" s="92"/>
      <c r="BG123" s="33">
        <f t="shared" si="2"/>
        <v>0</v>
      </c>
      <c r="BH123" s="27"/>
      <c r="BI123" s="27"/>
      <c r="BJ123" s="27"/>
    </row>
    <row r="124" ht="15.75" customHeight="1" spans="1:62">
      <c r="A124" s="29"/>
      <c r="B124" s="29"/>
      <c r="C124" s="29"/>
      <c r="D124" s="33">
        <v>115</v>
      </c>
      <c r="E124" s="31"/>
      <c r="F124" s="31"/>
      <c r="G124" s="32"/>
      <c r="H124" s="32"/>
      <c r="I124" s="33"/>
      <c r="J124" s="27" t="str">
        <f t="shared" si="0"/>
        <v/>
      </c>
      <c r="K124" s="32"/>
      <c r="L124" s="32"/>
      <c r="M124" s="32"/>
      <c r="N124" s="32"/>
      <c r="O124" s="32"/>
      <c r="P124" s="32"/>
      <c r="Q124" s="34"/>
      <c r="R124" s="88" t="str">
        <f ca="1" t="shared" si="4"/>
        <v/>
      </c>
      <c r="S124" s="27"/>
      <c r="T124" s="27"/>
      <c r="U124" s="27"/>
      <c r="V124" s="35"/>
      <c r="W124" s="30"/>
      <c r="X124" s="33"/>
      <c r="Y124" s="36"/>
      <c r="Z124" s="37"/>
      <c r="AA124" s="27"/>
      <c r="AB124" s="27"/>
      <c r="AC124" s="27"/>
      <c r="AD124" s="27"/>
      <c r="AE124" s="27"/>
      <c r="AF124" s="27"/>
      <c r="AG124" s="90" t="b">
        <v>0</v>
      </c>
      <c r="AH124" s="91" t="b">
        <v>0</v>
      </c>
      <c r="AI124" s="91" t="b">
        <v>0</v>
      </c>
      <c r="AJ124" s="92" t="b">
        <v>0</v>
      </c>
      <c r="AK124" s="90"/>
      <c r="AL124" s="91"/>
      <c r="AM124" s="91"/>
      <c r="AN124" s="92"/>
      <c r="AO124" s="90"/>
      <c r="AP124" s="91"/>
      <c r="AQ124" s="91"/>
      <c r="AR124" s="92"/>
      <c r="AS124" s="90"/>
      <c r="AT124" s="91"/>
      <c r="AU124" s="91"/>
      <c r="AV124" s="92"/>
      <c r="AW124" s="90"/>
      <c r="AX124" s="91"/>
      <c r="AY124" s="93"/>
      <c r="AZ124" s="91"/>
      <c r="BA124" s="92"/>
      <c r="BB124" s="90"/>
      <c r="BC124" s="91"/>
      <c r="BD124" s="93"/>
      <c r="BE124" s="91"/>
      <c r="BF124" s="92"/>
      <c r="BG124" s="33">
        <f t="shared" si="2"/>
        <v>0</v>
      </c>
      <c r="BH124" s="27"/>
      <c r="BI124" s="27"/>
      <c r="BJ124" s="27"/>
    </row>
    <row r="125" ht="15.75" customHeight="1" spans="1:62">
      <c r="A125" s="29"/>
      <c r="B125" s="29"/>
      <c r="C125" s="29"/>
      <c r="D125" s="33">
        <v>116</v>
      </c>
      <c r="E125" s="31"/>
      <c r="F125" s="31"/>
      <c r="G125" s="32"/>
      <c r="H125" s="32"/>
      <c r="I125" s="33"/>
      <c r="J125" s="27" t="str">
        <f t="shared" si="0"/>
        <v/>
      </c>
      <c r="K125" s="32"/>
      <c r="L125" s="32"/>
      <c r="M125" s="32"/>
      <c r="N125" s="32"/>
      <c r="O125" s="32"/>
      <c r="P125" s="32"/>
      <c r="Q125" s="34"/>
      <c r="R125" s="88" t="str">
        <f ca="1" t="shared" si="4"/>
        <v/>
      </c>
      <c r="S125" s="27"/>
      <c r="T125" s="27"/>
      <c r="U125" s="27"/>
      <c r="V125" s="35"/>
      <c r="W125" s="30"/>
      <c r="X125" s="33"/>
      <c r="Y125" s="36"/>
      <c r="Z125" s="37"/>
      <c r="AA125" s="27"/>
      <c r="AB125" s="27"/>
      <c r="AC125" s="27"/>
      <c r="AD125" s="27"/>
      <c r="AE125" s="27"/>
      <c r="AF125" s="27"/>
      <c r="AG125" s="90" t="b">
        <v>0</v>
      </c>
      <c r="AH125" s="91" t="b">
        <v>0</v>
      </c>
      <c r="AI125" s="91" t="b">
        <v>0</v>
      </c>
      <c r="AJ125" s="92" t="b">
        <v>0</v>
      </c>
      <c r="AK125" s="90"/>
      <c r="AL125" s="91"/>
      <c r="AM125" s="91"/>
      <c r="AN125" s="92"/>
      <c r="AO125" s="90"/>
      <c r="AP125" s="91"/>
      <c r="AQ125" s="91"/>
      <c r="AR125" s="92"/>
      <c r="AS125" s="90"/>
      <c r="AT125" s="91"/>
      <c r="AU125" s="91"/>
      <c r="AV125" s="92"/>
      <c r="AW125" s="90"/>
      <c r="AX125" s="91"/>
      <c r="AY125" s="93"/>
      <c r="AZ125" s="91"/>
      <c r="BA125" s="92"/>
      <c r="BB125" s="90"/>
      <c r="BC125" s="91"/>
      <c r="BD125" s="93"/>
      <c r="BE125" s="91"/>
      <c r="BF125" s="92"/>
      <c r="BG125" s="33">
        <f t="shared" si="2"/>
        <v>0</v>
      </c>
      <c r="BH125" s="27"/>
      <c r="BI125" s="27"/>
      <c r="BJ125" s="27"/>
    </row>
    <row r="126" ht="15.75" customHeight="1" spans="1:62">
      <c r="A126" s="29"/>
      <c r="B126" s="29"/>
      <c r="C126" s="29"/>
      <c r="D126" s="33">
        <v>117</v>
      </c>
      <c r="E126" s="31"/>
      <c r="F126" s="31"/>
      <c r="G126" s="32"/>
      <c r="H126" s="32"/>
      <c r="I126" s="33"/>
      <c r="J126" s="27" t="str">
        <f t="shared" si="0"/>
        <v/>
      </c>
      <c r="K126" s="32"/>
      <c r="L126" s="32"/>
      <c r="M126" s="32"/>
      <c r="N126" s="32"/>
      <c r="O126" s="32"/>
      <c r="P126" s="32"/>
      <c r="Q126" s="34"/>
      <c r="R126" s="88" t="str">
        <f ca="1" t="shared" si="4"/>
        <v/>
      </c>
      <c r="S126" s="27"/>
      <c r="T126" s="27"/>
      <c r="U126" s="27"/>
      <c r="V126" s="35"/>
      <c r="W126" s="30"/>
      <c r="X126" s="33"/>
      <c r="Y126" s="36"/>
      <c r="Z126" s="37"/>
      <c r="AA126" s="27"/>
      <c r="AB126" s="27"/>
      <c r="AC126" s="27"/>
      <c r="AD126" s="27"/>
      <c r="AE126" s="27"/>
      <c r="AF126" s="27"/>
      <c r="AG126" s="90" t="b">
        <v>0</v>
      </c>
      <c r="AH126" s="91" t="b">
        <v>0</v>
      </c>
      <c r="AI126" s="91" t="b">
        <v>0</v>
      </c>
      <c r="AJ126" s="92" t="b">
        <v>0</v>
      </c>
      <c r="AK126" s="90"/>
      <c r="AL126" s="91"/>
      <c r="AM126" s="91"/>
      <c r="AN126" s="92"/>
      <c r="AO126" s="90"/>
      <c r="AP126" s="91"/>
      <c r="AQ126" s="91"/>
      <c r="AR126" s="92"/>
      <c r="AS126" s="90"/>
      <c r="AT126" s="91"/>
      <c r="AU126" s="91"/>
      <c r="AV126" s="92"/>
      <c r="AW126" s="90"/>
      <c r="AX126" s="91"/>
      <c r="AY126" s="93"/>
      <c r="AZ126" s="91"/>
      <c r="BA126" s="92"/>
      <c r="BB126" s="90"/>
      <c r="BC126" s="91"/>
      <c r="BD126" s="93"/>
      <c r="BE126" s="91"/>
      <c r="BF126" s="92"/>
      <c r="BG126" s="33">
        <f t="shared" si="2"/>
        <v>0</v>
      </c>
      <c r="BH126" s="27"/>
      <c r="BI126" s="27"/>
      <c r="BJ126" s="27"/>
    </row>
    <row r="127" ht="15.75" customHeight="1" spans="1:62">
      <c r="A127" s="29"/>
      <c r="B127" s="29"/>
      <c r="C127" s="29"/>
      <c r="D127" s="33">
        <v>118</v>
      </c>
      <c r="E127" s="31"/>
      <c r="F127" s="31"/>
      <c r="G127" s="32"/>
      <c r="H127" s="32"/>
      <c r="I127" s="33"/>
      <c r="J127" s="27" t="str">
        <f t="shared" si="0"/>
        <v/>
      </c>
      <c r="K127" s="32"/>
      <c r="L127" s="32"/>
      <c r="M127" s="32"/>
      <c r="N127" s="32"/>
      <c r="O127" s="32"/>
      <c r="P127" s="32"/>
      <c r="Q127" s="34"/>
      <c r="R127" s="88" t="str">
        <f ca="1" t="shared" si="4"/>
        <v/>
      </c>
      <c r="S127" s="27"/>
      <c r="T127" s="27"/>
      <c r="U127" s="27"/>
      <c r="V127" s="35"/>
      <c r="W127" s="30"/>
      <c r="X127" s="33"/>
      <c r="Y127" s="36"/>
      <c r="Z127" s="37"/>
      <c r="AA127" s="27"/>
      <c r="AB127" s="27"/>
      <c r="AC127" s="27"/>
      <c r="AD127" s="27"/>
      <c r="AE127" s="27"/>
      <c r="AF127" s="27"/>
      <c r="AG127" s="90" t="b">
        <v>0</v>
      </c>
      <c r="AH127" s="91" t="b">
        <v>0</v>
      </c>
      <c r="AI127" s="91" t="b">
        <v>0</v>
      </c>
      <c r="AJ127" s="92" t="b">
        <v>0</v>
      </c>
      <c r="AK127" s="90"/>
      <c r="AL127" s="91"/>
      <c r="AM127" s="91"/>
      <c r="AN127" s="92"/>
      <c r="AO127" s="90"/>
      <c r="AP127" s="91"/>
      <c r="AQ127" s="91"/>
      <c r="AR127" s="92"/>
      <c r="AS127" s="90"/>
      <c r="AT127" s="91"/>
      <c r="AU127" s="91"/>
      <c r="AV127" s="92"/>
      <c r="AW127" s="90"/>
      <c r="AX127" s="91"/>
      <c r="AY127" s="93"/>
      <c r="AZ127" s="91"/>
      <c r="BA127" s="92"/>
      <c r="BB127" s="90"/>
      <c r="BC127" s="91"/>
      <c r="BD127" s="93"/>
      <c r="BE127" s="91"/>
      <c r="BF127" s="92"/>
      <c r="BG127" s="33">
        <f t="shared" si="2"/>
        <v>0</v>
      </c>
      <c r="BH127" s="27"/>
      <c r="BI127" s="27"/>
      <c r="BJ127" s="27"/>
    </row>
    <row r="128" ht="15.75" customHeight="1" spans="1:62">
      <c r="A128" s="29"/>
      <c r="B128" s="29"/>
      <c r="C128" s="29"/>
      <c r="D128" s="33">
        <v>119</v>
      </c>
      <c r="E128" s="31"/>
      <c r="F128" s="31"/>
      <c r="G128" s="32"/>
      <c r="H128" s="32"/>
      <c r="I128" s="33"/>
      <c r="J128" s="27" t="str">
        <f t="shared" si="0"/>
        <v/>
      </c>
      <c r="K128" s="32"/>
      <c r="L128" s="32"/>
      <c r="M128" s="32"/>
      <c r="N128" s="32"/>
      <c r="O128" s="32"/>
      <c r="P128" s="32"/>
      <c r="Q128" s="34"/>
      <c r="R128" s="88" t="str">
        <f ca="1" t="shared" si="4"/>
        <v/>
      </c>
      <c r="S128" s="27"/>
      <c r="T128" s="27"/>
      <c r="U128" s="27"/>
      <c r="V128" s="35"/>
      <c r="W128" s="30"/>
      <c r="X128" s="33"/>
      <c r="Y128" s="36"/>
      <c r="Z128" s="37"/>
      <c r="AA128" s="27"/>
      <c r="AB128" s="27"/>
      <c r="AC128" s="27"/>
      <c r="AD128" s="27"/>
      <c r="AE128" s="27"/>
      <c r="AF128" s="27"/>
      <c r="AG128" s="90" t="b">
        <v>0</v>
      </c>
      <c r="AH128" s="91" t="b">
        <v>0</v>
      </c>
      <c r="AI128" s="91" t="b">
        <v>0</v>
      </c>
      <c r="AJ128" s="92" t="b">
        <v>0</v>
      </c>
      <c r="AK128" s="90"/>
      <c r="AL128" s="91"/>
      <c r="AM128" s="91"/>
      <c r="AN128" s="92"/>
      <c r="AO128" s="90"/>
      <c r="AP128" s="91"/>
      <c r="AQ128" s="91"/>
      <c r="AR128" s="92"/>
      <c r="AS128" s="90"/>
      <c r="AT128" s="91"/>
      <c r="AU128" s="91"/>
      <c r="AV128" s="92"/>
      <c r="AW128" s="90"/>
      <c r="AX128" s="91"/>
      <c r="AY128" s="93"/>
      <c r="AZ128" s="91"/>
      <c r="BA128" s="92"/>
      <c r="BB128" s="90"/>
      <c r="BC128" s="91"/>
      <c r="BD128" s="93"/>
      <c r="BE128" s="91"/>
      <c r="BF128" s="92"/>
      <c r="BG128" s="33">
        <f t="shared" si="2"/>
        <v>0</v>
      </c>
      <c r="BH128" s="27"/>
      <c r="BI128" s="27"/>
      <c r="BJ128" s="27"/>
    </row>
    <row r="129" ht="15.75" customHeight="1" spans="1:62">
      <c r="A129" s="29"/>
      <c r="B129" s="29"/>
      <c r="C129" s="29"/>
      <c r="D129" s="33">
        <v>120</v>
      </c>
      <c r="E129" s="31"/>
      <c r="F129" s="31"/>
      <c r="G129" s="32"/>
      <c r="H129" s="32"/>
      <c r="I129" s="33"/>
      <c r="J129" s="27" t="str">
        <f t="shared" si="0"/>
        <v/>
      </c>
      <c r="K129" s="32"/>
      <c r="L129" s="32"/>
      <c r="M129" s="32"/>
      <c r="N129" s="32"/>
      <c r="O129" s="32"/>
      <c r="P129" s="32"/>
      <c r="Q129" s="34"/>
      <c r="R129" s="88" t="str">
        <f ca="1" t="shared" si="4"/>
        <v/>
      </c>
      <c r="S129" s="27"/>
      <c r="T129" s="27"/>
      <c r="U129" s="27"/>
      <c r="V129" s="35"/>
      <c r="W129" s="30"/>
      <c r="X129" s="33"/>
      <c r="Y129" s="36"/>
      <c r="Z129" s="37"/>
      <c r="AA129" s="27"/>
      <c r="AB129" s="27"/>
      <c r="AC129" s="27"/>
      <c r="AD129" s="27"/>
      <c r="AE129" s="27"/>
      <c r="AF129" s="27"/>
      <c r="AG129" s="90" t="b">
        <v>0</v>
      </c>
      <c r="AH129" s="91" t="b">
        <v>0</v>
      </c>
      <c r="AI129" s="91" t="b">
        <v>0</v>
      </c>
      <c r="AJ129" s="92" t="b">
        <v>0</v>
      </c>
      <c r="AK129" s="90"/>
      <c r="AL129" s="91"/>
      <c r="AM129" s="91"/>
      <c r="AN129" s="92"/>
      <c r="AO129" s="90"/>
      <c r="AP129" s="91"/>
      <c r="AQ129" s="91"/>
      <c r="AR129" s="92"/>
      <c r="AS129" s="90"/>
      <c r="AT129" s="91"/>
      <c r="AU129" s="91"/>
      <c r="AV129" s="92"/>
      <c r="AW129" s="90"/>
      <c r="AX129" s="91"/>
      <c r="AY129" s="93"/>
      <c r="AZ129" s="91"/>
      <c r="BA129" s="92"/>
      <c r="BB129" s="90"/>
      <c r="BC129" s="91"/>
      <c r="BD129" s="93"/>
      <c r="BE129" s="91"/>
      <c r="BF129" s="92"/>
      <c r="BG129" s="33">
        <f t="shared" si="2"/>
        <v>0</v>
      </c>
      <c r="BH129" s="27"/>
      <c r="BI129" s="27"/>
      <c r="BJ129" s="27"/>
    </row>
    <row r="130" ht="15.75" customHeight="1" spans="1:62">
      <c r="A130" s="29"/>
      <c r="B130" s="29"/>
      <c r="C130" s="29"/>
      <c r="D130" s="33">
        <v>121</v>
      </c>
      <c r="E130" s="31"/>
      <c r="F130" s="31"/>
      <c r="G130" s="32"/>
      <c r="H130" s="32"/>
      <c r="I130" s="33"/>
      <c r="J130" s="27" t="str">
        <f t="shared" si="0"/>
        <v/>
      </c>
      <c r="K130" s="32"/>
      <c r="L130" s="32"/>
      <c r="M130" s="32"/>
      <c r="N130" s="32"/>
      <c r="O130" s="32"/>
      <c r="P130" s="32"/>
      <c r="Q130" s="34"/>
      <c r="R130" s="88" t="str">
        <f ca="1" t="shared" si="4"/>
        <v/>
      </c>
      <c r="S130" s="27"/>
      <c r="T130" s="27"/>
      <c r="U130" s="27"/>
      <c r="V130" s="35"/>
      <c r="W130" s="30"/>
      <c r="X130" s="33"/>
      <c r="Y130" s="36"/>
      <c r="Z130" s="37"/>
      <c r="AA130" s="27"/>
      <c r="AB130" s="27"/>
      <c r="AC130" s="27"/>
      <c r="AD130" s="27"/>
      <c r="AE130" s="27"/>
      <c r="AF130" s="27"/>
      <c r="AG130" s="90" t="b">
        <v>0</v>
      </c>
      <c r="AH130" s="91" t="b">
        <v>0</v>
      </c>
      <c r="AI130" s="91" t="b">
        <v>0</v>
      </c>
      <c r="AJ130" s="92" t="b">
        <v>0</v>
      </c>
      <c r="AK130" s="90"/>
      <c r="AL130" s="91"/>
      <c r="AM130" s="91"/>
      <c r="AN130" s="92"/>
      <c r="AO130" s="90"/>
      <c r="AP130" s="91"/>
      <c r="AQ130" s="91"/>
      <c r="AR130" s="92"/>
      <c r="AS130" s="90"/>
      <c r="AT130" s="91"/>
      <c r="AU130" s="91"/>
      <c r="AV130" s="92"/>
      <c r="AW130" s="90"/>
      <c r="AX130" s="91"/>
      <c r="AY130" s="93"/>
      <c r="AZ130" s="91"/>
      <c r="BA130" s="92"/>
      <c r="BB130" s="90"/>
      <c r="BC130" s="91"/>
      <c r="BD130" s="93"/>
      <c r="BE130" s="91"/>
      <c r="BF130" s="92"/>
      <c r="BG130" s="33">
        <f t="shared" si="2"/>
        <v>0</v>
      </c>
      <c r="BH130" s="27"/>
      <c r="BI130" s="27"/>
      <c r="BJ130" s="27"/>
    </row>
    <row r="131" ht="15.75" customHeight="1" spans="1:62">
      <c r="A131" s="29"/>
      <c r="B131" s="29"/>
      <c r="C131" s="29"/>
      <c r="D131" s="33">
        <v>122</v>
      </c>
      <c r="E131" s="31"/>
      <c r="F131" s="31"/>
      <c r="G131" s="32"/>
      <c r="H131" s="32"/>
      <c r="I131" s="33"/>
      <c r="J131" s="27" t="str">
        <f t="shared" si="0"/>
        <v/>
      </c>
      <c r="K131" s="32"/>
      <c r="L131" s="32"/>
      <c r="M131" s="32"/>
      <c r="N131" s="32"/>
      <c r="O131" s="32"/>
      <c r="P131" s="32"/>
      <c r="Q131" s="34"/>
      <c r="R131" s="88" t="str">
        <f ca="1" t="shared" si="4"/>
        <v/>
      </c>
      <c r="S131" s="27"/>
      <c r="T131" s="27"/>
      <c r="U131" s="27"/>
      <c r="V131" s="35"/>
      <c r="W131" s="30"/>
      <c r="X131" s="33"/>
      <c r="Y131" s="36"/>
      <c r="Z131" s="37"/>
      <c r="AA131" s="27"/>
      <c r="AB131" s="27"/>
      <c r="AC131" s="27"/>
      <c r="AD131" s="27"/>
      <c r="AE131" s="27"/>
      <c r="AF131" s="27"/>
      <c r="AG131" s="90" t="b">
        <v>0</v>
      </c>
      <c r="AH131" s="91" t="b">
        <v>0</v>
      </c>
      <c r="AI131" s="91" t="b">
        <v>0</v>
      </c>
      <c r="AJ131" s="92" t="b">
        <v>0</v>
      </c>
      <c r="AK131" s="90"/>
      <c r="AL131" s="91"/>
      <c r="AM131" s="91"/>
      <c r="AN131" s="92"/>
      <c r="AO131" s="90"/>
      <c r="AP131" s="91"/>
      <c r="AQ131" s="91"/>
      <c r="AR131" s="92"/>
      <c r="AS131" s="90"/>
      <c r="AT131" s="91"/>
      <c r="AU131" s="91"/>
      <c r="AV131" s="92"/>
      <c r="AW131" s="90"/>
      <c r="AX131" s="91"/>
      <c r="AY131" s="93"/>
      <c r="AZ131" s="91"/>
      <c r="BA131" s="92"/>
      <c r="BB131" s="90"/>
      <c r="BC131" s="91"/>
      <c r="BD131" s="93"/>
      <c r="BE131" s="91"/>
      <c r="BF131" s="92"/>
      <c r="BG131" s="33">
        <f t="shared" si="2"/>
        <v>0</v>
      </c>
      <c r="BH131" s="27"/>
      <c r="BI131" s="27"/>
      <c r="BJ131" s="27"/>
    </row>
    <row r="132" ht="15.75" customHeight="1" spans="1:62">
      <c r="A132" s="29"/>
      <c r="B132" s="29"/>
      <c r="C132" s="29"/>
      <c r="D132" s="33">
        <v>123</v>
      </c>
      <c r="E132" s="31"/>
      <c r="F132" s="31"/>
      <c r="G132" s="32"/>
      <c r="H132" s="32"/>
      <c r="I132" s="33"/>
      <c r="J132" s="27" t="str">
        <f t="shared" si="0"/>
        <v/>
      </c>
      <c r="K132" s="32"/>
      <c r="L132" s="32"/>
      <c r="M132" s="32"/>
      <c r="N132" s="32"/>
      <c r="O132" s="32"/>
      <c r="P132" s="32"/>
      <c r="Q132" s="34"/>
      <c r="R132" s="88" t="str">
        <f ca="1" t="shared" si="4"/>
        <v/>
      </c>
      <c r="S132" s="27"/>
      <c r="T132" s="27"/>
      <c r="U132" s="27"/>
      <c r="V132" s="35"/>
      <c r="W132" s="30"/>
      <c r="X132" s="33"/>
      <c r="Y132" s="36"/>
      <c r="Z132" s="37"/>
      <c r="AA132" s="27"/>
      <c r="AB132" s="27"/>
      <c r="AC132" s="27"/>
      <c r="AD132" s="27"/>
      <c r="AE132" s="27"/>
      <c r="AF132" s="27"/>
      <c r="AG132" s="90" t="b">
        <v>0</v>
      </c>
      <c r="AH132" s="91" t="b">
        <v>0</v>
      </c>
      <c r="AI132" s="91" t="b">
        <v>0</v>
      </c>
      <c r="AJ132" s="92" t="b">
        <v>0</v>
      </c>
      <c r="AK132" s="90"/>
      <c r="AL132" s="91"/>
      <c r="AM132" s="91"/>
      <c r="AN132" s="92"/>
      <c r="AO132" s="90"/>
      <c r="AP132" s="91"/>
      <c r="AQ132" s="91"/>
      <c r="AR132" s="92"/>
      <c r="AS132" s="90"/>
      <c r="AT132" s="91"/>
      <c r="AU132" s="91"/>
      <c r="AV132" s="92"/>
      <c r="AW132" s="90"/>
      <c r="AX132" s="91"/>
      <c r="AY132" s="93"/>
      <c r="AZ132" s="91"/>
      <c r="BA132" s="92"/>
      <c r="BB132" s="90"/>
      <c r="BC132" s="91"/>
      <c r="BD132" s="93"/>
      <c r="BE132" s="91"/>
      <c r="BF132" s="92"/>
      <c r="BG132" s="33">
        <f t="shared" si="2"/>
        <v>0</v>
      </c>
      <c r="BH132" s="27"/>
      <c r="BI132" s="27"/>
      <c r="BJ132" s="27"/>
    </row>
    <row r="133" ht="15.75" customHeight="1" spans="1:62">
      <c r="A133" s="29"/>
      <c r="B133" s="29"/>
      <c r="C133" s="29"/>
      <c r="D133" s="33">
        <v>124</v>
      </c>
      <c r="E133" s="31"/>
      <c r="F133" s="31"/>
      <c r="G133" s="32"/>
      <c r="H133" s="32"/>
      <c r="I133" s="33"/>
      <c r="J133" s="27" t="str">
        <f t="shared" si="0"/>
        <v/>
      </c>
      <c r="K133" s="32"/>
      <c r="L133" s="32"/>
      <c r="M133" s="32"/>
      <c r="N133" s="32"/>
      <c r="O133" s="32"/>
      <c r="P133" s="32"/>
      <c r="Q133" s="34"/>
      <c r="R133" s="88" t="str">
        <f ca="1" t="shared" si="4"/>
        <v/>
      </c>
      <c r="S133" s="27"/>
      <c r="T133" s="27"/>
      <c r="U133" s="27"/>
      <c r="V133" s="35"/>
      <c r="W133" s="30"/>
      <c r="X133" s="33"/>
      <c r="Y133" s="36"/>
      <c r="Z133" s="37"/>
      <c r="AA133" s="27"/>
      <c r="AB133" s="27"/>
      <c r="AC133" s="27"/>
      <c r="AD133" s="27"/>
      <c r="AE133" s="27"/>
      <c r="AF133" s="27"/>
      <c r="AG133" s="90" t="b">
        <v>0</v>
      </c>
      <c r="AH133" s="91" t="b">
        <v>0</v>
      </c>
      <c r="AI133" s="91" t="b">
        <v>0</v>
      </c>
      <c r="AJ133" s="92" t="b">
        <v>0</v>
      </c>
      <c r="AK133" s="90"/>
      <c r="AL133" s="91"/>
      <c r="AM133" s="91"/>
      <c r="AN133" s="92"/>
      <c r="AO133" s="90"/>
      <c r="AP133" s="91"/>
      <c r="AQ133" s="91"/>
      <c r="AR133" s="92"/>
      <c r="AS133" s="90"/>
      <c r="AT133" s="91"/>
      <c r="AU133" s="91"/>
      <c r="AV133" s="92"/>
      <c r="AW133" s="90"/>
      <c r="AX133" s="91"/>
      <c r="AY133" s="93"/>
      <c r="AZ133" s="91"/>
      <c r="BA133" s="92"/>
      <c r="BB133" s="90"/>
      <c r="BC133" s="91"/>
      <c r="BD133" s="93"/>
      <c r="BE133" s="91"/>
      <c r="BF133" s="92"/>
      <c r="BG133" s="33">
        <f t="shared" si="2"/>
        <v>0</v>
      </c>
      <c r="BH133" s="27"/>
      <c r="BI133" s="27"/>
      <c r="BJ133" s="27"/>
    </row>
    <row r="134" ht="15.75" customHeight="1" spans="1:62">
      <c r="A134" s="29"/>
      <c r="B134" s="29"/>
      <c r="C134" s="29"/>
      <c r="D134" s="33">
        <v>125</v>
      </c>
      <c r="E134" s="31"/>
      <c r="F134" s="31"/>
      <c r="G134" s="32"/>
      <c r="H134" s="32"/>
      <c r="I134" s="33"/>
      <c r="J134" s="27" t="str">
        <f t="shared" si="0"/>
        <v/>
      </c>
      <c r="K134" s="32"/>
      <c r="L134" s="32"/>
      <c r="M134" s="32"/>
      <c r="N134" s="32"/>
      <c r="O134" s="32"/>
      <c r="P134" s="32"/>
      <c r="Q134" s="34"/>
      <c r="R134" s="88" t="str">
        <f ca="1" t="shared" si="4"/>
        <v/>
      </c>
      <c r="S134" s="27"/>
      <c r="T134" s="27"/>
      <c r="U134" s="27"/>
      <c r="V134" s="35"/>
      <c r="W134" s="30"/>
      <c r="X134" s="33"/>
      <c r="Y134" s="36"/>
      <c r="Z134" s="37"/>
      <c r="AA134" s="27"/>
      <c r="AB134" s="27"/>
      <c r="AC134" s="27"/>
      <c r="AD134" s="27"/>
      <c r="AE134" s="27"/>
      <c r="AF134" s="27"/>
      <c r="AG134" s="90" t="b">
        <v>0</v>
      </c>
      <c r="AH134" s="91" t="b">
        <v>0</v>
      </c>
      <c r="AI134" s="91" t="b">
        <v>0</v>
      </c>
      <c r="AJ134" s="92" t="b">
        <v>0</v>
      </c>
      <c r="AK134" s="90"/>
      <c r="AL134" s="91"/>
      <c r="AM134" s="91"/>
      <c r="AN134" s="92"/>
      <c r="AO134" s="90"/>
      <c r="AP134" s="91"/>
      <c r="AQ134" s="91"/>
      <c r="AR134" s="92"/>
      <c r="AS134" s="90"/>
      <c r="AT134" s="91"/>
      <c r="AU134" s="91"/>
      <c r="AV134" s="92"/>
      <c r="AW134" s="90"/>
      <c r="AX134" s="91"/>
      <c r="AY134" s="93"/>
      <c r="AZ134" s="91"/>
      <c r="BA134" s="92"/>
      <c r="BB134" s="90"/>
      <c r="BC134" s="91"/>
      <c r="BD134" s="93"/>
      <c r="BE134" s="91"/>
      <c r="BF134" s="92"/>
      <c r="BG134" s="33">
        <f t="shared" si="2"/>
        <v>0</v>
      </c>
      <c r="BH134" s="27"/>
      <c r="BI134" s="27"/>
      <c r="BJ134" s="27"/>
    </row>
    <row r="135" ht="15.75" customHeight="1" spans="1:62">
      <c r="A135" s="29"/>
      <c r="B135" s="29"/>
      <c r="C135" s="29"/>
      <c r="D135" s="33">
        <v>126</v>
      </c>
      <c r="E135" s="31"/>
      <c r="F135" s="31"/>
      <c r="G135" s="32"/>
      <c r="H135" s="32"/>
      <c r="I135" s="33"/>
      <c r="J135" s="27" t="str">
        <f t="shared" si="0"/>
        <v/>
      </c>
      <c r="K135" s="32"/>
      <c r="L135" s="32"/>
      <c r="M135" s="32"/>
      <c r="N135" s="32"/>
      <c r="O135" s="32"/>
      <c r="P135" s="32"/>
      <c r="Q135" s="34"/>
      <c r="R135" s="88" t="str">
        <f ca="1" t="shared" si="4"/>
        <v/>
      </c>
      <c r="S135" s="27"/>
      <c r="T135" s="27"/>
      <c r="U135" s="27"/>
      <c r="V135" s="35"/>
      <c r="W135" s="30"/>
      <c r="X135" s="33"/>
      <c r="Y135" s="36"/>
      <c r="Z135" s="37"/>
      <c r="AA135" s="27"/>
      <c r="AB135" s="27"/>
      <c r="AC135" s="27"/>
      <c r="AD135" s="27"/>
      <c r="AE135" s="27"/>
      <c r="AF135" s="27"/>
      <c r="AG135" s="90" t="b">
        <v>0</v>
      </c>
      <c r="AH135" s="91" t="b">
        <v>0</v>
      </c>
      <c r="AI135" s="91" t="b">
        <v>0</v>
      </c>
      <c r="AJ135" s="92" t="b">
        <v>0</v>
      </c>
      <c r="AK135" s="90"/>
      <c r="AL135" s="91"/>
      <c r="AM135" s="91"/>
      <c r="AN135" s="92"/>
      <c r="AO135" s="90"/>
      <c r="AP135" s="91"/>
      <c r="AQ135" s="91"/>
      <c r="AR135" s="92"/>
      <c r="AS135" s="90"/>
      <c r="AT135" s="91"/>
      <c r="AU135" s="91"/>
      <c r="AV135" s="92"/>
      <c r="AW135" s="90"/>
      <c r="AX135" s="91"/>
      <c r="AY135" s="93"/>
      <c r="AZ135" s="91"/>
      <c r="BA135" s="92"/>
      <c r="BB135" s="90"/>
      <c r="BC135" s="91"/>
      <c r="BD135" s="93"/>
      <c r="BE135" s="91"/>
      <c r="BF135" s="92"/>
      <c r="BG135" s="33">
        <f t="shared" si="2"/>
        <v>0</v>
      </c>
      <c r="BH135" s="27"/>
      <c r="BI135" s="27"/>
      <c r="BJ135" s="27"/>
    </row>
    <row r="136" ht="15.75" customHeight="1" spans="1:62">
      <c r="A136" s="29"/>
      <c r="B136" s="29"/>
      <c r="C136" s="29"/>
      <c r="D136" s="33">
        <v>127</v>
      </c>
      <c r="E136" s="31"/>
      <c r="F136" s="31"/>
      <c r="G136" s="32"/>
      <c r="H136" s="32"/>
      <c r="I136" s="33"/>
      <c r="J136" s="27" t="str">
        <f t="shared" si="0"/>
        <v/>
      </c>
      <c r="K136" s="32"/>
      <c r="L136" s="32"/>
      <c r="M136" s="32"/>
      <c r="N136" s="32"/>
      <c r="O136" s="32"/>
      <c r="P136" s="32"/>
      <c r="Q136" s="34"/>
      <c r="R136" s="88" t="str">
        <f ca="1" t="shared" si="4"/>
        <v/>
      </c>
      <c r="S136" s="27"/>
      <c r="T136" s="27"/>
      <c r="U136" s="27"/>
      <c r="V136" s="35"/>
      <c r="W136" s="30"/>
      <c r="X136" s="33"/>
      <c r="Y136" s="36"/>
      <c r="Z136" s="37"/>
      <c r="AA136" s="27"/>
      <c r="AB136" s="27"/>
      <c r="AC136" s="27"/>
      <c r="AD136" s="27"/>
      <c r="AE136" s="27"/>
      <c r="AF136" s="27"/>
      <c r="AG136" s="90" t="b">
        <v>0</v>
      </c>
      <c r="AH136" s="91" t="b">
        <v>0</v>
      </c>
      <c r="AI136" s="91" t="b">
        <v>0</v>
      </c>
      <c r="AJ136" s="92" t="b">
        <v>0</v>
      </c>
      <c r="AK136" s="90"/>
      <c r="AL136" s="91"/>
      <c r="AM136" s="91"/>
      <c r="AN136" s="92"/>
      <c r="AO136" s="90"/>
      <c r="AP136" s="91"/>
      <c r="AQ136" s="91"/>
      <c r="AR136" s="92"/>
      <c r="AS136" s="90"/>
      <c r="AT136" s="91"/>
      <c r="AU136" s="91"/>
      <c r="AV136" s="92"/>
      <c r="AW136" s="90"/>
      <c r="AX136" s="91"/>
      <c r="AY136" s="93"/>
      <c r="AZ136" s="91"/>
      <c r="BA136" s="92"/>
      <c r="BB136" s="90"/>
      <c r="BC136" s="91"/>
      <c r="BD136" s="93"/>
      <c r="BE136" s="91"/>
      <c r="BF136" s="92"/>
      <c r="BG136" s="33">
        <f t="shared" si="2"/>
        <v>0</v>
      </c>
      <c r="BH136" s="27"/>
      <c r="BI136" s="27"/>
      <c r="BJ136" s="27"/>
    </row>
    <row r="137" ht="15.75" customHeight="1" spans="1:62">
      <c r="A137" s="29"/>
      <c r="B137" s="29"/>
      <c r="C137" s="29"/>
      <c r="D137" s="33">
        <v>128</v>
      </c>
      <c r="E137" s="31"/>
      <c r="F137" s="31"/>
      <c r="G137" s="32"/>
      <c r="H137" s="32"/>
      <c r="I137" s="33"/>
      <c r="J137" s="27" t="str">
        <f t="shared" si="0"/>
        <v/>
      </c>
      <c r="K137" s="32"/>
      <c r="L137" s="32"/>
      <c r="M137" s="32"/>
      <c r="N137" s="32"/>
      <c r="O137" s="32"/>
      <c r="P137" s="32"/>
      <c r="Q137" s="34"/>
      <c r="R137" s="88" t="str">
        <f ca="1" t="shared" si="4"/>
        <v/>
      </c>
      <c r="S137" s="27"/>
      <c r="T137" s="27"/>
      <c r="U137" s="27"/>
      <c r="V137" s="35"/>
      <c r="W137" s="30"/>
      <c r="X137" s="33"/>
      <c r="Y137" s="36"/>
      <c r="Z137" s="37"/>
      <c r="AA137" s="27"/>
      <c r="AB137" s="27"/>
      <c r="AC137" s="27"/>
      <c r="AD137" s="27"/>
      <c r="AE137" s="27"/>
      <c r="AF137" s="27"/>
      <c r="AG137" s="90" t="b">
        <v>0</v>
      </c>
      <c r="AH137" s="91" t="b">
        <v>0</v>
      </c>
      <c r="AI137" s="91" t="b">
        <v>0</v>
      </c>
      <c r="AJ137" s="92" t="b">
        <v>0</v>
      </c>
      <c r="AK137" s="90"/>
      <c r="AL137" s="91"/>
      <c r="AM137" s="91"/>
      <c r="AN137" s="92"/>
      <c r="AO137" s="90"/>
      <c r="AP137" s="91"/>
      <c r="AQ137" s="91"/>
      <c r="AR137" s="92"/>
      <c r="AS137" s="90"/>
      <c r="AT137" s="91"/>
      <c r="AU137" s="91"/>
      <c r="AV137" s="92"/>
      <c r="AW137" s="90"/>
      <c r="AX137" s="91"/>
      <c r="AY137" s="93"/>
      <c r="AZ137" s="91"/>
      <c r="BA137" s="92"/>
      <c r="BB137" s="90"/>
      <c r="BC137" s="91"/>
      <c r="BD137" s="93"/>
      <c r="BE137" s="91"/>
      <c r="BF137" s="92"/>
      <c r="BG137" s="33">
        <f t="shared" si="2"/>
        <v>0</v>
      </c>
      <c r="BH137" s="27"/>
      <c r="BI137" s="27"/>
      <c r="BJ137" s="27"/>
    </row>
    <row r="138" ht="15.75" customHeight="1" spans="1:62">
      <c r="A138" s="29"/>
      <c r="B138" s="29"/>
      <c r="C138" s="29"/>
      <c r="D138" s="33">
        <v>129</v>
      </c>
      <c r="E138" s="31"/>
      <c r="F138" s="31"/>
      <c r="G138" s="32"/>
      <c r="H138" s="32"/>
      <c r="I138" s="33"/>
      <c r="J138" s="27" t="str">
        <f t="shared" si="0"/>
        <v/>
      </c>
      <c r="K138" s="32"/>
      <c r="L138" s="32"/>
      <c r="M138" s="32"/>
      <c r="N138" s="32"/>
      <c r="O138" s="32"/>
      <c r="P138" s="32"/>
      <c r="Q138" s="34"/>
      <c r="R138" s="88" t="str">
        <f ca="1" t="shared" si="4"/>
        <v/>
      </c>
      <c r="S138" s="27"/>
      <c r="T138" s="27"/>
      <c r="U138" s="27"/>
      <c r="V138" s="35"/>
      <c r="W138" s="30"/>
      <c r="X138" s="33"/>
      <c r="Y138" s="36"/>
      <c r="Z138" s="37"/>
      <c r="AA138" s="27"/>
      <c r="AB138" s="27"/>
      <c r="AC138" s="27"/>
      <c r="AD138" s="27"/>
      <c r="AE138" s="27"/>
      <c r="AF138" s="27"/>
      <c r="AG138" s="90" t="b">
        <v>0</v>
      </c>
      <c r="AH138" s="91" t="b">
        <v>0</v>
      </c>
      <c r="AI138" s="91" t="b">
        <v>0</v>
      </c>
      <c r="AJ138" s="92" t="b">
        <v>0</v>
      </c>
      <c r="AK138" s="90"/>
      <c r="AL138" s="91"/>
      <c r="AM138" s="91"/>
      <c r="AN138" s="92"/>
      <c r="AO138" s="90"/>
      <c r="AP138" s="91"/>
      <c r="AQ138" s="91"/>
      <c r="AR138" s="92"/>
      <c r="AS138" s="90"/>
      <c r="AT138" s="91"/>
      <c r="AU138" s="91"/>
      <c r="AV138" s="92"/>
      <c r="AW138" s="90"/>
      <c r="AX138" s="91"/>
      <c r="AY138" s="93"/>
      <c r="AZ138" s="91"/>
      <c r="BA138" s="92"/>
      <c r="BB138" s="90"/>
      <c r="BC138" s="91"/>
      <c r="BD138" s="93"/>
      <c r="BE138" s="91"/>
      <c r="BF138" s="92"/>
      <c r="BG138" s="33">
        <f t="shared" si="2"/>
        <v>0</v>
      </c>
      <c r="BH138" s="27"/>
      <c r="BI138" s="27"/>
      <c r="BJ138" s="27"/>
    </row>
    <row r="139" ht="15.75" customHeight="1" spans="1:62">
      <c r="A139" s="29"/>
      <c r="B139" s="29"/>
      <c r="C139" s="29"/>
      <c r="D139" s="33">
        <v>130</v>
      </c>
      <c r="E139" s="31"/>
      <c r="F139" s="31"/>
      <c r="G139" s="32"/>
      <c r="H139" s="32"/>
      <c r="I139" s="33"/>
      <c r="J139" s="27" t="str">
        <f t="shared" si="0"/>
        <v/>
      </c>
      <c r="K139" s="32"/>
      <c r="L139" s="32"/>
      <c r="M139" s="32"/>
      <c r="N139" s="32"/>
      <c r="O139" s="32"/>
      <c r="P139" s="32"/>
      <c r="Q139" s="34"/>
      <c r="R139" s="88" t="str">
        <f ca="1" t="shared" si="4"/>
        <v/>
      </c>
      <c r="S139" s="27"/>
      <c r="T139" s="27"/>
      <c r="U139" s="27"/>
      <c r="V139" s="35"/>
      <c r="W139" s="30"/>
      <c r="X139" s="33"/>
      <c r="Y139" s="36"/>
      <c r="Z139" s="37"/>
      <c r="AA139" s="27"/>
      <c r="AB139" s="27"/>
      <c r="AC139" s="27"/>
      <c r="AD139" s="27"/>
      <c r="AE139" s="27"/>
      <c r="AF139" s="27"/>
      <c r="AG139" s="90" t="b">
        <v>0</v>
      </c>
      <c r="AH139" s="91" t="b">
        <v>0</v>
      </c>
      <c r="AI139" s="91" t="b">
        <v>0</v>
      </c>
      <c r="AJ139" s="92" t="b">
        <v>0</v>
      </c>
      <c r="AK139" s="90"/>
      <c r="AL139" s="91"/>
      <c r="AM139" s="91"/>
      <c r="AN139" s="92"/>
      <c r="AO139" s="90"/>
      <c r="AP139" s="91"/>
      <c r="AQ139" s="91"/>
      <c r="AR139" s="92"/>
      <c r="AS139" s="90"/>
      <c r="AT139" s="91"/>
      <c r="AU139" s="91"/>
      <c r="AV139" s="92"/>
      <c r="AW139" s="90"/>
      <c r="AX139" s="91"/>
      <c r="AY139" s="93"/>
      <c r="AZ139" s="91"/>
      <c r="BA139" s="92"/>
      <c r="BB139" s="90"/>
      <c r="BC139" s="91"/>
      <c r="BD139" s="93"/>
      <c r="BE139" s="91"/>
      <c r="BF139" s="92"/>
      <c r="BG139" s="33">
        <f t="shared" si="2"/>
        <v>0</v>
      </c>
      <c r="BH139" s="27"/>
      <c r="BI139" s="27"/>
      <c r="BJ139" s="27"/>
    </row>
    <row r="140" ht="15.75" customHeight="1" spans="1:62">
      <c r="A140" s="29"/>
      <c r="B140" s="29"/>
      <c r="C140" s="29"/>
      <c r="D140" s="33">
        <v>131</v>
      </c>
      <c r="E140" s="31"/>
      <c r="F140" s="31"/>
      <c r="G140" s="32"/>
      <c r="H140" s="32"/>
      <c r="I140" s="33"/>
      <c r="J140" s="27" t="str">
        <f t="shared" si="0"/>
        <v/>
      </c>
      <c r="K140" s="32"/>
      <c r="L140" s="32"/>
      <c r="M140" s="32"/>
      <c r="N140" s="32"/>
      <c r="O140" s="32"/>
      <c r="P140" s="32"/>
      <c r="Q140" s="34"/>
      <c r="R140" s="88" t="str">
        <f ca="1" t="shared" si="4"/>
        <v/>
      </c>
      <c r="S140" s="27"/>
      <c r="T140" s="27"/>
      <c r="U140" s="27"/>
      <c r="V140" s="35"/>
      <c r="W140" s="30"/>
      <c r="X140" s="33"/>
      <c r="Y140" s="36"/>
      <c r="Z140" s="37"/>
      <c r="AA140" s="27"/>
      <c r="AB140" s="27"/>
      <c r="AC140" s="27"/>
      <c r="AD140" s="27"/>
      <c r="AE140" s="27"/>
      <c r="AF140" s="27"/>
      <c r="AG140" s="90" t="b">
        <v>0</v>
      </c>
      <c r="AH140" s="91" t="b">
        <v>0</v>
      </c>
      <c r="AI140" s="91" t="b">
        <v>0</v>
      </c>
      <c r="AJ140" s="92" t="b">
        <v>0</v>
      </c>
      <c r="AK140" s="90"/>
      <c r="AL140" s="91"/>
      <c r="AM140" s="91"/>
      <c r="AN140" s="92"/>
      <c r="AO140" s="90"/>
      <c r="AP140" s="91"/>
      <c r="AQ140" s="91"/>
      <c r="AR140" s="92"/>
      <c r="AS140" s="90"/>
      <c r="AT140" s="91"/>
      <c r="AU140" s="91"/>
      <c r="AV140" s="92"/>
      <c r="AW140" s="90"/>
      <c r="AX140" s="91"/>
      <c r="AY140" s="93"/>
      <c r="AZ140" s="91"/>
      <c r="BA140" s="92"/>
      <c r="BB140" s="90"/>
      <c r="BC140" s="91"/>
      <c r="BD140" s="93"/>
      <c r="BE140" s="91"/>
      <c r="BF140" s="92"/>
      <c r="BG140" s="33">
        <f t="shared" si="2"/>
        <v>0</v>
      </c>
      <c r="BH140" s="27"/>
      <c r="BI140" s="27"/>
      <c r="BJ140" s="27"/>
    </row>
    <row r="141" ht="15.75" customHeight="1" spans="1:62">
      <c r="A141" s="29"/>
      <c r="B141" s="29"/>
      <c r="C141" s="29"/>
      <c r="D141" s="33">
        <v>132</v>
      </c>
      <c r="E141" s="31"/>
      <c r="F141" s="31"/>
      <c r="G141" s="32"/>
      <c r="H141" s="32"/>
      <c r="I141" s="33"/>
      <c r="J141" s="27" t="str">
        <f t="shared" si="0"/>
        <v/>
      </c>
      <c r="K141" s="32"/>
      <c r="L141" s="32"/>
      <c r="M141" s="32"/>
      <c r="N141" s="32"/>
      <c r="O141" s="32"/>
      <c r="P141" s="32"/>
      <c r="Q141" s="34"/>
      <c r="R141" s="88" t="str">
        <f ca="1" t="shared" si="4"/>
        <v/>
      </c>
      <c r="S141" s="27"/>
      <c r="T141" s="27"/>
      <c r="U141" s="27"/>
      <c r="V141" s="35"/>
      <c r="W141" s="30"/>
      <c r="X141" s="33"/>
      <c r="Y141" s="36"/>
      <c r="Z141" s="37"/>
      <c r="AA141" s="27"/>
      <c r="AB141" s="27"/>
      <c r="AC141" s="27"/>
      <c r="AD141" s="27"/>
      <c r="AE141" s="27"/>
      <c r="AF141" s="27"/>
      <c r="AG141" s="90" t="b">
        <v>0</v>
      </c>
      <c r="AH141" s="91" t="b">
        <v>0</v>
      </c>
      <c r="AI141" s="91" t="b">
        <v>0</v>
      </c>
      <c r="AJ141" s="92" t="b">
        <v>0</v>
      </c>
      <c r="AK141" s="90"/>
      <c r="AL141" s="91"/>
      <c r="AM141" s="91"/>
      <c r="AN141" s="92"/>
      <c r="AO141" s="90"/>
      <c r="AP141" s="91"/>
      <c r="AQ141" s="91"/>
      <c r="AR141" s="92"/>
      <c r="AS141" s="90"/>
      <c r="AT141" s="91"/>
      <c r="AU141" s="91"/>
      <c r="AV141" s="92"/>
      <c r="AW141" s="90"/>
      <c r="AX141" s="91"/>
      <c r="AY141" s="93"/>
      <c r="AZ141" s="91"/>
      <c r="BA141" s="92"/>
      <c r="BB141" s="90"/>
      <c r="BC141" s="91"/>
      <c r="BD141" s="93"/>
      <c r="BE141" s="91"/>
      <c r="BF141" s="92"/>
      <c r="BG141" s="33">
        <f t="shared" si="2"/>
        <v>0</v>
      </c>
      <c r="BH141" s="27"/>
      <c r="BI141" s="27"/>
      <c r="BJ141" s="27"/>
    </row>
    <row r="142" ht="15.75" customHeight="1" spans="1:62">
      <c r="A142" s="29"/>
      <c r="B142" s="29"/>
      <c r="C142" s="29"/>
      <c r="D142" s="33">
        <v>133</v>
      </c>
      <c r="E142" s="31"/>
      <c r="F142" s="31"/>
      <c r="G142" s="32"/>
      <c r="H142" s="32"/>
      <c r="I142" s="33"/>
      <c r="J142" s="27" t="str">
        <f t="shared" si="0"/>
        <v/>
      </c>
      <c r="K142" s="32"/>
      <c r="L142" s="32"/>
      <c r="M142" s="32"/>
      <c r="N142" s="32"/>
      <c r="O142" s="32"/>
      <c r="P142" s="32"/>
      <c r="Q142" s="34"/>
      <c r="R142" s="88" t="str">
        <f ca="1" t="shared" si="4"/>
        <v/>
      </c>
      <c r="S142" s="27"/>
      <c r="T142" s="27"/>
      <c r="U142" s="27"/>
      <c r="V142" s="35"/>
      <c r="W142" s="30"/>
      <c r="X142" s="33"/>
      <c r="Y142" s="36"/>
      <c r="Z142" s="37"/>
      <c r="AA142" s="27"/>
      <c r="AB142" s="27"/>
      <c r="AC142" s="27"/>
      <c r="AD142" s="27"/>
      <c r="AE142" s="27"/>
      <c r="AF142" s="27"/>
      <c r="AG142" s="90" t="b">
        <v>0</v>
      </c>
      <c r="AH142" s="91" t="b">
        <v>0</v>
      </c>
      <c r="AI142" s="91" t="b">
        <v>0</v>
      </c>
      <c r="AJ142" s="92" t="b">
        <v>0</v>
      </c>
      <c r="AK142" s="90"/>
      <c r="AL142" s="91"/>
      <c r="AM142" s="91"/>
      <c r="AN142" s="92"/>
      <c r="AO142" s="90"/>
      <c r="AP142" s="91"/>
      <c r="AQ142" s="91"/>
      <c r="AR142" s="92"/>
      <c r="AS142" s="90"/>
      <c r="AT142" s="91"/>
      <c r="AU142" s="91"/>
      <c r="AV142" s="92"/>
      <c r="AW142" s="90"/>
      <c r="AX142" s="91"/>
      <c r="AY142" s="93"/>
      <c r="AZ142" s="91"/>
      <c r="BA142" s="92"/>
      <c r="BB142" s="90"/>
      <c r="BC142" s="91"/>
      <c r="BD142" s="93"/>
      <c r="BE142" s="91"/>
      <c r="BF142" s="92"/>
      <c r="BG142" s="33">
        <f t="shared" si="2"/>
        <v>0</v>
      </c>
      <c r="BH142" s="27"/>
      <c r="BI142" s="27"/>
      <c r="BJ142" s="27"/>
    </row>
    <row r="143" ht="15.75" customHeight="1" spans="1:62">
      <c r="A143" s="29"/>
      <c r="B143" s="29"/>
      <c r="C143" s="29"/>
      <c r="D143" s="33">
        <v>134</v>
      </c>
      <c r="E143" s="31"/>
      <c r="F143" s="31"/>
      <c r="G143" s="32"/>
      <c r="H143" s="32"/>
      <c r="I143" s="33"/>
      <c r="J143" s="27" t="str">
        <f t="shared" si="0"/>
        <v/>
      </c>
      <c r="K143" s="32"/>
      <c r="L143" s="32"/>
      <c r="M143" s="32"/>
      <c r="N143" s="32"/>
      <c r="O143" s="32"/>
      <c r="P143" s="32"/>
      <c r="Q143" s="34"/>
      <c r="R143" s="88" t="str">
        <f ca="1" t="shared" si="4"/>
        <v/>
      </c>
      <c r="S143" s="27"/>
      <c r="T143" s="27"/>
      <c r="U143" s="27"/>
      <c r="V143" s="35"/>
      <c r="W143" s="30"/>
      <c r="X143" s="33"/>
      <c r="Y143" s="36"/>
      <c r="Z143" s="37"/>
      <c r="AA143" s="27"/>
      <c r="AB143" s="27"/>
      <c r="AC143" s="27"/>
      <c r="AD143" s="27"/>
      <c r="AE143" s="27"/>
      <c r="AF143" s="27"/>
      <c r="AG143" s="90" t="b">
        <v>0</v>
      </c>
      <c r="AH143" s="91" t="b">
        <v>0</v>
      </c>
      <c r="AI143" s="91" t="b">
        <v>0</v>
      </c>
      <c r="AJ143" s="92" t="b">
        <v>0</v>
      </c>
      <c r="AK143" s="90"/>
      <c r="AL143" s="91"/>
      <c r="AM143" s="91"/>
      <c r="AN143" s="92"/>
      <c r="AO143" s="90"/>
      <c r="AP143" s="91"/>
      <c r="AQ143" s="91"/>
      <c r="AR143" s="92"/>
      <c r="AS143" s="90"/>
      <c r="AT143" s="91"/>
      <c r="AU143" s="91"/>
      <c r="AV143" s="92"/>
      <c r="AW143" s="90"/>
      <c r="AX143" s="91"/>
      <c r="AY143" s="93"/>
      <c r="AZ143" s="91"/>
      <c r="BA143" s="92"/>
      <c r="BB143" s="90"/>
      <c r="BC143" s="91"/>
      <c r="BD143" s="93"/>
      <c r="BE143" s="91"/>
      <c r="BF143" s="92"/>
      <c r="BG143" s="33">
        <f t="shared" si="2"/>
        <v>0</v>
      </c>
      <c r="BH143" s="27"/>
      <c r="BI143" s="27"/>
      <c r="BJ143" s="27"/>
    </row>
    <row r="144" ht="15.75" customHeight="1" spans="1:62">
      <c r="A144" s="29"/>
      <c r="B144" s="29"/>
      <c r="C144" s="29"/>
      <c r="D144" s="33">
        <v>135</v>
      </c>
      <c r="E144" s="31"/>
      <c r="F144" s="31"/>
      <c r="G144" s="32"/>
      <c r="H144" s="32"/>
      <c r="I144" s="33"/>
      <c r="J144" s="27" t="str">
        <f t="shared" si="0"/>
        <v/>
      </c>
      <c r="K144" s="32"/>
      <c r="L144" s="32"/>
      <c r="M144" s="32"/>
      <c r="N144" s="32"/>
      <c r="O144" s="32"/>
      <c r="P144" s="32"/>
      <c r="Q144" s="34"/>
      <c r="R144" s="88" t="str">
        <f ca="1" t="shared" si="4"/>
        <v/>
      </c>
      <c r="S144" s="27"/>
      <c r="T144" s="27"/>
      <c r="U144" s="27"/>
      <c r="V144" s="35"/>
      <c r="W144" s="30"/>
      <c r="X144" s="33"/>
      <c r="Y144" s="36"/>
      <c r="Z144" s="37"/>
      <c r="AA144" s="27"/>
      <c r="AB144" s="27"/>
      <c r="AC144" s="27"/>
      <c r="AD144" s="27"/>
      <c r="AE144" s="27"/>
      <c r="AF144" s="27"/>
      <c r="AG144" s="90" t="b">
        <v>0</v>
      </c>
      <c r="AH144" s="91" t="b">
        <v>0</v>
      </c>
      <c r="AI144" s="91" t="b">
        <v>0</v>
      </c>
      <c r="AJ144" s="92" t="b">
        <v>0</v>
      </c>
      <c r="AK144" s="90"/>
      <c r="AL144" s="91"/>
      <c r="AM144" s="91"/>
      <c r="AN144" s="92"/>
      <c r="AO144" s="90"/>
      <c r="AP144" s="91"/>
      <c r="AQ144" s="91"/>
      <c r="AR144" s="92"/>
      <c r="AS144" s="90"/>
      <c r="AT144" s="91"/>
      <c r="AU144" s="91"/>
      <c r="AV144" s="92"/>
      <c r="AW144" s="90"/>
      <c r="AX144" s="91"/>
      <c r="AY144" s="93"/>
      <c r="AZ144" s="91"/>
      <c r="BA144" s="92"/>
      <c r="BB144" s="90"/>
      <c r="BC144" s="91"/>
      <c r="BD144" s="93"/>
      <c r="BE144" s="91"/>
      <c r="BF144" s="92"/>
      <c r="BG144" s="33">
        <f t="shared" si="2"/>
        <v>0</v>
      </c>
      <c r="BH144" s="27"/>
      <c r="BI144" s="27"/>
      <c r="BJ144" s="27"/>
    </row>
    <row r="145" ht="15.75" customHeight="1" spans="1:62">
      <c r="A145" s="29"/>
      <c r="B145" s="29"/>
      <c r="C145" s="29"/>
      <c r="D145" s="33">
        <v>136</v>
      </c>
      <c r="E145" s="31"/>
      <c r="F145" s="31"/>
      <c r="G145" s="32"/>
      <c r="H145" s="32"/>
      <c r="I145" s="33"/>
      <c r="J145" s="27" t="str">
        <f t="shared" si="0"/>
        <v/>
      </c>
      <c r="K145" s="32"/>
      <c r="L145" s="32"/>
      <c r="M145" s="32"/>
      <c r="N145" s="32"/>
      <c r="O145" s="32"/>
      <c r="P145" s="32"/>
      <c r="Q145" s="34"/>
      <c r="R145" s="88" t="str">
        <f ca="1" t="shared" si="4"/>
        <v/>
      </c>
      <c r="S145" s="27"/>
      <c r="T145" s="27"/>
      <c r="U145" s="27"/>
      <c r="V145" s="35"/>
      <c r="W145" s="30"/>
      <c r="X145" s="33"/>
      <c r="Y145" s="36"/>
      <c r="Z145" s="37"/>
      <c r="AA145" s="27"/>
      <c r="AB145" s="27"/>
      <c r="AC145" s="27"/>
      <c r="AD145" s="27"/>
      <c r="AE145" s="27"/>
      <c r="AF145" s="27"/>
      <c r="AG145" s="90" t="b">
        <v>0</v>
      </c>
      <c r="AH145" s="91" t="b">
        <v>0</v>
      </c>
      <c r="AI145" s="91" t="b">
        <v>0</v>
      </c>
      <c r="AJ145" s="92" t="b">
        <v>0</v>
      </c>
      <c r="AK145" s="90"/>
      <c r="AL145" s="91"/>
      <c r="AM145" s="91"/>
      <c r="AN145" s="92"/>
      <c r="AO145" s="90"/>
      <c r="AP145" s="91"/>
      <c r="AQ145" s="91"/>
      <c r="AR145" s="92"/>
      <c r="AS145" s="90"/>
      <c r="AT145" s="91"/>
      <c r="AU145" s="91"/>
      <c r="AV145" s="92"/>
      <c r="AW145" s="90"/>
      <c r="AX145" s="91"/>
      <c r="AY145" s="93"/>
      <c r="AZ145" s="91"/>
      <c r="BA145" s="92"/>
      <c r="BB145" s="90"/>
      <c r="BC145" s="91"/>
      <c r="BD145" s="93"/>
      <c r="BE145" s="91"/>
      <c r="BF145" s="92"/>
      <c r="BG145" s="33">
        <f t="shared" si="2"/>
        <v>0</v>
      </c>
      <c r="BH145" s="27"/>
      <c r="BI145" s="27"/>
      <c r="BJ145" s="27"/>
    </row>
    <row r="146" ht="15.75" customHeight="1" spans="1:62">
      <c r="A146" s="29"/>
      <c r="B146" s="29"/>
      <c r="C146" s="29"/>
      <c r="D146" s="33">
        <v>137</v>
      </c>
      <c r="E146" s="31"/>
      <c r="F146" s="31"/>
      <c r="G146" s="32"/>
      <c r="H146" s="32"/>
      <c r="I146" s="33"/>
      <c r="J146" s="27" t="str">
        <f t="shared" si="0"/>
        <v/>
      </c>
      <c r="K146" s="32"/>
      <c r="L146" s="32"/>
      <c r="M146" s="32"/>
      <c r="N146" s="32"/>
      <c r="O146" s="32"/>
      <c r="P146" s="32"/>
      <c r="Q146" s="34"/>
      <c r="R146" s="88" t="str">
        <f ca="1" t="shared" si="4"/>
        <v/>
      </c>
      <c r="S146" s="27"/>
      <c r="T146" s="27"/>
      <c r="U146" s="27"/>
      <c r="V146" s="35"/>
      <c r="W146" s="30"/>
      <c r="X146" s="33"/>
      <c r="Y146" s="36"/>
      <c r="Z146" s="37"/>
      <c r="AA146" s="27"/>
      <c r="AB146" s="27"/>
      <c r="AC146" s="27"/>
      <c r="AD146" s="27"/>
      <c r="AE146" s="27"/>
      <c r="AF146" s="27"/>
      <c r="AG146" s="90" t="b">
        <v>0</v>
      </c>
      <c r="AH146" s="91" t="b">
        <v>0</v>
      </c>
      <c r="AI146" s="91" t="b">
        <v>0</v>
      </c>
      <c r="AJ146" s="92" t="b">
        <v>0</v>
      </c>
      <c r="AK146" s="90"/>
      <c r="AL146" s="91"/>
      <c r="AM146" s="91"/>
      <c r="AN146" s="92"/>
      <c r="AO146" s="90"/>
      <c r="AP146" s="91"/>
      <c r="AQ146" s="91"/>
      <c r="AR146" s="92"/>
      <c r="AS146" s="90"/>
      <c r="AT146" s="91"/>
      <c r="AU146" s="91"/>
      <c r="AV146" s="92"/>
      <c r="AW146" s="90"/>
      <c r="AX146" s="91"/>
      <c r="AY146" s="93"/>
      <c r="AZ146" s="91"/>
      <c r="BA146" s="92"/>
      <c r="BB146" s="90"/>
      <c r="BC146" s="91"/>
      <c r="BD146" s="93"/>
      <c r="BE146" s="91"/>
      <c r="BF146" s="92"/>
      <c r="BG146" s="33">
        <f t="shared" si="2"/>
        <v>0</v>
      </c>
      <c r="BH146" s="27"/>
      <c r="BI146" s="27"/>
      <c r="BJ146" s="27"/>
    </row>
    <row r="147" ht="15.75" customHeight="1" spans="1:62">
      <c r="A147" s="29"/>
      <c r="B147" s="29"/>
      <c r="C147" s="29"/>
      <c r="D147" s="33">
        <v>138</v>
      </c>
      <c r="E147" s="31"/>
      <c r="F147" s="31"/>
      <c r="G147" s="32"/>
      <c r="H147" s="32"/>
      <c r="I147" s="33"/>
      <c r="J147" s="27" t="str">
        <f t="shared" si="0"/>
        <v/>
      </c>
      <c r="K147" s="32"/>
      <c r="L147" s="32"/>
      <c r="M147" s="32"/>
      <c r="N147" s="32"/>
      <c r="O147" s="32"/>
      <c r="P147" s="32"/>
      <c r="Q147" s="34"/>
      <c r="R147" s="88" t="str">
        <f ca="1" t="shared" si="4"/>
        <v/>
      </c>
      <c r="S147" s="27"/>
      <c r="T147" s="27"/>
      <c r="U147" s="27"/>
      <c r="V147" s="35"/>
      <c r="W147" s="30"/>
      <c r="X147" s="33"/>
      <c r="Y147" s="36"/>
      <c r="Z147" s="37"/>
      <c r="AA147" s="27"/>
      <c r="AB147" s="27"/>
      <c r="AC147" s="27"/>
      <c r="AD147" s="27"/>
      <c r="AE147" s="27"/>
      <c r="AF147" s="27"/>
      <c r="AG147" s="90" t="b">
        <v>0</v>
      </c>
      <c r="AH147" s="91" t="b">
        <v>0</v>
      </c>
      <c r="AI147" s="91" t="b">
        <v>0</v>
      </c>
      <c r="AJ147" s="92" t="b">
        <v>0</v>
      </c>
      <c r="AK147" s="90"/>
      <c r="AL147" s="91"/>
      <c r="AM147" s="91"/>
      <c r="AN147" s="92"/>
      <c r="AO147" s="90"/>
      <c r="AP147" s="91"/>
      <c r="AQ147" s="91"/>
      <c r="AR147" s="92"/>
      <c r="AS147" s="90"/>
      <c r="AT147" s="91"/>
      <c r="AU147" s="91"/>
      <c r="AV147" s="92"/>
      <c r="AW147" s="90"/>
      <c r="AX147" s="91"/>
      <c r="AY147" s="93"/>
      <c r="AZ147" s="91"/>
      <c r="BA147" s="92"/>
      <c r="BB147" s="90"/>
      <c r="BC147" s="91"/>
      <c r="BD147" s="93"/>
      <c r="BE147" s="91"/>
      <c r="BF147" s="92"/>
      <c r="BG147" s="33">
        <f t="shared" si="2"/>
        <v>0</v>
      </c>
      <c r="BH147" s="27"/>
      <c r="BI147" s="27"/>
      <c r="BJ147" s="27"/>
    </row>
    <row r="148" ht="15.75" customHeight="1" spans="1:62">
      <c r="A148" s="29"/>
      <c r="B148" s="29"/>
      <c r="C148" s="29"/>
      <c r="D148" s="33">
        <v>139</v>
      </c>
      <c r="E148" s="31"/>
      <c r="F148" s="31"/>
      <c r="G148" s="32"/>
      <c r="H148" s="32"/>
      <c r="I148" s="33"/>
      <c r="J148" s="27" t="str">
        <f t="shared" si="0"/>
        <v/>
      </c>
      <c r="K148" s="32"/>
      <c r="L148" s="32"/>
      <c r="M148" s="32"/>
      <c r="N148" s="32"/>
      <c r="O148" s="32"/>
      <c r="P148" s="32"/>
      <c r="Q148" s="34"/>
      <c r="R148" s="88" t="str">
        <f ca="1" t="shared" si="4"/>
        <v/>
      </c>
      <c r="S148" s="27"/>
      <c r="T148" s="27"/>
      <c r="U148" s="27"/>
      <c r="V148" s="35"/>
      <c r="W148" s="30"/>
      <c r="X148" s="33"/>
      <c r="Y148" s="36"/>
      <c r="Z148" s="37"/>
      <c r="AA148" s="27"/>
      <c r="AB148" s="27"/>
      <c r="AC148" s="27"/>
      <c r="AD148" s="27"/>
      <c r="AE148" s="27"/>
      <c r="AF148" s="27"/>
      <c r="AG148" s="90" t="b">
        <v>0</v>
      </c>
      <c r="AH148" s="91" t="b">
        <v>0</v>
      </c>
      <c r="AI148" s="91" t="b">
        <v>0</v>
      </c>
      <c r="AJ148" s="92" t="b">
        <v>0</v>
      </c>
      <c r="AK148" s="90"/>
      <c r="AL148" s="91"/>
      <c r="AM148" s="91"/>
      <c r="AN148" s="92"/>
      <c r="AO148" s="90"/>
      <c r="AP148" s="91"/>
      <c r="AQ148" s="91"/>
      <c r="AR148" s="92"/>
      <c r="AS148" s="90"/>
      <c r="AT148" s="91"/>
      <c r="AU148" s="91"/>
      <c r="AV148" s="92"/>
      <c r="AW148" s="90"/>
      <c r="AX148" s="91"/>
      <c r="AY148" s="93"/>
      <c r="AZ148" s="91"/>
      <c r="BA148" s="92"/>
      <c r="BB148" s="90"/>
      <c r="BC148" s="91"/>
      <c r="BD148" s="93"/>
      <c r="BE148" s="91"/>
      <c r="BF148" s="92"/>
      <c r="BG148" s="33">
        <f t="shared" si="2"/>
        <v>0</v>
      </c>
      <c r="BH148" s="27"/>
      <c r="BI148" s="27"/>
      <c r="BJ148" s="27"/>
    </row>
    <row r="149" ht="15.75" customHeight="1" spans="1:62">
      <c r="A149" s="29"/>
      <c r="B149" s="29"/>
      <c r="C149" s="29"/>
      <c r="D149" s="33">
        <v>140</v>
      </c>
      <c r="E149" s="31"/>
      <c r="F149" s="31"/>
      <c r="G149" s="32"/>
      <c r="H149" s="32"/>
      <c r="I149" s="33"/>
      <c r="J149" s="27" t="str">
        <f t="shared" si="0"/>
        <v/>
      </c>
      <c r="K149" s="32"/>
      <c r="L149" s="32"/>
      <c r="M149" s="32"/>
      <c r="N149" s="32"/>
      <c r="O149" s="32"/>
      <c r="P149" s="32"/>
      <c r="Q149" s="34"/>
      <c r="R149" s="88" t="str">
        <f ca="1" t="shared" si="4"/>
        <v/>
      </c>
      <c r="S149" s="27"/>
      <c r="T149" s="27"/>
      <c r="U149" s="27"/>
      <c r="V149" s="35"/>
      <c r="W149" s="30"/>
      <c r="X149" s="33"/>
      <c r="Y149" s="36"/>
      <c r="Z149" s="37"/>
      <c r="AA149" s="27"/>
      <c r="AB149" s="27"/>
      <c r="AC149" s="27"/>
      <c r="AD149" s="27"/>
      <c r="AE149" s="27"/>
      <c r="AF149" s="27"/>
      <c r="AG149" s="90" t="b">
        <v>0</v>
      </c>
      <c r="AH149" s="91" t="b">
        <v>0</v>
      </c>
      <c r="AI149" s="91" t="b">
        <v>0</v>
      </c>
      <c r="AJ149" s="92" t="b">
        <v>0</v>
      </c>
      <c r="AK149" s="90"/>
      <c r="AL149" s="91"/>
      <c r="AM149" s="91"/>
      <c r="AN149" s="92"/>
      <c r="AO149" s="90"/>
      <c r="AP149" s="91"/>
      <c r="AQ149" s="91"/>
      <c r="AR149" s="92"/>
      <c r="AS149" s="90"/>
      <c r="AT149" s="91"/>
      <c r="AU149" s="91"/>
      <c r="AV149" s="92"/>
      <c r="AW149" s="90"/>
      <c r="AX149" s="91"/>
      <c r="AY149" s="93"/>
      <c r="AZ149" s="91"/>
      <c r="BA149" s="92"/>
      <c r="BB149" s="90"/>
      <c r="BC149" s="91"/>
      <c r="BD149" s="93"/>
      <c r="BE149" s="91"/>
      <c r="BF149" s="92"/>
      <c r="BG149" s="33">
        <f t="shared" si="2"/>
        <v>0</v>
      </c>
      <c r="BH149" s="27"/>
      <c r="BI149" s="27"/>
      <c r="BJ149" s="27"/>
    </row>
    <row r="150" ht="15.75" customHeight="1" spans="1:62">
      <c r="A150" s="29"/>
      <c r="B150" s="29"/>
      <c r="C150" s="29"/>
      <c r="D150" s="33">
        <v>141</v>
      </c>
      <c r="E150" s="31"/>
      <c r="F150" s="31"/>
      <c r="G150" s="32"/>
      <c r="H150" s="32"/>
      <c r="I150" s="33"/>
      <c r="J150" s="27" t="str">
        <f t="shared" si="0"/>
        <v/>
      </c>
      <c r="K150" s="32"/>
      <c r="L150" s="32"/>
      <c r="M150" s="32"/>
      <c r="N150" s="32"/>
      <c r="O150" s="32"/>
      <c r="P150" s="32"/>
      <c r="Q150" s="34"/>
      <c r="R150" s="88" t="str">
        <f ca="1" t="shared" si="4"/>
        <v/>
      </c>
      <c r="S150" s="27"/>
      <c r="T150" s="27"/>
      <c r="U150" s="27"/>
      <c r="V150" s="35"/>
      <c r="W150" s="30"/>
      <c r="X150" s="33"/>
      <c r="Y150" s="36"/>
      <c r="Z150" s="37"/>
      <c r="AA150" s="27"/>
      <c r="AB150" s="27"/>
      <c r="AC150" s="27"/>
      <c r="AD150" s="27"/>
      <c r="AE150" s="27"/>
      <c r="AF150" s="27"/>
      <c r="AG150" s="90" t="b">
        <v>0</v>
      </c>
      <c r="AH150" s="91" t="b">
        <v>0</v>
      </c>
      <c r="AI150" s="91" t="b">
        <v>0</v>
      </c>
      <c r="AJ150" s="92" t="b">
        <v>0</v>
      </c>
      <c r="AK150" s="90"/>
      <c r="AL150" s="91"/>
      <c r="AM150" s="91"/>
      <c r="AN150" s="92"/>
      <c r="AO150" s="90"/>
      <c r="AP150" s="91"/>
      <c r="AQ150" s="91"/>
      <c r="AR150" s="92"/>
      <c r="AS150" s="90"/>
      <c r="AT150" s="91"/>
      <c r="AU150" s="91"/>
      <c r="AV150" s="92"/>
      <c r="AW150" s="90"/>
      <c r="AX150" s="91"/>
      <c r="AY150" s="93"/>
      <c r="AZ150" s="91"/>
      <c r="BA150" s="92"/>
      <c r="BB150" s="90"/>
      <c r="BC150" s="91"/>
      <c r="BD150" s="93"/>
      <c r="BE150" s="91"/>
      <c r="BF150" s="92"/>
      <c r="BG150" s="33">
        <f t="shared" si="2"/>
        <v>0</v>
      </c>
      <c r="BH150" s="27"/>
      <c r="BI150" s="27"/>
      <c r="BJ150" s="27"/>
    </row>
    <row r="151" ht="15.75" customHeight="1" spans="1:62">
      <c r="A151" s="29"/>
      <c r="B151" s="29"/>
      <c r="C151" s="29"/>
      <c r="D151" s="33">
        <v>142</v>
      </c>
      <c r="E151" s="31"/>
      <c r="F151" s="31"/>
      <c r="G151" s="32"/>
      <c r="H151" s="32"/>
      <c r="I151" s="33"/>
      <c r="J151" s="27" t="str">
        <f t="shared" si="0"/>
        <v/>
      </c>
      <c r="K151" s="32"/>
      <c r="L151" s="32"/>
      <c r="M151" s="32"/>
      <c r="N151" s="32"/>
      <c r="O151" s="32"/>
      <c r="P151" s="32"/>
      <c r="Q151" s="34"/>
      <c r="R151" s="88" t="str">
        <f ca="1" t="shared" si="4"/>
        <v/>
      </c>
      <c r="S151" s="27"/>
      <c r="T151" s="27"/>
      <c r="U151" s="27"/>
      <c r="V151" s="35"/>
      <c r="W151" s="30"/>
      <c r="X151" s="33"/>
      <c r="Y151" s="36"/>
      <c r="Z151" s="37"/>
      <c r="AA151" s="27"/>
      <c r="AB151" s="27"/>
      <c r="AC151" s="27"/>
      <c r="AD151" s="27"/>
      <c r="AE151" s="27"/>
      <c r="AF151" s="27"/>
      <c r="AG151" s="90" t="b">
        <v>0</v>
      </c>
      <c r="AH151" s="91" t="b">
        <v>0</v>
      </c>
      <c r="AI151" s="91" t="b">
        <v>0</v>
      </c>
      <c r="AJ151" s="92" t="b">
        <v>0</v>
      </c>
      <c r="AK151" s="90"/>
      <c r="AL151" s="91"/>
      <c r="AM151" s="91"/>
      <c r="AN151" s="92"/>
      <c r="AO151" s="90"/>
      <c r="AP151" s="91"/>
      <c r="AQ151" s="91"/>
      <c r="AR151" s="92"/>
      <c r="AS151" s="90"/>
      <c r="AT151" s="91"/>
      <c r="AU151" s="91"/>
      <c r="AV151" s="92"/>
      <c r="AW151" s="90"/>
      <c r="AX151" s="91"/>
      <c r="AY151" s="93"/>
      <c r="AZ151" s="91"/>
      <c r="BA151" s="92"/>
      <c r="BB151" s="90"/>
      <c r="BC151" s="91"/>
      <c r="BD151" s="93"/>
      <c r="BE151" s="91"/>
      <c r="BF151" s="92"/>
      <c r="BG151" s="33">
        <f t="shared" si="2"/>
        <v>0</v>
      </c>
      <c r="BH151" s="27"/>
      <c r="BI151" s="27"/>
      <c r="BJ151" s="27"/>
    </row>
    <row r="152" ht="15.75" customHeight="1" spans="1:62">
      <c r="A152" s="29"/>
      <c r="B152" s="29"/>
      <c r="C152" s="29"/>
      <c r="D152" s="33">
        <v>143</v>
      </c>
      <c r="E152" s="31"/>
      <c r="F152" s="31"/>
      <c r="G152" s="32"/>
      <c r="H152" s="32"/>
      <c r="I152" s="33"/>
      <c r="J152" s="27" t="str">
        <f t="shared" si="0"/>
        <v/>
      </c>
      <c r="K152" s="32"/>
      <c r="L152" s="32"/>
      <c r="M152" s="32"/>
      <c r="N152" s="32"/>
      <c r="O152" s="32"/>
      <c r="P152" s="32"/>
      <c r="Q152" s="34"/>
      <c r="R152" s="88" t="str">
        <f ca="1" t="shared" si="4"/>
        <v/>
      </c>
      <c r="S152" s="27"/>
      <c r="T152" s="27"/>
      <c r="U152" s="27"/>
      <c r="V152" s="35"/>
      <c r="W152" s="30"/>
      <c r="X152" s="33"/>
      <c r="Y152" s="36"/>
      <c r="Z152" s="37"/>
      <c r="AA152" s="27"/>
      <c r="AB152" s="27"/>
      <c r="AC152" s="27"/>
      <c r="AD152" s="27"/>
      <c r="AE152" s="27"/>
      <c r="AF152" s="27"/>
      <c r="AG152" s="90" t="b">
        <v>0</v>
      </c>
      <c r="AH152" s="91" t="b">
        <v>0</v>
      </c>
      <c r="AI152" s="91" t="b">
        <v>0</v>
      </c>
      <c r="AJ152" s="92" t="b">
        <v>0</v>
      </c>
      <c r="AK152" s="90"/>
      <c r="AL152" s="91"/>
      <c r="AM152" s="91"/>
      <c r="AN152" s="92"/>
      <c r="AO152" s="90"/>
      <c r="AP152" s="91"/>
      <c r="AQ152" s="91"/>
      <c r="AR152" s="92"/>
      <c r="AS152" s="90"/>
      <c r="AT152" s="91"/>
      <c r="AU152" s="91"/>
      <c r="AV152" s="92"/>
      <c r="AW152" s="90"/>
      <c r="AX152" s="91"/>
      <c r="AY152" s="93"/>
      <c r="AZ152" s="91"/>
      <c r="BA152" s="92"/>
      <c r="BB152" s="90"/>
      <c r="BC152" s="91"/>
      <c r="BD152" s="93"/>
      <c r="BE152" s="91"/>
      <c r="BF152" s="92"/>
      <c r="BG152" s="33">
        <f t="shared" si="2"/>
        <v>0</v>
      </c>
      <c r="BH152" s="27"/>
      <c r="BI152" s="27"/>
      <c r="BJ152" s="27"/>
    </row>
    <row r="153" ht="15.75" customHeight="1" spans="1:62">
      <c r="A153" s="29"/>
      <c r="B153" s="29"/>
      <c r="C153" s="29"/>
      <c r="D153" s="33">
        <v>144</v>
      </c>
      <c r="E153" s="31"/>
      <c r="F153" s="31"/>
      <c r="G153" s="32"/>
      <c r="H153" s="32"/>
      <c r="I153" s="33"/>
      <c r="J153" s="27" t="str">
        <f t="shared" si="0"/>
        <v/>
      </c>
      <c r="K153" s="32"/>
      <c r="L153" s="32"/>
      <c r="M153" s="32"/>
      <c r="N153" s="32"/>
      <c r="O153" s="32"/>
      <c r="P153" s="32"/>
      <c r="Q153" s="34"/>
      <c r="R153" s="88" t="str">
        <f ca="1" t="shared" si="4"/>
        <v/>
      </c>
      <c r="S153" s="27"/>
      <c r="T153" s="27"/>
      <c r="U153" s="27"/>
      <c r="V153" s="35"/>
      <c r="W153" s="30"/>
      <c r="X153" s="33"/>
      <c r="Y153" s="36"/>
      <c r="Z153" s="37"/>
      <c r="AA153" s="27"/>
      <c r="AB153" s="27"/>
      <c r="AC153" s="27"/>
      <c r="AD153" s="27"/>
      <c r="AE153" s="27"/>
      <c r="AF153" s="27"/>
      <c r="AG153" s="90" t="b">
        <v>0</v>
      </c>
      <c r="AH153" s="91" t="b">
        <v>0</v>
      </c>
      <c r="AI153" s="91" t="b">
        <v>0</v>
      </c>
      <c r="AJ153" s="92" t="b">
        <v>0</v>
      </c>
      <c r="AK153" s="90"/>
      <c r="AL153" s="91"/>
      <c r="AM153" s="91"/>
      <c r="AN153" s="92"/>
      <c r="AO153" s="90"/>
      <c r="AP153" s="91"/>
      <c r="AQ153" s="91"/>
      <c r="AR153" s="92"/>
      <c r="AS153" s="90"/>
      <c r="AT153" s="91"/>
      <c r="AU153" s="91"/>
      <c r="AV153" s="92"/>
      <c r="AW153" s="90"/>
      <c r="AX153" s="91"/>
      <c r="AY153" s="93"/>
      <c r="AZ153" s="91"/>
      <c r="BA153" s="92"/>
      <c r="BB153" s="90"/>
      <c r="BC153" s="91"/>
      <c r="BD153" s="93"/>
      <c r="BE153" s="91"/>
      <c r="BF153" s="92"/>
      <c r="BG153" s="33">
        <f t="shared" si="2"/>
        <v>0</v>
      </c>
      <c r="BH153" s="27"/>
      <c r="BI153" s="27"/>
      <c r="BJ153" s="27"/>
    </row>
    <row r="154" ht="15.75" customHeight="1" spans="1:62">
      <c r="A154" s="29"/>
      <c r="B154" s="29"/>
      <c r="C154" s="29"/>
      <c r="D154" s="33">
        <v>145</v>
      </c>
      <c r="E154" s="31"/>
      <c r="F154" s="31"/>
      <c r="G154" s="32"/>
      <c r="H154" s="32"/>
      <c r="I154" s="33"/>
      <c r="J154" s="27" t="str">
        <f t="shared" si="0"/>
        <v/>
      </c>
      <c r="K154" s="32"/>
      <c r="L154" s="32"/>
      <c r="M154" s="32"/>
      <c r="N154" s="32"/>
      <c r="O154" s="32"/>
      <c r="P154" s="32"/>
      <c r="Q154" s="34"/>
      <c r="R154" s="88" t="str">
        <f ca="1" t="shared" si="4"/>
        <v/>
      </c>
      <c r="S154" s="27"/>
      <c r="T154" s="27"/>
      <c r="U154" s="27"/>
      <c r="V154" s="35"/>
      <c r="W154" s="30"/>
      <c r="X154" s="33"/>
      <c r="Y154" s="36"/>
      <c r="Z154" s="37"/>
      <c r="AA154" s="27"/>
      <c r="AB154" s="27"/>
      <c r="AC154" s="27"/>
      <c r="AD154" s="27"/>
      <c r="AE154" s="27"/>
      <c r="AF154" s="27"/>
      <c r="AG154" s="90" t="b">
        <v>0</v>
      </c>
      <c r="AH154" s="91" t="b">
        <v>0</v>
      </c>
      <c r="AI154" s="91" t="b">
        <v>0</v>
      </c>
      <c r="AJ154" s="92" t="b">
        <v>0</v>
      </c>
      <c r="AK154" s="90"/>
      <c r="AL154" s="91"/>
      <c r="AM154" s="91"/>
      <c r="AN154" s="92"/>
      <c r="AO154" s="90"/>
      <c r="AP154" s="91"/>
      <c r="AQ154" s="91"/>
      <c r="AR154" s="92"/>
      <c r="AS154" s="90"/>
      <c r="AT154" s="91"/>
      <c r="AU154" s="91"/>
      <c r="AV154" s="92"/>
      <c r="AW154" s="90"/>
      <c r="AX154" s="91"/>
      <c r="AY154" s="93"/>
      <c r="AZ154" s="91"/>
      <c r="BA154" s="92"/>
      <c r="BB154" s="90"/>
      <c r="BC154" s="91"/>
      <c r="BD154" s="93"/>
      <c r="BE154" s="91"/>
      <c r="BF154" s="92"/>
      <c r="BG154" s="33">
        <f t="shared" si="2"/>
        <v>0</v>
      </c>
      <c r="BH154" s="27"/>
      <c r="BI154" s="27"/>
      <c r="BJ154" s="27"/>
    </row>
    <row r="155" ht="15.75" customHeight="1" spans="1:62">
      <c r="A155" s="29"/>
      <c r="B155" s="29"/>
      <c r="C155" s="29"/>
      <c r="D155" s="33">
        <v>146</v>
      </c>
      <c r="E155" s="31"/>
      <c r="F155" s="31"/>
      <c r="G155" s="32"/>
      <c r="H155" s="32"/>
      <c r="I155" s="33"/>
      <c r="J155" s="27" t="str">
        <f t="shared" si="0"/>
        <v/>
      </c>
      <c r="K155" s="32"/>
      <c r="L155" s="32"/>
      <c r="M155" s="32"/>
      <c r="N155" s="32"/>
      <c r="O155" s="32"/>
      <c r="P155" s="32"/>
      <c r="Q155" s="34"/>
      <c r="R155" s="88" t="str">
        <f ca="1" t="shared" si="4"/>
        <v/>
      </c>
      <c r="S155" s="27"/>
      <c r="T155" s="27"/>
      <c r="U155" s="27"/>
      <c r="V155" s="35"/>
      <c r="W155" s="30"/>
      <c r="X155" s="33"/>
      <c r="Y155" s="36"/>
      <c r="Z155" s="37"/>
      <c r="AA155" s="27"/>
      <c r="AB155" s="27"/>
      <c r="AC155" s="27"/>
      <c r="AD155" s="27"/>
      <c r="AE155" s="27"/>
      <c r="AF155" s="27"/>
      <c r="AG155" s="90" t="b">
        <v>0</v>
      </c>
      <c r="AH155" s="91" t="b">
        <v>0</v>
      </c>
      <c r="AI155" s="91" t="b">
        <v>0</v>
      </c>
      <c r="AJ155" s="92" t="b">
        <v>0</v>
      </c>
      <c r="AK155" s="90"/>
      <c r="AL155" s="91"/>
      <c r="AM155" s="91"/>
      <c r="AN155" s="92"/>
      <c r="AO155" s="90"/>
      <c r="AP155" s="91"/>
      <c r="AQ155" s="91"/>
      <c r="AR155" s="92"/>
      <c r="AS155" s="90"/>
      <c r="AT155" s="91"/>
      <c r="AU155" s="91"/>
      <c r="AV155" s="92"/>
      <c r="AW155" s="90"/>
      <c r="AX155" s="91"/>
      <c r="AY155" s="93"/>
      <c r="AZ155" s="91"/>
      <c r="BA155" s="92"/>
      <c r="BB155" s="90"/>
      <c r="BC155" s="91"/>
      <c r="BD155" s="93"/>
      <c r="BE155" s="91"/>
      <c r="BF155" s="92"/>
      <c r="BG155" s="33">
        <f t="shared" si="2"/>
        <v>0</v>
      </c>
      <c r="BH155" s="27"/>
      <c r="BI155" s="27"/>
      <c r="BJ155" s="27"/>
    </row>
    <row r="156" ht="15.75" customHeight="1" spans="1:62">
      <c r="A156" s="29"/>
      <c r="B156" s="29"/>
      <c r="C156" s="29"/>
      <c r="D156" s="33">
        <v>147</v>
      </c>
      <c r="E156" s="31"/>
      <c r="F156" s="31"/>
      <c r="G156" s="32"/>
      <c r="H156" s="32"/>
      <c r="I156" s="33"/>
      <c r="J156" s="27" t="str">
        <f t="shared" si="0"/>
        <v/>
      </c>
      <c r="K156" s="32"/>
      <c r="L156" s="32"/>
      <c r="M156" s="32"/>
      <c r="N156" s="32"/>
      <c r="O156" s="32"/>
      <c r="P156" s="32"/>
      <c r="Q156" s="34"/>
      <c r="R156" s="88" t="str">
        <f ca="1" t="shared" si="4"/>
        <v/>
      </c>
      <c r="S156" s="27"/>
      <c r="T156" s="27"/>
      <c r="U156" s="27"/>
      <c r="V156" s="35"/>
      <c r="W156" s="30"/>
      <c r="X156" s="33"/>
      <c r="Y156" s="36"/>
      <c r="Z156" s="37"/>
      <c r="AA156" s="27"/>
      <c r="AB156" s="27"/>
      <c r="AC156" s="27"/>
      <c r="AD156" s="27"/>
      <c r="AE156" s="27"/>
      <c r="AF156" s="27"/>
      <c r="AG156" s="90" t="b">
        <v>0</v>
      </c>
      <c r="AH156" s="91" t="b">
        <v>0</v>
      </c>
      <c r="AI156" s="91" t="b">
        <v>0</v>
      </c>
      <c r="AJ156" s="92" t="b">
        <v>0</v>
      </c>
      <c r="AK156" s="90"/>
      <c r="AL156" s="91"/>
      <c r="AM156" s="91"/>
      <c r="AN156" s="92"/>
      <c r="AO156" s="90"/>
      <c r="AP156" s="91"/>
      <c r="AQ156" s="91"/>
      <c r="AR156" s="92"/>
      <c r="AS156" s="90"/>
      <c r="AT156" s="91"/>
      <c r="AU156" s="91"/>
      <c r="AV156" s="92"/>
      <c r="AW156" s="90"/>
      <c r="AX156" s="91"/>
      <c r="AY156" s="93"/>
      <c r="AZ156" s="91"/>
      <c r="BA156" s="92"/>
      <c r="BB156" s="90"/>
      <c r="BC156" s="91"/>
      <c r="BD156" s="93"/>
      <c r="BE156" s="91"/>
      <c r="BF156" s="92"/>
      <c r="BG156" s="33">
        <f t="shared" si="2"/>
        <v>0</v>
      </c>
      <c r="BH156" s="27"/>
      <c r="BI156" s="27"/>
      <c r="BJ156" s="27"/>
    </row>
    <row r="157" ht="15.75" customHeight="1" spans="1:62">
      <c r="A157" s="29"/>
      <c r="B157" s="29"/>
      <c r="C157" s="29"/>
      <c r="D157" s="33">
        <v>148</v>
      </c>
      <c r="E157" s="31"/>
      <c r="F157" s="31"/>
      <c r="G157" s="32"/>
      <c r="H157" s="32"/>
      <c r="I157" s="33"/>
      <c r="J157" s="27" t="str">
        <f t="shared" si="0"/>
        <v/>
      </c>
      <c r="K157" s="32"/>
      <c r="L157" s="32"/>
      <c r="M157" s="32"/>
      <c r="N157" s="32"/>
      <c r="O157" s="32"/>
      <c r="P157" s="32"/>
      <c r="Q157" s="34"/>
      <c r="R157" s="88" t="str">
        <f ca="1" t="shared" si="4"/>
        <v/>
      </c>
      <c r="S157" s="27"/>
      <c r="T157" s="27"/>
      <c r="U157" s="27"/>
      <c r="V157" s="35"/>
      <c r="W157" s="30"/>
      <c r="X157" s="33"/>
      <c r="Y157" s="36"/>
      <c r="Z157" s="37"/>
      <c r="AA157" s="27"/>
      <c r="AB157" s="27"/>
      <c r="AC157" s="27"/>
      <c r="AD157" s="27"/>
      <c r="AE157" s="27"/>
      <c r="AF157" s="27"/>
      <c r="AG157" s="90" t="b">
        <v>0</v>
      </c>
      <c r="AH157" s="91" t="b">
        <v>0</v>
      </c>
      <c r="AI157" s="91" t="b">
        <v>0</v>
      </c>
      <c r="AJ157" s="92" t="b">
        <v>0</v>
      </c>
      <c r="AK157" s="90"/>
      <c r="AL157" s="91"/>
      <c r="AM157" s="91"/>
      <c r="AN157" s="92"/>
      <c r="AO157" s="90"/>
      <c r="AP157" s="91"/>
      <c r="AQ157" s="91"/>
      <c r="AR157" s="92"/>
      <c r="AS157" s="90"/>
      <c r="AT157" s="91"/>
      <c r="AU157" s="91"/>
      <c r="AV157" s="92"/>
      <c r="AW157" s="90"/>
      <c r="AX157" s="91"/>
      <c r="AY157" s="93"/>
      <c r="AZ157" s="91"/>
      <c r="BA157" s="92"/>
      <c r="BB157" s="90"/>
      <c r="BC157" s="91"/>
      <c r="BD157" s="93"/>
      <c r="BE157" s="91"/>
      <c r="BF157" s="92"/>
      <c r="BG157" s="33">
        <f t="shared" si="2"/>
        <v>0</v>
      </c>
      <c r="BH157" s="27"/>
      <c r="BI157" s="27"/>
      <c r="BJ157" s="27"/>
    </row>
    <row r="158" ht="15.75" customHeight="1" spans="1:62">
      <c r="A158" s="29"/>
      <c r="B158" s="29"/>
      <c r="C158" s="29"/>
      <c r="D158" s="33">
        <v>149</v>
      </c>
      <c r="E158" s="31"/>
      <c r="F158" s="31"/>
      <c r="G158" s="32"/>
      <c r="H158" s="32"/>
      <c r="I158" s="33"/>
      <c r="J158" s="27" t="str">
        <f t="shared" si="0"/>
        <v/>
      </c>
      <c r="K158" s="32"/>
      <c r="L158" s="32"/>
      <c r="M158" s="32"/>
      <c r="N158" s="32"/>
      <c r="O158" s="32"/>
      <c r="P158" s="32"/>
      <c r="Q158" s="34"/>
      <c r="R158" s="88" t="str">
        <f ca="1" t="shared" si="4"/>
        <v/>
      </c>
      <c r="S158" s="27"/>
      <c r="T158" s="27"/>
      <c r="U158" s="27"/>
      <c r="V158" s="35"/>
      <c r="W158" s="30"/>
      <c r="X158" s="33"/>
      <c r="Y158" s="36"/>
      <c r="Z158" s="37"/>
      <c r="AA158" s="27"/>
      <c r="AB158" s="27"/>
      <c r="AC158" s="27"/>
      <c r="AD158" s="27"/>
      <c r="AE158" s="27"/>
      <c r="AF158" s="27"/>
      <c r="AG158" s="90" t="b">
        <v>0</v>
      </c>
      <c r="AH158" s="91" t="b">
        <v>0</v>
      </c>
      <c r="AI158" s="91" t="b">
        <v>0</v>
      </c>
      <c r="AJ158" s="92" t="b">
        <v>0</v>
      </c>
      <c r="AK158" s="90"/>
      <c r="AL158" s="91"/>
      <c r="AM158" s="91"/>
      <c r="AN158" s="92"/>
      <c r="AO158" s="90"/>
      <c r="AP158" s="91"/>
      <c r="AQ158" s="91"/>
      <c r="AR158" s="92"/>
      <c r="AS158" s="90"/>
      <c r="AT158" s="91"/>
      <c r="AU158" s="91"/>
      <c r="AV158" s="92"/>
      <c r="AW158" s="90"/>
      <c r="AX158" s="91"/>
      <c r="AY158" s="93"/>
      <c r="AZ158" s="91"/>
      <c r="BA158" s="92"/>
      <c r="BB158" s="90"/>
      <c r="BC158" s="91"/>
      <c r="BD158" s="93"/>
      <c r="BE158" s="91"/>
      <c r="BF158" s="92"/>
      <c r="BG158" s="33">
        <f t="shared" si="2"/>
        <v>0</v>
      </c>
      <c r="BH158" s="27"/>
      <c r="BI158" s="27"/>
      <c r="BJ158" s="27"/>
    </row>
    <row r="159" ht="15.75" customHeight="1" spans="1:62">
      <c r="A159" s="29"/>
      <c r="B159" s="29"/>
      <c r="C159" s="29"/>
      <c r="D159" s="33">
        <v>150</v>
      </c>
      <c r="E159" s="31"/>
      <c r="F159" s="31"/>
      <c r="G159" s="32"/>
      <c r="H159" s="32"/>
      <c r="I159" s="33"/>
      <c r="J159" s="27" t="str">
        <f t="shared" si="0"/>
        <v/>
      </c>
      <c r="K159" s="32"/>
      <c r="L159" s="32"/>
      <c r="M159" s="32"/>
      <c r="N159" s="32"/>
      <c r="O159" s="32"/>
      <c r="P159" s="32"/>
      <c r="Q159" s="34"/>
      <c r="R159" s="88" t="str">
        <f ca="1" t="shared" si="4"/>
        <v/>
      </c>
      <c r="S159" s="27"/>
      <c r="T159" s="27"/>
      <c r="U159" s="27"/>
      <c r="V159" s="35"/>
      <c r="W159" s="30"/>
      <c r="X159" s="33"/>
      <c r="Y159" s="36"/>
      <c r="Z159" s="37"/>
      <c r="AA159" s="27"/>
      <c r="AB159" s="27"/>
      <c r="AC159" s="27"/>
      <c r="AD159" s="27"/>
      <c r="AE159" s="27"/>
      <c r="AF159" s="27"/>
      <c r="AG159" s="90" t="b">
        <v>0</v>
      </c>
      <c r="AH159" s="91" t="b">
        <v>0</v>
      </c>
      <c r="AI159" s="91" t="b">
        <v>0</v>
      </c>
      <c r="AJ159" s="92" t="b">
        <v>0</v>
      </c>
      <c r="AK159" s="90"/>
      <c r="AL159" s="91"/>
      <c r="AM159" s="91"/>
      <c r="AN159" s="92"/>
      <c r="AO159" s="90"/>
      <c r="AP159" s="91"/>
      <c r="AQ159" s="91"/>
      <c r="AR159" s="92"/>
      <c r="AS159" s="90"/>
      <c r="AT159" s="91"/>
      <c r="AU159" s="91"/>
      <c r="AV159" s="92"/>
      <c r="AW159" s="90"/>
      <c r="AX159" s="91"/>
      <c r="AY159" s="93"/>
      <c r="AZ159" s="91"/>
      <c r="BA159" s="92"/>
      <c r="BB159" s="90"/>
      <c r="BC159" s="91"/>
      <c r="BD159" s="93"/>
      <c r="BE159" s="91"/>
      <c r="BF159" s="92"/>
      <c r="BG159" s="33">
        <f t="shared" si="2"/>
        <v>0</v>
      </c>
      <c r="BH159" s="27"/>
      <c r="BI159" s="27"/>
      <c r="BJ159" s="27"/>
    </row>
    <row r="160" ht="15.75" customHeight="1" spans="1:62">
      <c r="A160" s="29"/>
      <c r="B160" s="29"/>
      <c r="C160" s="29"/>
      <c r="D160" s="33">
        <v>151</v>
      </c>
      <c r="E160" s="31"/>
      <c r="F160" s="31"/>
      <c r="G160" s="32"/>
      <c r="H160" s="32"/>
      <c r="I160" s="33"/>
      <c r="J160" s="27" t="str">
        <f t="shared" si="0"/>
        <v/>
      </c>
      <c r="K160" s="32"/>
      <c r="L160" s="32"/>
      <c r="M160" s="32"/>
      <c r="N160" s="32"/>
      <c r="O160" s="32"/>
      <c r="P160" s="32"/>
      <c r="Q160" s="34"/>
      <c r="R160" s="88" t="str">
        <f ca="1" t="shared" si="4"/>
        <v/>
      </c>
      <c r="S160" s="27"/>
      <c r="T160" s="27"/>
      <c r="U160" s="27"/>
      <c r="V160" s="35"/>
      <c r="W160" s="30"/>
      <c r="X160" s="33"/>
      <c r="Y160" s="36"/>
      <c r="Z160" s="37"/>
      <c r="AA160" s="27"/>
      <c r="AB160" s="27"/>
      <c r="AC160" s="27"/>
      <c r="AD160" s="27"/>
      <c r="AE160" s="27"/>
      <c r="AF160" s="27"/>
      <c r="AG160" s="90" t="b">
        <v>0</v>
      </c>
      <c r="AH160" s="91" t="b">
        <v>0</v>
      </c>
      <c r="AI160" s="91" t="b">
        <v>0</v>
      </c>
      <c r="AJ160" s="92" t="b">
        <v>0</v>
      </c>
      <c r="AK160" s="90"/>
      <c r="AL160" s="91"/>
      <c r="AM160" s="91"/>
      <c r="AN160" s="92"/>
      <c r="AO160" s="90"/>
      <c r="AP160" s="91"/>
      <c r="AQ160" s="91"/>
      <c r="AR160" s="92"/>
      <c r="AS160" s="90"/>
      <c r="AT160" s="91"/>
      <c r="AU160" s="91"/>
      <c r="AV160" s="92"/>
      <c r="AW160" s="90"/>
      <c r="AX160" s="91"/>
      <c r="AY160" s="93"/>
      <c r="AZ160" s="91"/>
      <c r="BA160" s="92"/>
      <c r="BB160" s="90"/>
      <c r="BC160" s="91"/>
      <c r="BD160" s="93"/>
      <c r="BE160" s="91"/>
      <c r="BF160" s="92"/>
      <c r="BG160" s="33">
        <f t="shared" si="2"/>
        <v>0</v>
      </c>
      <c r="BH160" s="27"/>
      <c r="BI160" s="27"/>
      <c r="BJ160" s="27"/>
    </row>
    <row r="161" ht="15.75" customHeight="1" spans="1:62">
      <c r="A161" s="29"/>
      <c r="B161" s="29"/>
      <c r="C161" s="29"/>
      <c r="D161" s="33">
        <v>152</v>
      </c>
      <c r="E161" s="31"/>
      <c r="F161" s="31"/>
      <c r="G161" s="32"/>
      <c r="H161" s="32"/>
      <c r="I161" s="33"/>
      <c r="J161" s="27" t="str">
        <f t="shared" si="0"/>
        <v/>
      </c>
      <c r="K161" s="32"/>
      <c r="L161" s="32"/>
      <c r="M161" s="32"/>
      <c r="N161" s="32"/>
      <c r="O161" s="32"/>
      <c r="P161" s="32"/>
      <c r="Q161" s="34"/>
      <c r="R161" s="88" t="str">
        <f ca="1" t="shared" si="4"/>
        <v/>
      </c>
      <c r="S161" s="27"/>
      <c r="T161" s="27"/>
      <c r="U161" s="27"/>
      <c r="V161" s="35"/>
      <c r="W161" s="30"/>
      <c r="X161" s="33"/>
      <c r="Y161" s="36"/>
      <c r="Z161" s="37"/>
      <c r="AA161" s="27"/>
      <c r="AB161" s="27"/>
      <c r="AC161" s="27"/>
      <c r="AD161" s="27"/>
      <c r="AE161" s="27"/>
      <c r="AF161" s="27"/>
      <c r="AG161" s="90" t="b">
        <v>0</v>
      </c>
      <c r="AH161" s="91" t="b">
        <v>0</v>
      </c>
      <c r="AI161" s="91" t="b">
        <v>0</v>
      </c>
      <c r="AJ161" s="92" t="b">
        <v>0</v>
      </c>
      <c r="AK161" s="90"/>
      <c r="AL161" s="91"/>
      <c r="AM161" s="91"/>
      <c r="AN161" s="92"/>
      <c r="AO161" s="90"/>
      <c r="AP161" s="91"/>
      <c r="AQ161" s="91"/>
      <c r="AR161" s="92"/>
      <c r="AS161" s="90"/>
      <c r="AT161" s="91"/>
      <c r="AU161" s="91"/>
      <c r="AV161" s="92"/>
      <c r="AW161" s="90"/>
      <c r="AX161" s="91"/>
      <c r="AY161" s="93"/>
      <c r="AZ161" s="91"/>
      <c r="BA161" s="92"/>
      <c r="BB161" s="90"/>
      <c r="BC161" s="91"/>
      <c r="BD161" s="93"/>
      <c r="BE161" s="91"/>
      <c r="BF161" s="92"/>
      <c r="BG161" s="33">
        <f t="shared" si="2"/>
        <v>0</v>
      </c>
      <c r="BH161" s="27"/>
      <c r="BI161" s="27"/>
      <c r="BJ161" s="27"/>
    </row>
    <row r="162" ht="15.75" customHeight="1" spans="1:62">
      <c r="A162" s="29"/>
      <c r="B162" s="29"/>
      <c r="C162" s="29"/>
      <c r="D162" s="33">
        <v>153</v>
      </c>
      <c r="E162" s="31"/>
      <c r="F162" s="31"/>
      <c r="G162" s="32"/>
      <c r="H162" s="32"/>
      <c r="I162" s="33"/>
      <c r="J162" s="27" t="str">
        <f t="shared" si="0"/>
        <v/>
      </c>
      <c r="K162" s="32"/>
      <c r="L162" s="32"/>
      <c r="M162" s="32"/>
      <c r="N162" s="32"/>
      <c r="O162" s="32"/>
      <c r="P162" s="32"/>
      <c r="Q162" s="34"/>
      <c r="R162" s="88" t="str">
        <f ca="1" t="shared" si="4"/>
        <v/>
      </c>
      <c r="S162" s="27"/>
      <c r="T162" s="27"/>
      <c r="U162" s="27"/>
      <c r="V162" s="35"/>
      <c r="W162" s="30"/>
      <c r="X162" s="33"/>
      <c r="Y162" s="36"/>
      <c r="Z162" s="37"/>
      <c r="AA162" s="27"/>
      <c r="AB162" s="27"/>
      <c r="AC162" s="27"/>
      <c r="AD162" s="27"/>
      <c r="AE162" s="27"/>
      <c r="AF162" s="27"/>
      <c r="AG162" s="90" t="b">
        <v>0</v>
      </c>
      <c r="AH162" s="91" t="b">
        <v>0</v>
      </c>
      <c r="AI162" s="91" t="b">
        <v>0</v>
      </c>
      <c r="AJ162" s="92" t="b">
        <v>0</v>
      </c>
      <c r="AK162" s="90"/>
      <c r="AL162" s="91"/>
      <c r="AM162" s="91"/>
      <c r="AN162" s="92"/>
      <c r="AO162" s="90"/>
      <c r="AP162" s="91"/>
      <c r="AQ162" s="91"/>
      <c r="AR162" s="92"/>
      <c r="AS162" s="90"/>
      <c r="AT162" s="91"/>
      <c r="AU162" s="91"/>
      <c r="AV162" s="92"/>
      <c r="AW162" s="90"/>
      <c r="AX162" s="91"/>
      <c r="AY162" s="93"/>
      <c r="AZ162" s="91"/>
      <c r="BA162" s="92"/>
      <c r="BB162" s="90"/>
      <c r="BC162" s="91"/>
      <c r="BD162" s="93"/>
      <c r="BE162" s="91"/>
      <c r="BF162" s="92"/>
      <c r="BG162" s="33">
        <f t="shared" si="2"/>
        <v>0</v>
      </c>
      <c r="BH162" s="27"/>
      <c r="BI162" s="27"/>
      <c r="BJ162" s="27"/>
    </row>
    <row r="163" ht="15.75" customHeight="1" spans="1:62">
      <c r="A163" s="29"/>
      <c r="B163" s="29"/>
      <c r="C163" s="29"/>
      <c r="D163" s="33">
        <v>154</v>
      </c>
      <c r="E163" s="31"/>
      <c r="F163" s="31"/>
      <c r="G163" s="32"/>
      <c r="H163" s="32"/>
      <c r="I163" s="33"/>
      <c r="J163" s="27" t="str">
        <f t="shared" si="0"/>
        <v/>
      </c>
      <c r="K163" s="32"/>
      <c r="L163" s="32"/>
      <c r="M163" s="32"/>
      <c r="N163" s="32"/>
      <c r="O163" s="32"/>
      <c r="P163" s="32"/>
      <c r="Q163" s="34"/>
      <c r="R163" s="88" t="str">
        <f ca="1" t="shared" si="4"/>
        <v/>
      </c>
      <c r="S163" s="27"/>
      <c r="T163" s="27"/>
      <c r="U163" s="27"/>
      <c r="V163" s="35"/>
      <c r="W163" s="30"/>
      <c r="X163" s="33"/>
      <c r="Y163" s="36"/>
      <c r="Z163" s="37"/>
      <c r="AA163" s="27"/>
      <c r="AB163" s="27"/>
      <c r="AC163" s="27"/>
      <c r="AD163" s="27"/>
      <c r="AE163" s="27"/>
      <c r="AF163" s="27"/>
      <c r="AG163" s="90" t="b">
        <v>0</v>
      </c>
      <c r="AH163" s="91" t="b">
        <v>0</v>
      </c>
      <c r="AI163" s="91" t="b">
        <v>0</v>
      </c>
      <c r="AJ163" s="92" t="b">
        <v>0</v>
      </c>
      <c r="AK163" s="90"/>
      <c r="AL163" s="91"/>
      <c r="AM163" s="91"/>
      <c r="AN163" s="92"/>
      <c r="AO163" s="90"/>
      <c r="AP163" s="91"/>
      <c r="AQ163" s="91"/>
      <c r="AR163" s="92"/>
      <c r="AS163" s="90"/>
      <c r="AT163" s="91"/>
      <c r="AU163" s="91"/>
      <c r="AV163" s="92"/>
      <c r="AW163" s="90"/>
      <c r="AX163" s="91"/>
      <c r="AY163" s="93"/>
      <c r="AZ163" s="91"/>
      <c r="BA163" s="92"/>
      <c r="BB163" s="90"/>
      <c r="BC163" s="91"/>
      <c r="BD163" s="93"/>
      <c r="BE163" s="91"/>
      <c r="BF163" s="92"/>
      <c r="BG163" s="33">
        <f t="shared" si="2"/>
        <v>0</v>
      </c>
      <c r="BH163" s="27"/>
      <c r="BI163" s="27"/>
      <c r="BJ163" s="27"/>
    </row>
    <row r="164" ht="15.75" customHeight="1" spans="1:62">
      <c r="A164" s="29"/>
      <c r="B164" s="29"/>
      <c r="C164" s="29"/>
      <c r="D164" s="33">
        <v>155</v>
      </c>
      <c r="E164" s="31"/>
      <c r="F164" s="31"/>
      <c r="G164" s="32"/>
      <c r="H164" s="32"/>
      <c r="I164" s="33"/>
      <c r="J164" s="27" t="str">
        <f t="shared" si="0"/>
        <v/>
      </c>
      <c r="K164" s="32"/>
      <c r="L164" s="32"/>
      <c r="M164" s="32"/>
      <c r="N164" s="32"/>
      <c r="O164" s="32"/>
      <c r="P164" s="32"/>
      <c r="Q164" s="34"/>
      <c r="R164" s="88" t="str">
        <f ca="1" t="shared" si="4"/>
        <v/>
      </c>
      <c r="S164" s="27"/>
      <c r="T164" s="27"/>
      <c r="U164" s="27"/>
      <c r="V164" s="35"/>
      <c r="W164" s="30"/>
      <c r="X164" s="33"/>
      <c r="Y164" s="36"/>
      <c r="Z164" s="37"/>
      <c r="AA164" s="27"/>
      <c r="AB164" s="27"/>
      <c r="AC164" s="27"/>
      <c r="AD164" s="27"/>
      <c r="AE164" s="27"/>
      <c r="AF164" s="27"/>
      <c r="AG164" s="90" t="b">
        <v>0</v>
      </c>
      <c r="AH164" s="91" t="b">
        <v>0</v>
      </c>
      <c r="AI164" s="91" t="b">
        <v>0</v>
      </c>
      <c r="AJ164" s="92" t="b">
        <v>0</v>
      </c>
      <c r="AK164" s="90"/>
      <c r="AL164" s="91"/>
      <c r="AM164" s="91"/>
      <c r="AN164" s="92"/>
      <c r="AO164" s="90"/>
      <c r="AP164" s="91"/>
      <c r="AQ164" s="91"/>
      <c r="AR164" s="92"/>
      <c r="AS164" s="90"/>
      <c r="AT164" s="91"/>
      <c r="AU164" s="91"/>
      <c r="AV164" s="92"/>
      <c r="AW164" s="90"/>
      <c r="AX164" s="91"/>
      <c r="AY164" s="93"/>
      <c r="AZ164" s="91"/>
      <c r="BA164" s="92"/>
      <c r="BB164" s="90"/>
      <c r="BC164" s="91"/>
      <c r="BD164" s="93"/>
      <c r="BE164" s="91"/>
      <c r="BF164" s="92"/>
      <c r="BG164" s="33">
        <f t="shared" si="2"/>
        <v>0</v>
      </c>
      <c r="BH164" s="27"/>
      <c r="BI164" s="27"/>
      <c r="BJ164" s="27"/>
    </row>
    <row r="165" ht="15.75" customHeight="1" spans="1:62">
      <c r="A165" s="29"/>
      <c r="B165" s="29"/>
      <c r="C165" s="29"/>
      <c r="D165" s="33">
        <v>156</v>
      </c>
      <c r="E165" s="31"/>
      <c r="F165" s="31"/>
      <c r="G165" s="32"/>
      <c r="H165" s="32"/>
      <c r="I165" s="33"/>
      <c r="J165" s="27" t="str">
        <f t="shared" si="0"/>
        <v/>
      </c>
      <c r="K165" s="32"/>
      <c r="L165" s="32"/>
      <c r="M165" s="32"/>
      <c r="N165" s="32"/>
      <c r="O165" s="32"/>
      <c r="P165" s="32"/>
      <c r="Q165" s="34"/>
      <c r="R165" s="88" t="str">
        <f ca="1" t="shared" si="4"/>
        <v/>
      </c>
      <c r="S165" s="27"/>
      <c r="T165" s="27"/>
      <c r="U165" s="27"/>
      <c r="V165" s="35"/>
      <c r="W165" s="30"/>
      <c r="X165" s="33"/>
      <c r="Y165" s="36"/>
      <c r="Z165" s="37"/>
      <c r="AA165" s="27"/>
      <c r="AB165" s="27"/>
      <c r="AC165" s="27"/>
      <c r="AD165" s="27"/>
      <c r="AE165" s="27"/>
      <c r="AF165" s="27"/>
      <c r="AG165" s="90" t="b">
        <v>0</v>
      </c>
      <c r="AH165" s="91" t="b">
        <v>0</v>
      </c>
      <c r="AI165" s="91" t="b">
        <v>0</v>
      </c>
      <c r="AJ165" s="92" t="b">
        <v>0</v>
      </c>
      <c r="AK165" s="90"/>
      <c r="AL165" s="91"/>
      <c r="AM165" s="91"/>
      <c r="AN165" s="92"/>
      <c r="AO165" s="90"/>
      <c r="AP165" s="91"/>
      <c r="AQ165" s="91"/>
      <c r="AR165" s="92"/>
      <c r="AS165" s="90"/>
      <c r="AT165" s="91"/>
      <c r="AU165" s="91"/>
      <c r="AV165" s="92"/>
      <c r="AW165" s="90"/>
      <c r="AX165" s="91"/>
      <c r="AY165" s="93"/>
      <c r="AZ165" s="91"/>
      <c r="BA165" s="92"/>
      <c r="BB165" s="90"/>
      <c r="BC165" s="91"/>
      <c r="BD165" s="93"/>
      <c r="BE165" s="91"/>
      <c r="BF165" s="92"/>
      <c r="BG165" s="33">
        <f t="shared" si="2"/>
        <v>0</v>
      </c>
      <c r="BH165" s="27"/>
      <c r="BI165" s="27"/>
      <c r="BJ165" s="27"/>
    </row>
    <row r="166" ht="15.75" customHeight="1" spans="1:62">
      <c r="A166" s="29"/>
      <c r="B166" s="29"/>
      <c r="C166" s="29"/>
      <c r="D166" s="33">
        <v>157</v>
      </c>
      <c r="E166" s="31"/>
      <c r="F166" s="31"/>
      <c r="G166" s="32"/>
      <c r="H166" s="32"/>
      <c r="I166" s="33"/>
      <c r="J166" s="27" t="str">
        <f t="shared" si="0"/>
        <v/>
      </c>
      <c r="K166" s="32"/>
      <c r="L166" s="32"/>
      <c r="M166" s="32"/>
      <c r="N166" s="32"/>
      <c r="O166" s="32"/>
      <c r="P166" s="32"/>
      <c r="Q166" s="34"/>
      <c r="R166" s="88" t="str">
        <f ca="1" t="shared" si="4"/>
        <v/>
      </c>
      <c r="S166" s="27"/>
      <c r="T166" s="27"/>
      <c r="U166" s="27"/>
      <c r="V166" s="35"/>
      <c r="W166" s="30"/>
      <c r="X166" s="33"/>
      <c r="Y166" s="36"/>
      <c r="Z166" s="37"/>
      <c r="AA166" s="27"/>
      <c r="AB166" s="27"/>
      <c r="AC166" s="27"/>
      <c r="AD166" s="27"/>
      <c r="AE166" s="27"/>
      <c r="AF166" s="27"/>
      <c r="AG166" s="90" t="b">
        <v>0</v>
      </c>
      <c r="AH166" s="91" t="b">
        <v>0</v>
      </c>
      <c r="AI166" s="91" t="b">
        <v>0</v>
      </c>
      <c r="AJ166" s="92" t="b">
        <v>0</v>
      </c>
      <c r="AK166" s="90"/>
      <c r="AL166" s="91"/>
      <c r="AM166" s="91"/>
      <c r="AN166" s="92"/>
      <c r="AO166" s="90"/>
      <c r="AP166" s="91"/>
      <c r="AQ166" s="91"/>
      <c r="AR166" s="92"/>
      <c r="AS166" s="90"/>
      <c r="AT166" s="91"/>
      <c r="AU166" s="91"/>
      <c r="AV166" s="92"/>
      <c r="AW166" s="90"/>
      <c r="AX166" s="91"/>
      <c r="AY166" s="93"/>
      <c r="AZ166" s="91"/>
      <c r="BA166" s="92"/>
      <c r="BB166" s="90"/>
      <c r="BC166" s="91"/>
      <c r="BD166" s="93"/>
      <c r="BE166" s="91"/>
      <c r="BF166" s="92"/>
      <c r="BG166" s="33">
        <f t="shared" si="2"/>
        <v>0</v>
      </c>
      <c r="BH166" s="27"/>
      <c r="BI166" s="27"/>
      <c r="BJ166" s="27"/>
    </row>
    <row r="167" ht="15.75" customHeight="1" spans="1:62">
      <c r="A167" s="29"/>
      <c r="B167" s="29"/>
      <c r="C167" s="29"/>
      <c r="D167" s="33">
        <v>158</v>
      </c>
      <c r="E167" s="31"/>
      <c r="F167" s="31"/>
      <c r="G167" s="32"/>
      <c r="H167" s="32"/>
      <c r="I167" s="33"/>
      <c r="J167" s="27" t="str">
        <f t="shared" si="0"/>
        <v/>
      </c>
      <c r="K167" s="32"/>
      <c r="L167" s="32"/>
      <c r="M167" s="32"/>
      <c r="N167" s="32"/>
      <c r="O167" s="32"/>
      <c r="P167" s="32"/>
      <c r="Q167" s="34"/>
      <c r="R167" s="88" t="str">
        <f ca="1" t="shared" si="4"/>
        <v/>
      </c>
      <c r="S167" s="27"/>
      <c r="T167" s="27"/>
      <c r="U167" s="27"/>
      <c r="V167" s="35"/>
      <c r="W167" s="30"/>
      <c r="X167" s="33"/>
      <c r="Y167" s="36"/>
      <c r="Z167" s="37"/>
      <c r="AA167" s="27"/>
      <c r="AB167" s="27"/>
      <c r="AC167" s="27"/>
      <c r="AD167" s="27"/>
      <c r="AE167" s="27"/>
      <c r="AF167" s="27"/>
      <c r="AG167" s="90" t="b">
        <v>0</v>
      </c>
      <c r="AH167" s="91" t="b">
        <v>0</v>
      </c>
      <c r="AI167" s="91" t="b">
        <v>0</v>
      </c>
      <c r="AJ167" s="92" t="b">
        <v>0</v>
      </c>
      <c r="AK167" s="90"/>
      <c r="AL167" s="91"/>
      <c r="AM167" s="91"/>
      <c r="AN167" s="92"/>
      <c r="AO167" s="90"/>
      <c r="AP167" s="91"/>
      <c r="AQ167" s="91"/>
      <c r="AR167" s="92"/>
      <c r="AS167" s="90"/>
      <c r="AT167" s="91"/>
      <c r="AU167" s="91"/>
      <c r="AV167" s="92"/>
      <c r="AW167" s="90"/>
      <c r="AX167" s="91"/>
      <c r="AY167" s="93"/>
      <c r="AZ167" s="91"/>
      <c r="BA167" s="92"/>
      <c r="BB167" s="90"/>
      <c r="BC167" s="91"/>
      <c r="BD167" s="93"/>
      <c r="BE167" s="91"/>
      <c r="BF167" s="92"/>
      <c r="BG167" s="33">
        <f t="shared" si="2"/>
        <v>0</v>
      </c>
      <c r="BH167" s="27"/>
      <c r="BI167" s="27"/>
      <c r="BJ167" s="27"/>
    </row>
    <row r="168" ht="15.75" customHeight="1" spans="1:62">
      <c r="A168" s="29"/>
      <c r="B168" s="29"/>
      <c r="C168" s="29"/>
      <c r="D168" s="33">
        <v>159</v>
      </c>
      <c r="E168" s="31"/>
      <c r="F168" s="31"/>
      <c r="G168" s="32"/>
      <c r="H168" s="32"/>
      <c r="I168" s="33"/>
      <c r="J168" s="27" t="str">
        <f t="shared" si="0"/>
        <v/>
      </c>
      <c r="K168" s="32"/>
      <c r="L168" s="32"/>
      <c r="M168" s="32"/>
      <c r="N168" s="32"/>
      <c r="O168" s="32"/>
      <c r="P168" s="32"/>
      <c r="Q168" s="34"/>
      <c r="R168" s="88" t="str">
        <f ca="1" t="shared" si="4"/>
        <v/>
      </c>
      <c r="S168" s="27"/>
      <c r="T168" s="27"/>
      <c r="U168" s="27"/>
      <c r="V168" s="35"/>
      <c r="W168" s="30"/>
      <c r="X168" s="33"/>
      <c r="Y168" s="36"/>
      <c r="Z168" s="37"/>
      <c r="AA168" s="27"/>
      <c r="AB168" s="27"/>
      <c r="AC168" s="27"/>
      <c r="AD168" s="27"/>
      <c r="AE168" s="27"/>
      <c r="AF168" s="27"/>
      <c r="AG168" s="90" t="b">
        <v>0</v>
      </c>
      <c r="AH168" s="91" t="b">
        <v>0</v>
      </c>
      <c r="AI168" s="91" t="b">
        <v>0</v>
      </c>
      <c r="AJ168" s="92" t="b">
        <v>0</v>
      </c>
      <c r="AK168" s="90"/>
      <c r="AL168" s="91"/>
      <c r="AM168" s="91"/>
      <c r="AN168" s="92"/>
      <c r="AO168" s="90"/>
      <c r="AP168" s="91"/>
      <c r="AQ168" s="91"/>
      <c r="AR168" s="92"/>
      <c r="AS168" s="90"/>
      <c r="AT168" s="91"/>
      <c r="AU168" s="91"/>
      <c r="AV168" s="92"/>
      <c r="AW168" s="90"/>
      <c r="AX168" s="91"/>
      <c r="AY168" s="93"/>
      <c r="AZ168" s="91"/>
      <c r="BA168" s="92"/>
      <c r="BB168" s="90"/>
      <c r="BC168" s="91"/>
      <c r="BD168" s="93"/>
      <c r="BE168" s="91"/>
      <c r="BF168" s="92"/>
      <c r="BG168" s="33">
        <f t="shared" si="2"/>
        <v>0</v>
      </c>
      <c r="BH168" s="27"/>
      <c r="BI168" s="27"/>
      <c r="BJ168" s="27"/>
    </row>
    <row r="169" ht="15.75" customHeight="1" spans="1:62">
      <c r="A169" s="29"/>
      <c r="B169" s="29"/>
      <c r="C169" s="29"/>
      <c r="D169" s="33">
        <v>160</v>
      </c>
      <c r="E169" s="31"/>
      <c r="F169" s="31"/>
      <c r="G169" s="32"/>
      <c r="H169" s="32"/>
      <c r="I169" s="33"/>
      <c r="J169" s="27" t="str">
        <f t="shared" si="0"/>
        <v/>
      </c>
      <c r="K169" s="32"/>
      <c r="L169" s="32"/>
      <c r="M169" s="32"/>
      <c r="N169" s="32"/>
      <c r="O169" s="32"/>
      <c r="P169" s="32"/>
      <c r="Q169" s="34"/>
      <c r="R169" s="88" t="str">
        <f ca="1" t="shared" si="4"/>
        <v/>
      </c>
      <c r="S169" s="27"/>
      <c r="T169" s="27"/>
      <c r="U169" s="27"/>
      <c r="V169" s="35"/>
      <c r="W169" s="30"/>
      <c r="X169" s="33"/>
      <c r="Y169" s="36"/>
      <c r="Z169" s="37"/>
      <c r="AA169" s="27"/>
      <c r="AB169" s="27"/>
      <c r="AC169" s="27"/>
      <c r="AD169" s="27"/>
      <c r="AE169" s="27"/>
      <c r="AF169" s="27"/>
      <c r="AG169" s="90" t="b">
        <v>0</v>
      </c>
      <c r="AH169" s="91" t="b">
        <v>0</v>
      </c>
      <c r="AI169" s="91" t="b">
        <v>0</v>
      </c>
      <c r="AJ169" s="92" t="b">
        <v>0</v>
      </c>
      <c r="AK169" s="90"/>
      <c r="AL169" s="91"/>
      <c r="AM169" s="91"/>
      <c r="AN169" s="92"/>
      <c r="AO169" s="90"/>
      <c r="AP169" s="91"/>
      <c r="AQ169" s="91"/>
      <c r="AR169" s="92"/>
      <c r="AS169" s="90"/>
      <c r="AT169" s="91"/>
      <c r="AU169" s="91"/>
      <c r="AV169" s="92"/>
      <c r="AW169" s="90"/>
      <c r="AX169" s="91"/>
      <c r="AY169" s="93"/>
      <c r="AZ169" s="91"/>
      <c r="BA169" s="92"/>
      <c r="BB169" s="90"/>
      <c r="BC169" s="91"/>
      <c r="BD169" s="93"/>
      <c r="BE169" s="91"/>
      <c r="BF169" s="92"/>
      <c r="BG169" s="33">
        <f t="shared" si="2"/>
        <v>0</v>
      </c>
      <c r="BH169" s="27"/>
      <c r="BI169" s="27"/>
      <c r="BJ169" s="27"/>
    </row>
    <row r="170" ht="15.75" customHeight="1" spans="1:62">
      <c r="A170" s="29"/>
      <c r="B170" s="29"/>
      <c r="C170" s="29"/>
      <c r="D170" s="33">
        <v>161</v>
      </c>
      <c r="E170" s="31"/>
      <c r="F170" s="31"/>
      <c r="G170" s="32"/>
      <c r="H170" s="32"/>
      <c r="I170" s="33"/>
      <c r="J170" s="27" t="str">
        <f t="shared" si="0"/>
        <v/>
      </c>
      <c r="K170" s="32"/>
      <c r="L170" s="32"/>
      <c r="M170" s="32"/>
      <c r="N170" s="32"/>
      <c r="O170" s="32"/>
      <c r="P170" s="32"/>
      <c r="Q170" s="34"/>
      <c r="R170" s="88" t="str">
        <f ca="1" t="shared" si="4"/>
        <v/>
      </c>
      <c r="S170" s="27"/>
      <c r="T170" s="27"/>
      <c r="U170" s="27"/>
      <c r="V170" s="35"/>
      <c r="W170" s="30"/>
      <c r="X170" s="33"/>
      <c r="Y170" s="36"/>
      <c r="Z170" s="37"/>
      <c r="AA170" s="27"/>
      <c r="AB170" s="27"/>
      <c r="AC170" s="27"/>
      <c r="AD170" s="27"/>
      <c r="AE170" s="27"/>
      <c r="AF170" s="27"/>
      <c r="AG170" s="90" t="b">
        <v>0</v>
      </c>
      <c r="AH170" s="91" t="b">
        <v>0</v>
      </c>
      <c r="AI170" s="91" t="b">
        <v>0</v>
      </c>
      <c r="AJ170" s="92" t="b">
        <v>0</v>
      </c>
      <c r="AK170" s="90"/>
      <c r="AL170" s="91"/>
      <c r="AM170" s="91"/>
      <c r="AN170" s="92"/>
      <c r="AO170" s="90"/>
      <c r="AP170" s="91"/>
      <c r="AQ170" s="91"/>
      <c r="AR170" s="92"/>
      <c r="AS170" s="90"/>
      <c r="AT170" s="91"/>
      <c r="AU170" s="91"/>
      <c r="AV170" s="92"/>
      <c r="AW170" s="90"/>
      <c r="AX170" s="91"/>
      <c r="AY170" s="93"/>
      <c r="AZ170" s="91"/>
      <c r="BA170" s="92"/>
      <c r="BB170" s="90"/>
      <c r="BC170" s="91"/>
      <c r="BD170" s="93"/>
      <c r="BE170" s="91"/>
      <c r="BF170" s="92"/>
      <c r="BG170" s="33">
        <f t="shared" si="2"/>
        <v>0</v>
      </c>
      <c r="BH170" s="27"/>
      <c r="BI170" s="27"/>
      <c r="BJ170" s="27"/>
    </row>
    <row r="171" ht="15.75" customHeight="1" spans="1:62">
      <c r="A171" s="29"/>
      <c r="B171" s="29"/>
      <c r="C171" s="29"/>
      <c r="D171" s="33">
        <v>162</v>
      </c>
      <c r="E171" s="31"/>
      <c r="F171" s="31"/>
      <c r="G171" s="32"/>
      <c r="H171" s="32"/>
      <c r="I171" s="33"/>
      <c r="J171" s="27" t="str">
        <f t="shared" si="0"/>
        <v/>
      </c>
      <c r="K171" s="32"/>
      <c r="L171" s="32"/>
      <c r="M171" s="32"/>
      <c r="N171" s="32"/>
      <c r="O171" s="32"/>
      <c r="P171" s="32"/>
      <c r="Q171" s="34"/>
      <c r="R171" s="88" t="str">
        <f ca="1" t="shared" si="4"/>
        <v/>
      </c>
      <c r="S171" s="27"/>
      <c r="T171" s="27"/>
      <c r="U171" s="27"/>
      <c r="V171" s="35"/>
      <c r="W171" s="30"/>
      <c r="X171" s="33"/>
      <c r="Y171" s="36"/>
      <c r="Z171" s="37"/>
      <c r="AA171" s="27"/>
      <c r="AB171" s="27"/>
      <c r="AC171" s="27"/>
      <c r="AD171" s="27"/>
      <c r="AE171" s="27"/>
      <c r="AF171" s="27"/>
      <c r="AG171" s="90" t="b">
        <v>0</v>
      </c>
      <c r="AH171" s="91" t="b">
        <v>0</v>
      </c>
      <c r="AI171" s="91" t="b">
        <v>0</v>
      </c>
      <c r="AJ171" s="92" t="b">
        <v>0</v>
      </c>
      <c r="AK171" s="90"/>
      <c r="AL171" s="91"/>
      <c r="AM171" s="91"/>
      <c r="AN171" s="92"/>
      <c r="AO171" s="90"/>
      <c r="AP171" s="91"/>
      <c r="AQ171" s="91"/>
      <c r="AR171" s="92"/>
      <c r="AS171" s="90"/>
      <c r="AT171" s="91"/>
      <c r="AU171" s="91"/>
      <c r="AV171" s="92"/>
      <c r="AW171" s="90"/>
      <c r="AX171" s="91"/>
      <c r="AY171" s="93"/>
      <c r="AZ171" s="91"/>
      <c r="BA171" s="92"/>
      <c r="BB171" s="90"/>
      <c r="BC171" s="91"/>
      <c r="BD171" s="93"/>
      <c r="BE171" s="91"/>
      <c r="BF171" s="92"/>
      <c r="BG171" s="33">
        <f t="shared" si="2"/>
        <v>0</v>
      </c>
      <c r="BH171" s="27"/>
      <c r="BI171" s="27"/>
      <c r="BJ171" s="27"/>
    </row>
    <row r="172" ht="15.75" customHeight="1" spans="1:62">
      <c r="A172" s="29"/>
      <c r="B172" s="29"/>
      <c r="C172" s="29"/>
      <c r="D172" s="33">
        <v>163</v>
      </c>
      <c r="E172" s="31"/>
      <c r="F172" s="31"/>
      <c r="G172" s="32"/>
      <c r="H172" s="32"/>
      <c r="I172" s="33"/>
      <c r="J172" s="27" t="str">
        <f t="shared" si="0"/>
        <v/>
      </c>
      <c r="K172" s="32"/>
      <c r="L172" s="32"/>
      <c r="M172" s="32"/>
      <c r="N172" s="32"/>
      <c r="O172" s="32"/>
      <c r="P172" s="32"/>
      <c r="Q172" s="34"/>
      <c r="R172" s="88" t="str">
        <f ca="1" t="shared" si="4"/>
        <v/>
      </c>
      <c r="S172" s="27"/>
      <c r="T172" s="27"/>
      <c r="U172" s="27"/>
      <c r="V172" s="35"/>
      <c r="W172" s="30"/>
      <c r="X172" s="33"/>
      <c r="Y172" s="36"/>
      <c r="Z172" s="37"/>
      <c r="AA172" s="27"/>
      <c r="AB172" s="27"/>
      <c r="AC172" s="27"/>
      <c r="AD172" s="27"/>
      <c r="AE172" s="27"/>
      <c r="AF172" s="27"/>
      <c r="AG172" s="90" t="b">
        <v>0</v>
      </c>
      <c r="AH172" s="91" t="b">
        <v>0</v>
      </c>
      <c r="AI172" s="91" t="b">
        <v>0</v>
      </c>
      <c r="AJ172" s="92" t="b">
        <v>0</v>
      </c>
      <c r="AK172" s="90"/>
      <c r="AL172" s="91"/>
      <c r="AM172" s="91"/>
      <c r="AN172" s="92"/>
      <c r="AO172" s="90"/>
      <c r="AP172" s="91"/>
      <c r="AQ172" s="91"/>
      <c r="AR172" s="92"/>
      <c r="AS172" s="90"/>
      <c r="AT172" s="91"/>
      <c r="AU172" s="91"/>
      <c r="AV172" s="92"/>
      <c r="AW172" s="90"/>
      <c r="AX172" s="91"/>
      <c r="AY172" s="93"/>
      <c r="AZ172" s="91"/>
      <c r="BA172" s="92"/>
      <c r="BB172" s="90"/>
      <c r="BC172" s="91"/>
      <c r="BD172" s="93"/>
      <c r="BE172" s="91"/>
      <c r="BF172" s="92"/>
      <c r="BG172" s="33">
        <f t="shared" si="2"/>
        <v>0</v>
      </c>
      <c r="BH172" s="27"/>
      <c r="BI172" s="27"/>
      <c r="BJ172" s="27"/>
    </row>
    <row r="173" ht="15.75" customHeight="1" spans="1:62">
      <c r="A173" s="29"/>
      <c r="B173" s="29"/>
      <c r="C173" s="29"/>
      <c r="D173" s="33">
        <v>164</v>
      </c>
      <c r="E173" s="31"/>
      <c r="F173" s="31"/>
      <c r="G173" s="32"/>
      <c r="H173" s="32"/>
      <c r="I173" s="33"/>
      <c r="J173" s="27" t="str">
        <f t="shared" si="0"/>
        <v/>
      </c>
      <c r="K173" s="32"/>
      <c r="L173" s="32"/>
      <c r="M173" s="32"/>
      <c r="N173" s="32"/>
      <c r="O173" s="32"/>
      <c r="P173" s="32"/>
      <c r="Q173" s="34"/>
      <c r="R173" s="88" t="str">
        <f ca="1" t="shared" si="4"/>
        <v/>
      </c>
      <c r="S173" s="27"/>
      <c r="T173" s="27"/>
      <c r="U173" s="27"/>
      <c r="V173" s="35"/>
      <c r="W173" s="30"/>
      <c r="X173" s="33"/>
      <c r="Y173" s="36"/>
      <c r="Z173" s="37"/>
      <c r="AA173" s="27"/>
      <c r="AB173" s="27"/>
      <c r="AC173" s="27"/>
      <c r="AD173" s="27"/>
      <c r="AE173" s="27"/>
      <c r="AF173" s="27"/>
      <c r="AG173" s="90" t="b">
        <v>0</v>
      </c>
      <c r="AH173" s="91" t="b">
        <v>0</v>
      </c>
      <c r="AI173" s="91" t="b">
        <v>0</v>
      </c>
      <c r="AJ173" s="92" t="b">
        <v>0</v>
      </c>
      <c r="AK173" s="90"/>
      <c r="AL173" s="91"/>
      <c r="AM173" s="91"/>
      <c r="AN173" s="92"/>
      <c r="AO173" s="90"/>
      <c r="AP173" s="91"/>
      <c r="AQ173" s="91"/>
      <c r="AR173" s="92"/>
      <c r="AS173" s="90"/>
      <c r="AT173" s="91"/>
      <c r="AU173" s="91"/>
      <c r="AV173" s="92"/>
      <c r="AW173" s="90"/>
      <c r="AX173" s="91"/>
      <c r="AY173" s="93"/>
      <c r="AZ173" s="91"/>
      <c r="BA173" s="92"/>
      <c r="BB173" s="90"/>
      <c r="BC173" s="91"/>
      <c r="BD173" s="93"/>
      <c r="BE173" s="91"/>
      <c r="BF173" s="92"/>
      <c r="BG173" s="33">
        <f t="shared" si="2"/>
        <v>0</v>
      </c>
      <c r="BH173" s="27"/>
      <c r="BI173" s="27"/>
      <c r="BJ173" s="27"/>
    </row>
    <row r="174" ht="15.75" customHeight="1" spans="1:62">
      <c r="A174" s="29"/>
      <c r="B174" s="29"/>
      <c r="C174" s="29"/>
      <c r="D174" s="33">
        <v>165</v>
      </c>
      <c r="E174" s="31"/>
      <c r="F174" s="31"/>
      <c r="G174" s="32"/>
      <c r="H174" s="32"/>
      <c r="I174" s="33"/>
      <c r="J174" s="27" t="str">
        <f t="shared" si="0"/>
        <v/>
      </c>
      <c r="K174" s="32"/>
      <c r="L174" s="32"/>
      <c r="M174" s="32"/>
      <c r="N174" s="32"/>
      <c r="O174" s="32"/>
      <c r="P174" s="32"/>
      <c r="Q174" s="34"/>
      <c r="R174" s="88" t="str">
        <f ca="1" t="shared" si="4"/>
        <v/>
      </c>
      <c r="S174" s="27"/>
      <c r="T174" s="27"/>
      <c r="U174" s="27"/>
      <c r="V174" s="35"/>
      <c r="W174" s="30"/>
      <c r="X174" s="33"/>
      <c r="Y174" s="36"/>
      <c r="Z174" s="37"/>
      <c r="AA174" s="27"/>
      <c r="AB174" s="27"/>
      <c r="AC174" s="27"/>
      <c r="AD174" s="27"/>
      <c r="AE174" s="27"/>
      <c r="AF174" s="27"/>
      <c r="AG174" s="90" t="b">
        <v>0</v>
      </c>
      <c r="AH174" s="91" t="b">
        <v>0</v>
      </c>
      <c r="AI174" s="91" t="b">
        <v>0</v>
      </c>
      <c r="AJ174" s="92" t="b">
        <v>0</v>
      </c>
      <c r="AK174" s="90"/>
      <c r="AL174" s="91"/>
      <c r="AM174" s="91"/>
      <c r="AN174" s="92"/>
      <c r="AO174" s="90"/>
      <c r="AP174" s="91"/>
      <c r="AQ174" s="91"/>
      <c r="AR174" s="92"/>
      <c r="AS174" s="90"/>
      <c r="AT174" s="91"/>
      <c r="AU174" s="91"/>
      <c r="AV174" s="92"/>
      <c r="AW174" s="90"/>
      <c r="AX174" s="91"/>
      <c r="AY174" s="93"/>
      <c r="AZ174" s="91"/>
      <c r="BA174" s="92"/>
      <c r="BB174" s="90"/>
      <c r="BC174" s="91"/>
      <c r="BD174" s="93"/>
      <c r="BE174" s="91"/>
      <c r="BF174" s="92"/>
      <c r="BG174" s="33">
        <f t="shared" si="2"/>
        <v>0</v>
      </c>
      <c r="BH174" s="27"/>
      <c r="BI174" s="27"/>
      <c r="BJ174" s="27"/>
    </row>
    <row r="175" ht="15.75" customHeight="1" spans="1:62">
      <c r="A175" s="29"/>
      <c r="B175" s="29"/>
      <c r="C175" s="29"/>
      <c r="D175" s="33">
        <v>166</v>
      </c>
      <c r="E175" s="31"/>
      <c r="F175" s="31"/>
      <c r="G175" s="32"/>
      <c r="H175" s="32"/>
      <c r="I175" s="33"/>
      <c r="J175" s="27" t="str">
        <f t="shared" si="0"/>
        <v/>
      </c>
      <c r="K175" s="32"/>
      <c r="L175" s="32"/>
      <c r="M175" s="32"/>
      <c r="N175" s="32"/>
      <c r="O175" s="32"/>
      <c r="P175" s="32"/>
      <c r="Q175" s="34"/>
      <c r="R175" s="88" t="str">
        <f ca="1" t="shared" si="4"/>
        <v/>
      </c>
      <c r="S175" s="27"/>
      <c r="T175" s="27"/>
      <c r="U175" s="27"/>
      <c r="V175" s="35"/>
      <c r="W175" s="30"/>
      <c r="X175" s="33"/>
      <c r="Y175" s="36"/>
      <c r="Z175" s="37"/>
      <c r="AA175" s="27"/>
      <c r="AB175" s="27"/>
      <c r="AC175" s="27"/>
      <c r="AD175" s="27"/>
      <c r="AE175" s="27"/>
      <c r="AF175" s="27"/>
      <c r="AG175" s="90" t="b">
        <v>0</v>
      </c>
      <c r="AH175" s="91" t="b">
        <v>0</v>
      </c>
      <c r="AI175" s="91" t="b">
        <v>0</v>
      </c>
      <c r="AJ175" s="92" t="b">
        <v>0</v>
      </c>
      <c r="AK175" s="90"/>
      <c r="AL175" s="91"/>
      <c r="AM175" s="91"/>
      <c r="AN175" s="92"/>
      <c r="AO175" s="90"/>
      <c r="AP175" s="91"/>
      <c r="AQ175" s="91"/>
      <c r="AR175" s="92"/>
      <c r="AS175" s="90"/>
      <c r="AT175" s="91"/>
      <c r="AU175" s="91"/>
      <c r="AV175" s="92"/>
      <c r="AW175" s="90"/>
      <c r="AX175" s="91"/>
      <c r="AY175" s="93"/>
      <c r="AZ175" s="91"/>
      <c r="BA175" s="92"/>
      <c r="BB175" s="90"/>
      <c r="BC175" s="91"/>
      <c r="BD175" s="93"/>
      <c r="BE175" s="91"/>
      <c r="BF175" s="92"/>
      <c r="BG175" s="33">
        <f t="shared" si="2"/>
        <v>0</v>
      </c>
      <c r="BH175" s="27"/>
      <c r="BI175" s="27"/>
      <c r="BJ175" s="27"/>
    </row>
    <row r="176" ht="15.75" customHeight="1" spans="1:62">
      <c r="A176" s="29"/>
      <c r="B176" s="29"/>
      <c r="C176" s="29"/>
      <c r="D176" s="33">
        <v>167</v>
      </c>
      <c r="E176" s="31"/>
      <c r="F176" s="31"/>
      <c r="G176" s="32"/>
      <c r="H176" s="32"/>
      <c r="I176" s="33"/>
      <c r="J176" s="27" t="str">
        <f t="shared" si="0"/>
        <v/>
      </c>
      <c r="K176" s="32"/>
      <c r="L176" s="32"/>
      <c r="M176" s="32"/>
      <c r="N176" s="32"/>
      <c r="O176" s="32"/>
      <c r="P176" s="32"/>
      <c r="Q176" s="34"/>
      <c r="R176" s="88" t="str">
        <f ca="1" t="shared" si="4"/>
        <v/>
      </c>
      <c r="S176" s="27"/>
      <c r="T176" s="27"/>
      <c r="U176" s="27"/>
      <c r="V176" s="35"/>
      <c r="W176" s="30"/>
      <c r="X176" s="33"/>
      <c r="Y176" s="36"/>
      <c r="Z176" s="37"/>
      <c r="AA176" s="27"/>
      <c r="AB176" s="27"/>
      <c r="AC176" s="27"/>
      <c r="AD176" s="27"/>
      <c r="AE176" s="27"/>
      <c r="AF176" s="27"/>
      <c r="AG176" s="90" t="b">
        <v>0</v>
      </c>
      <c r="AH176" s="91" t="b">
        <v>0</v>
      </c>
      <c r="AI176" s="91" t="b">
        <v>0</v>
      </c>
      <c r="AJ176" s="92" t="b">
        <v>0</v>
      </c>
      <c r="AK176" s="90"/>
      <c r="AL176" s="91"/>
      <c r="AM176" s="91"/>
      <c r="AN176" s="92"/>
      <c r="AO176" s="90"/>
      <c r="AP176" s="91"/>
      <c r="AQ176" s="91"/>
      <c r="AR176" s="92"/>
      <c r="AS176" s="90"/>
      <c r="AT176" s="91"/>
      <c r="AU176" s="91"/>
      <c r="AV176" s="92"/>
      <c r="AW176" s="90"/>
      <c r="AX176" s="91"/>
      <c r="AY176" s="93"/>
      <c r="AZ176" s="91"/>
      <c r="BA176" s="92"/>
      <c r="BB176" s="90"/>
      <c r="BC176" s="91"/>
      <c r="BD176" s="93"/>
      <c r="BE176" s="91"/>
      <c r="BF176" s="92"/>
      <c r="BG176" s="33">
        <f t="shared" si="2"/>
        <v>0</v>
      </c>
      <c r="BH176" s="27"/>
      <c r="BI176" s="27"/>
      <c r="BJ176" s="27"/>
    </row>
    <row r="177" ht="15.75" customHeight="1" spans="1:62">
      <c r="A177" s="29"/>
      <c r="B177" s="29"/>
      <c r="C177" s="29"/>
      <c r="D177" s="33">
        <v>168</v>
      </c>
      <c r="E177" s="31"/>
      <c r="F177" s="31"/>
      <c r="G177" s="32"/>
      <c r="H177" s="32"/>
      <c r="I177" s="33"/>
      <c r="J177" s="27" t="str">
        <f t="shared" si="0"/>
        <v/>
      </c>
      <c r="K177" s="32"/>
      <c r="L177" s="32"/>
      <c r="M177" s="32"/>
      <c r="N177" s="32"/>
      <c r="O177" s="32"/>
      <c r="P177" s="32"/>
      <c r="Q177" s="34"/>
      <c r="R177" s="88" t="str">
        <f ca="1" t="shared" si="4"/>
        <v/>
      </c>
      <c r="S177" s="27"/>
      <c r="T177" s="27"/>
      <c r="U177" s="27"/>
      <c r="V177" s="35"/>
      <c r="W177" s="30"/>
      <c r="X177" s="33"/>
      <c r="Y177" s="36"/>
      <c r="Z177" s="37"/>
      <c r="AA177" s="27"/>
      <c r="AB177" s="27"/>
      <c r="AC177" s="27"/>
      <c r="AD177" s="27"/>
      <c r="AE177" s="27"/>
      <c r="AF177" s="27"/>
      <c r="AG177" s="90" t="b">
        <v>0</v>
      </c>
      <c r="AH177" s="91" t="b">
        <v>0</v>
      </c>
      <c r="AI177" s="91" t="b">
        <v>0</v>
      </c>
      <c r="AJ177" s="92" t="b">
        <v>0</v>
      </c>
      <c r="AK177" s="90"/>
      <c r="AL177" s="91"/>
      <c r="AM177" s="91"/>
      <c r="AN177" s="92"/>
      <c r="AO177" s="90"/>
      <c r="AP177" s="91"/>
      <c r="AQ177" s="91"/>
      <c r="AR177" s="92"/>
      <c r="AS177" s="90"/>
      <c r="AT177" s="91"/>
      <c r="AU177" s="91"/>
      <c r="AV177" s="92"/>
      <c r="AW177" s="90"/>
      <c r="AX177" s="91"/>
      <c r="AY177" s="93"/>
      <c r="AZ177" s="91"/>
      <c r="BA177" s="92"/>
      <c r="BB177" s="90"/>
      <c r="BC177" s="91"/>
      <c r="BD177" s="93"/>
      <c r="BE177" s="91"/>
      <c r="BF177" s="92"/>
      <c r="BG177" s="33">
        <f t="shared" si="2"/>
        <v>0</v>
      </c>
      <c r="BH177" s="27"/>
      <c r="BI177" s="27"/>
      <c r="BJ177" s="27"/>
    </row>
    <row r="178" ht="15.75" customHeight="1" spans="1:62">
      <c r="A178" s="29"/>
      <c r="B178" s="29"/>
      <c r="C178" s="29"/>
      <c r="D178" s="33">
        <v>169</v>
      </c>
      <c r="E178" s="31"/>
      <c r="F178" s="31"/>
      <c r="G178" s="32"/>
      <c r="H178" s="32"/>
      <c r="I178" s="33"/>
      <c r="J178" s="27" t="str">
        <f t="shared" si="0"/>
        <v/>
      </c>
      <c r="K178" s="32"/>
      <c r="L178" s="32"/>
      <c r="M178" s="32"/>
      <c r="N178" s="32"/>
      <c r="O178" s="32"/>
      <c r="P178" s="32"/>
      <c r="Q178" s="34"/>
      <c r="R178" s="88" t="str">
        <f ca="1" t="shared" si="4"/>
        <v/>
      </c>
      <c r="S178" s="27"/>
      <c r="T178" s="27"/>
      <c r="U178" s="27"/>
      <c r="V178" s="35"/>
      <c r="W178" s="30"/>
      <c r="X178" s="33"/>
      <c r="Y178" s="36"/>
      <c r="Z178" s="37"/>
      <c r="AA178" s="27"/>
      <c r="AB178" s="27"/>
      <c r="AC178" s="27"/>
      <c r="AD178" s="27"/>
      <c r="AE178" s="27"/>
      <c r="AF178" s="27"/>
      <c r="AG178" s="90" t="b">
        <v>0</v>
      </c>
      <c r="AH178" s="91" t="b">
        <v>0</v>
      </c>
      <c r="AI178" s="91" t="b">
        <v>0</v>
      </c>
      <c r="AJ178" s="92" t="b">
        <v>0</v>
      </c>
      <c r="AK178" s="90"/>
      <c r="AL178" s="91"/>
      <c r="AM178" s="91"/>
      <c r="AN178" s="92"/>
      <c r="AO178" s="90"/>
      <c r="AP178" s="91"/>
      <c r="AQ178" s="91"/>
      <c r="AR178" s="92"/>
      <c r="AS178" s="90"/>
      <c r="AT178" s="91"/>
      <c r="AU178" s="91"/>
      <c r="AV178" s="92"/>
      <c r="AW178" s="90"/>
      <c r="AX178" s="91"/>
      <c r="AY178" s="93"/>
      <c r="AZ178" s="91"/>
      <c r="BA178" s="92"/>
      <c r="BB178" s="90"/>
      <c r="BC178" s="91"/>
      <c r="BD178" s="93"/>
      <c r="BE178" s="91"/>
      <c r="BF178" s="92"/>
      <c r="BG178" s="33">
        <f t="shared" si="2"/>
        <v>0</v>
      </c>
      <c r="BH178" s="27"/>
      <c r="BI178" s="27"/>
      <c r="BJ178" s="27"/>
    </row>
    <row r="179" ht="15.75" customHeight="1" spans="1:62">
      <c r="A179" s="29"/>
      <c r="B179" s="29"/>
      <c r="C179" s="29"/>
      <c r="D179" s="33">
        <v>170</v>
      </c>
      <c r="E179" s="31"/>
      <c r="F179" s="31"/>
      <c r="G179" s="32"/>
      <c r="H179" s="32"/>
      <c r="I179" s="33"/>
      <c r="J179" s="27" t="str">
        <f t="shared" si="0"/>
        <v/>
      </c>
      <c r="K179" s="32"/>
      <c r="L179" s="32"/>
      <c r="M179" s="32"/>
      <c r="N179" s="32"/>
      <c r="O179" s="32"/>
      <c r="P179" s="32"/>
      <c r="Q179" s="34"/>
      <c r="R179" s="88" t="str">
        <f ca="1" t="shared" si="4"/>
        <v/>
      </c>
      <c r="S179" s="27"/>
      <c r="T179" s="27"/>
      <c r="U179" s="27"/>
      <c r="V179" s="35"/>
      <c r="W179" s="30"/>
      <c r="X179" s="33"/>
      <c r="Y179" s="36"/>
      <c r="Z179" s="37"/>
      <c r="AA179" s="27"/>
      <c r="AB179" s="27"/>
      <c r="AC179" s="27"/>
      <c r="AD179" s="27"/>
      <c r="AE179" s="27"/>
      <c r="AF179" s="27"/>
      <c r="AG179" s="90" t="b">
        <v>0</v>
      </c>
      <c r="AH179" s="91" t="b">
        <v>0</v>
      </c>
      <c r="AI179" s="91" t="b">
        <v>0</v>
      </c>
      <c r="AJ179" s="92" t="b">
        <v>0</v>
      </c>
      <c r="AK179" s="90"/>
      <c r="AL179" s="91"/>
      <c r="AM179" s="91"/>
      <c r="AN179" s="92"/>
      <c r="AO179" s="90"/>
      <c r="AP179" s="91"/>
      <c r="AQ179" s="91"/>
      <c r="AR179" s="92"/>
      <c r="AS179" s="90"/>
      <c r="AT179" s="91"/>
      <c r="AU179" s="91"/>
      <c r="AV179" s="92"/>
      <c r="AW179" s="90"/>
      <c r="AX179" s="91"/>
      <c r="AY179" s="93"/>
      <c r="AZ179" s="91"/>
      <c r="BA179" s="92"/>
      <c r="BB179" s="90"/>
      <c r="BC179" s="91"/>
      <c r="BD179" s="93"/>
      <c r="BE179" s="91"/>
      <c r="BF179" s="92"/>
      <c r="BG179" s="33">
        <f t="shared" si="2"/>
        <v>0</v>
      </c>
      <c r="BH179" s="27"/>
      <c r="BI179" s="27"/>
      <c r="BJ179" s="27"/>
    </row>
    <row r="180" ht="15.75" customHeight="1" spans="1:62">
      <c r="A180" s="29"/>
      <c r="B180" s="29"/>
      <c r="C180" s="29"/>
      <c r="D180" s="33">
        <v>171</v>
      </c>
      <c r="E180" s="31"/>
      <c r="F180" s="31"/>
      <c r="G180" s="32"/>
      <c r="H180" s="32"/>
      <c r="I180" s="33"/>
      <c r="J180" s="27" t="str">
        <f t="shared" si="0"/>
        <v/>
      </c>
      <c r="K180" s="32"/>
      <c r="L180" s="32"/>
      <c r="M180" s="32"/>
      <c r="N180" s="32"/>
      <c r="O180" s="32"/>
      <c r="P180" s="32"/>
      <c r="Q180" s="34"/>
      <c r="R180" s="88" t="str">
        <f ca="1" t="shared" si="4"/>
        <v/>
      </c>
      <c r="S180" s="27"/>
      <c r="T180" s="27"/>
      <c r="U180" s="27"/>
      <c r="V180" s="35"/>
      <c r="W180" s="30"/>
      <c r="X180" s="33"/>
      <c r="Y180" s="36"/>
      <c r="Z180" s="37"/>
      <c r="AA180" s="27"/>
      <c r="AB180" s="27"/>
      <c r="AC180" s="27"/>
      <c r="AD180" s="27"/>
      <c r="AE180" s="27"/>
      <c r="AF180" s="27"/>
      <c r="AG180" s="90" t="b">
        <v>0</v>
      </c>
      <c r="AH180" s="91" t="b">
        <v>0</v>
      </c>
      <c r="AI180" s="91" t="b">
        <v>0</v>
      </c>
      <c r="AJ180" s="92" t="b">
        <v>0</v>
      </c>
      <c r="AK180" s="90"/>
      <c r="AL180" s="91"/>
      <c r="AM180" s="91"/>
      <c r="AN180" s="92"/>
      <c r="AO180" s="90"/>
      <c r="AP180" s="91"/>
      <c r="AQ180" s="91"/>
      <c r="AR180" s="92"/>
      <c r="AS180" s="90"/>
      <c r="AT180" s="91"/>
      <c r="AU180" s="91"/>
      <c r="AV180" s="92"/>
      <c r="AW180" s="90"/>
      <c r="AX180" s="91"/>
      <c r="AY180" s="93"/>
      <c r="AZ180" s="91"/>
      <c r="BA180" s="92"/>
      <c r="BB180" s="90"/>
      <c r="BC180" s="91"/>
      <c r="BD180" s="93"/>
      <c r="BE180" s="91"/>
      <c r="BF180" s="92"/>
      <c r="BG180" s="33">
        <f t="shared" si="2"/>
        <v>0</v>
      </c>
      <c r="BH180" s="27"/>
      <c r="BI180" s="27"/>
      <c r="BJ180" s="27"/>
    </row>
    <row r="181" ht="15.75" customHeight="1" spans="1:62">
      <c r="A181" s="29"/>
      <c r="B181" s="29"/>
      <c r="C181" s="29"/>
      <c r="D181" s="33">
        <v>172</v>
      </c>
      <c r="E181" s="31"/>
      <c r="F181" s="31"/>
      <c r="G181" s="32"/>
      <c r="H181" s="32"/>
      <c r="I181" s="33"/>
      <c r="J181" s="27" t="str">
        <f t="shared" si="0"/>
        <v/>
      </c>
      <c r="K181" s="32"/>
      <c r="L181" s="32"/>
      <c r="M181" s="32"/>
      <c r="N181" s="32"/>
      <c r="O181" s="32"/>
      <c r="P181" s="32"/>
      <c r="Q181" s="34"/>
      <c r="R181" s="88" t="str">
        <f ca="1" t="shared" si="4"/>
        <v/>
      </c>
      <c r="S181" s="27"/>
      <c r="T181" s="27"/>
      <c r="U181" s="27"/>
      <c r="V181" s="35"/>
      <c r="W181" s="30"/>
      <c r="X181" s="33"/>
      <c r="Y181" s="36"/>
      <c r="Z181" s="37"/>
      <c r="AA181" s="27"/>
      <c r="AB181" s="27"/>
      <c r="AC181" s="27"/>
      <c r="AD181" s="27"/>
      <c r="AE181" s="27"/>
      <c r="AF181" s="27"/>
      <c r="AG181" s="90" t="b">
        <v>0</v>
      </c>
      <c r="AH181" s="91" t="b">
        <v>0</v>
      </c>
      <c r="AI181" s="91" t="b">
        <v>0</v>
      </c>
      <c r="AJ181" s="92" t="b">
        <v>0</v>
      </c>
      <c r="AK181" s="90"/>
      <c r="AL181" s="91"/>
      <c r="AM181" s="91"/>
      <c r="AN181" s="92"/>
      <c r="AO181" s="90"/>
      <c r="AP181" s="91"/>
      <c r="AQ181" s="91"/>
      <c r="AR181" s="92"/>
      <c r="AS181" s="90"/>
      <c r="AT181" s="91"/>
      <c r="AU181" s="91"/>
      <c r="AV181" s="92"/>
      <c r="AW181" s="90"/>
      <c r="AX181" s="91"/>
      <c r="AY181" s="93"/>
      <c r="AZ181" s="91"/>
      <c r="BA181" s="92"/>
      <c r="BB181" s="90"/>
      <c r="BC181" s="91"/>
      <c r="BD181" s="93"/>
      <c r="BE181" s="91"/>
      <c r="BF181" s="92"/>
      <c r="BG181" s="33">
        <f t="shared" si="2"/>
        <v>0</v>
      </c>
      <c r="BH181" s="27"/>
      <c r="BI181" s="27"/>
      <c r="BJ181" s="27"/>
    </row>
    <row r="182" ht="15.75" customHeight="1" spans="1:62">
      <c r="A182" s="29"/>
      <c r="B182" s="29"/>
      <c r="C182" s="29"/>
      <c r="D182" s="33">
        <v>173</v>
      </c>
      <c r="E182" s="31"/>
      <c r="F182" s="31"/>
      <c r="G182" s="32"/>
      <c r="H182" s="32"/>
      <c r="I182" s="33"/>
      <c r="J182" s="27" t="str">
        <f t="shared" si="0"/>
        <v/>
      </c>
      <c r="K182" s="32"/>
      <c r="L182" s="32"/>
      <c r="M182" s="32"/>
      <c r="N182" s="32"/>
      <c r="O182" s="32"/>
      <c r="P182" s="32"/>
      <c r="Q182" s="34"/>
      <c r="R182" s="88" t="str">
        <f ca="1" t="shared" si="4"/>
        <v/>
      </c>
      <c r="S182" s="27"/>
      <c r="T182" s="27"/>
      <c r="U182" s="27"/>
      <c r="V182" s="35"/>
      <c r="W182" s="30"/>
      <c r="X182" s="33"/>
      <c r="Y182" s="36"/>
      <c r="Z182" s="37"/>
      <c r="AA182" s="27"/>
      <c r="AB182" s="27"/>
      <c r="AC182" s="27"/>
      <c r="AD182" s="27"/>
      <c r="AE182" s="27"/>
      <c r="AF182" s="27"/>
      <c r="AG182" s="90" t="b">
        <v>0</v>
      </c>
      <c r="AH182" s="91" t="b">
        <v>0</v>
      </c>
      <c r="AI182" s="91" t="b">
        <v>0</v>
      </c>
      <c r="AJ182" s="92" t="b">
        <v>0</v>
      </c>
      <c r="AK182" s="90"/>
      <c r="AL182" s="91"/>
      <c r="AM182" s="91"/>
      <c r="AN182" s="92"/>
      <c r="AO182" s="90"/>
      <c r="AP182" s="91"/>
      <c r="AQ182" s="91"/>
      <c r="AR182" s="92"/>
      <c r="AS182" s="90"/>
      <c r="AT182" s="91"/>
      <c r="AU182" s="91"/>
      <c r="AV182" s="92"/>
      <c r="AW182" s="90"/>
      <c r="AX182" s="91"/>
      <c r="AY182" s="93"/>
      <c r="AZ182" s="91"/>
      <c r="BA182" s="92"/>
      <c r="BB182" s="90"/>
      <c r="BC182" s="91"/>
      <c r="BD182" s="93"/>
      <c r="BE182" s="91"/>
      <c r="BF182" s="92"/>
      <c r="BG182" s="33">
        <f t="shared" si="2"/>
        <v>0</v>
      </c>
      <c r="BH182" s="27"/>
      <c r="BI182" s="27"/>
      <c r="BJ182" s="27"/>
    </row>
    <row r="183" ht="15.75" customHeight="1" spans="1:62">
      <c r="A183" s="29"/>
      <c r="B183" s="29"/>
      <c r="C183" s="29"/>
      <c r="D183" s="33">
        <v>174</v>
      </c>
      <c r="E183" s="31"/>
      <c r="F183" s="31"/>
      <c r="G183" s="32"/>
      <c r="H183" s="32"/>
      <c r="I183" s="33"/>
      <c r="J183" s="27" t="str">
        <f t="shared" si="0"/>
        <v/>
      </c>
      <c r="K183" s="32"/>
      <c r="L183" s="32"/>
      <c r="M183" s="32"/>
      <c r="N183" s="32"/>
      <c r="O183" s="32"/>
      <c r="P183" s="32"/>
      <c r="Q183" s="34"/>
      <c r="R183" s="88" t="str">
        <f ca="1" t="shared" si="4"/>
        <v/>
      </c>
      <c r="S183" s="27"/>
      <c r="T183" s="27"/>
      <c r="U183" s="27"/>
      <c r="V183" s="35"/>
      <c r="W183" s="30"/>
      <c r="X183" s="33"/>
      <c r="Y183" s="36"/>
      <c r="Z183" s="37"/>
      <c r="AA183" s="27"/>
      <c r="AB183" s="27"/>
      <c r="AC183" s="27"/>
      <c r="AD183" s="27"/>
      <c r="AE183" s="27"/>
      <c r="AF183" s="27"/>
      <c r="AG183" s="90" t="b">
        <v>0</v>
      </c>
      <c r="AH183" s="91" t="b">
        <v>0</v>
      </c>
      <c r="AI183" s="91" t="b">
        <v>0</v>
      </c>
      <c r="AJ183" s="92" t="b">
        <v>0</v>
      </c>
      <c r="AK183" s="90"/>
      <c r="AL183" s="91"/>
      <c r="AM183" s="91"/>
      <c r="AN183" s="92"/>
      <c r="AO183" s="90"/>
      <c r="AP183" s="91"/>
      <c r="AQ183" s="91"/>
      <c r="AR183" s="92"/>
      <c r="AS183" s="90"/>
      <c r="AT183" s="91"/>
      <c r="AU183" s="91"/>
      <c r="AV183" s="92"/>
      <c r="AW183" s="90"/>
      <c r="AX183" s="91"/>
      <c r="AY183" s="93"/>
      <c r="AZ183" s="91"/>
      <c r="BA183" s="92"/>
      <c r="BB183" s="90"/>
      <c r="BC183" s="91"/>
      <c r="BD183" s="93"/>
      <c r="BE183" s="91"/>
      <c r="BF183" s="92"/>
      <c r="BG183" s="33">
        <f t="shared" si="2"/>
        <v>0</v>
      </c>
      <c r="BH183" s="27"/>
      <c r="BI183" s="27"/>
      <c r="BJ183" s="27"/>
    </row>
    <row r="184" ht="15.75" customHeight="1" spans="1:62">
      <c r="A184" s="29"/>
      <c r="B184" s="29"/>
      <c r="C184" s="29"/>
      <c r="D184" s="33">
        <v>175</v>
      </c>
      <c r="E184" s="31"/>
      <c r="F184" s="31"/>
      <c r="G184" s="32"/>
      <c r="H184" s="32"/>
      <c r="I184" s="33"/>
      <c r="J184" s="27" t="str">
        <f t="shared" si="0"/>
        <v/>
      </c>
      <c r="K184" s="32"/>
      <c r="L184" s="32"/>
      <c r="M184" s="32"/>
      <c r="N184" s="32"/>
      <c r="O184" s="32"/>
      <c r="P184" s="32"/>
      <c r="Q184" s="34"/>
      <c r="R184" s="88" t="str">
        <f ca="1" t="shared" si="4"/>
        <v/>
      </c>
      <c r="S184" s="27"/>
      <c r="T184" s="27"/>
      <c r="U184" s="27"/>
      <c r="V184" s="35"/>
      <c r="W184" s="30"/>
      <c r="X184" s="33"/>
      <c r="Y184" s="36"/>
      <c r="Z184" s="37"/>
      <c r="AA184" s="27"/>
      <c r="AB184" s="27"/>
      <c r="AC184" s="27"/>
      <c r="AD184" s="27"/>
      <c r="AE184" s="27"/>
      <c r="AF184" s="27"/>
      <c r="AG184" s="90" t="b">
        <v>0</v>
      </c>
      <c r="AH184" s="91" t="b">
        <v>0</v>
      </c>
      <c r="AI184" s="91" t="b">
        <v>0</v>
      </c>
      <c r="AJ184" s="92" t="b">
        <v>0</v>
      </c>
      <c r="AK184" s="90"/>
      <c r="AL184" s="91"/>
      <c r="AM184" s="91"/>
      <c r="AN184" s="92"/>
      <c r="AO184" s="90"/>
      <c r="AP184" s="91"/>
      <c r="AQ184" s="91"/>
      <c r="AR184" s="92"/>
      <c r="AS184" s="90"/>
      <c r="AT184" s="91"/>
      <c r="AU184" s="91"/>
      <c r="AV184" s="92"/>
      <c r="AW184" s="90"/>
      <c r="AX184" s="91"/>
      <c r="AY184" s="93"/>
      <c r="AZ184" s="91"/>
      <c r="BA184" s="92"/>
      <c r="BB184" s="90"/>
      <c r="BC184" s="91"/>
      <c r="BD184" s="93"/>
      <c r="BE184" s="91"/>
      <c r="BF184" s="92"/>
      <c r="BG184" s="33">
        <f t="shared" si="2"/>
        <v>0</v>
      </c>
      <c r="BH184" s="27"/>
      <c r="BI184" s="27"/>
      <c r="BJ184" s="27"/>
    </row>
    <row r="185" ht="15.75" customHeight="1" spans="1:62">
      <c r="A185" s="29"/>
      <c r="B185" s="29"/>
      <c r="C185" s="29"/>
      <c r="D185" s="33">
        <v>176</v>
      </c>
      <c r="E185" s="31"/>
      <c r="F185" s="31"/>
      <c r="G185" s="32"/>
      <c r="H185" s="32"/>
      <c r="I185" s="33"/>
      <c r="J185" s="27" t="str">
        <f t="shared" si="0"/>
        <v/>
      </c>
      <c r="K185" s="32"/>
      <c r="L185" s="32"/>
      <c r="M185" s="32"/>
      <c r="N185" s="32"/>
      <c r="O185" s="32"/>
      <c r="P185" s="32"/>
      <c r="Q185" s="34"/>
      <c r="R185" s="88" t="str">
        <f ca="1" t="shared" si="4"/>
        <v/>
      </c>
      <c r="S185" s="27"/>
      <c r="T185" s="27"/>
      <c r="U185" s="27"/>
      <c r="V185" s="35"/>
      <c r="W185" s="30"/>
      <c r="X185" s="33"/>
      <c r="Y185" s="36"/>
      <c r="Z185" s="37"/>
      <c r="AA185" s="27"/>
      <c r="AB185" s="27"/>
      <c r="AC185" s="27"/>
      <c r="AD185" s="27"/>
      <c r="AE185" s="27"/>
      <c r="AF185" s="27"/>
      <c r="AG185" s="90" t="b">
        <v>0</v>
      </c>
      <c r="AH185" s="91" t="b">
        <v>0</v>
      </c>
      <c r="AI185" s="91" t="b">
        <v>0</v>
      </c>
      <c r="AJ185" s="92" t="b">
        <v>0</v>
      </c>
      <c r="AK185" s="90"/>
      <c r="AL185" s="91"/>
      <c r="AM185" s="91"/>
      <c r="AN185" s="92"/>
      <c r="AO185" s="90"/>
      <c r="AP185" s="91"/>
      <c r="AQ185" s="91"/>
      <c r="AR185" s="92"/>
      <c r="AS185" s="90"/>
      <c r="AT185" s="91"/>
      <c r="AU185" s="91"/>
      <c r="AV185" s="92"/>
      <c r="AW185" s="90"/>
      <c r="AX185" s="91"/>
      <c r="AY185" s="93"/>
      <c r="AZ185" s="91"/>
      <c r="BA185" s="92"/>
      <c r="BB185" s="90"/>
      <c r="BC185" s="91"/>
      <c r="BD185" s="93"/>
      <c r="BE185" s="91"/>
      <c r="BF185" s="92"/>
      <c r="BG185" s="33">
        <f t="shared" si="2"/>
        <v>0</v>
      </c>
      <c r="BH185" s="27"/>
      <c r="BI185" s="27"/>
      <c r="BJ185" s="27"/>
    </row>
    <row r="186" ht="15.75" customHeight="1" spans="1:62">
      <c r="A186" s="29"/>
      <c r="B186" s="29"/>
      <c r="C186" s="29"/>
      <c r="D186" s="33">
        <v>177</v>
      </c>
      <c r="E186" s="31"/>
      <c r="F186" s="31"/>
      <c r="G186" s="32"/>
      <c r="H186" s="32"/>
      <c r="I186" s="33"/>
      <c r="J186" s="27" t="str">
        <f t="shared" si="0"/>
        <v/>
      </c>
      <c r="K186" s="32"/>
      <c r="L186" s="32"/>
      <c r="M186" s="32"/>
      <c r="N186" s="32"/>
      <c r="O186" s="32"/>
      <c r="P186" s="32"/>
      <c r="Q186" s="34"/>
      <c r="R186" s="88" t="str">
        <f ca="1" t="shared" si="4"/>
        <v/>
      </c>
      <c r="S186" s="27"/>
      <c r="T186" s="27"/>
      <c r="U186" s="27"/>
      <c r="V186" s="35"/>
      <c r="W186" s="30"/>
      <c r="X186" s="33"/>
      <c r="Y186" s="36"/>
      <c r="Z186" s="37"/>
      <c r="AA186" s="27"/>
      <c r="AB186" s="27"/>
      <c r="AC186" s="27"/>
      <c r="AD186" s="27"/>
      <c r="AE186" s="27"/>
      <c r="AF186" s="27"/>
      <c r="AG186" s="90" t="b">
        <v>0</v>
      </c>
      <c r="AH186" s="91" t="b">
        <v>0</v>
      </c>
      <c r="AI186" s="91" t="b">
        <v>0</v>
      </c>
      <c r="AJ186" s="92" t="b">
        <v>0</v>
      </c>
      <c r="AK186" s="90"/>
      <c r="AL186" s="91"/>
      <c r="AM186" s="91"/>
      <c r="AN186" s="92"/>
      <c r="AO186" s="90"/>
      <c r="AP186" s="91"/>
      <c r="AQ186" s="91"/>
      <c r="AR186" s="92"/>
      <c r="AS186" s="90"/>
      <c r="AT186" s="91"/>
      <c r="AU186" s="91"/>
      <c r="AV186" s="92"/>
      <c r="AW186" s="90"/>
      <c r="AX186" s="91"/>
      <c r="AY186" s="93"/>
      <c r="AZ186" s="91"/>
      <c r="BA186" s="92"/>
      <c r="BB186" s="90"/>
      <c r="BC186" s="91"/>
      <c r="BD186" s="93"/>
      <c r="BE186" s="91"/>
      <c r="BF186" s="92"/>
      <c r="BG186" s="33">
        <f t="shared" si="2"/>
        <v>0</v>
      </c>
      <c r="BH186" s="27"/>
      <c r="BI186" s="27"/>
      <c r="BJ186" s="27"/>
    </row>
    <row r="187" ht="15.75" customHeight="1" spans="1:62">
      <c r="A187" s="29"/>
      <c r="B187" s="29"/>
      <c r="C187" s="29"/>
      <c r="D187" s="33">
        <v>178</v>
      </c>
      <c r="E187" s="31"/>
      <c r="F187" s="31"/>
      <c r="G187" s="32"/>
      <c r="H187" s="32"/>
      <c r="I187" s="33"/>
      <c r="J187" s="27" t="str">
        <f t="shared" si="0"/>
        <v/>
      </c>
      <c r="K187" s="32"/>
      <c r="L187" s="32"/>
      <c r="M187" s="32"/>
      <c r="N187" s="32"/>
      <c r="O187" s="32"/>
      <c r="P187" s="32"/>
      <c r="Q187" s="34"/>
      <c r="R187" s="88" t="str">
        <f ca="1" t="shared" si="4"/>
        <v/>
      </c>
      <c r="S187" s="27"/>
      <c r="T187" s="27"/>
      <c r="U187" s="27"/>
      <c r="V187" s="35"/>
      <c r="W187" s="30"/>
      <c r="X187" s="33"/>
      <c r="Y187" s="36"/>
      <c r="Z187" s="37"/>
      <c r="AA187" s="27"/>
      <c r="AB187" s="27"/>
      <c r="AC187" s="27"/>
      <c r="AD187" s="27"/>
      <c r="AE187" s="27"/>
      <c r="AF187" s="27"/>
      <c r="AG187" s="90" t="b">
        <v>0</v>
      </c>
      <c r="AH187" s="91" t="b">
        <v>0</v>
      </c>
      <c r="AI187" s="91" t="b">
        <v>0</v>
      </c>
      <c r="AJ187" s="92" t="b">
        <v>0</v>
      </c>
      <c r="AK187" s="90"/>
      <c r="AL187" s="91"/>
      <c r="AM187" s="91"/>
      <c r="AN187" s="92"/>
      <c r="AO187" s="90"/>
      <c r="AP187" s="91"/>
      <c r="AQ187" s="91"/>
      <c r="AR187" s="92"/>
      <c r="AS187" s="90"/>
      <c r="AT187" s="91"/>
      <c r="AU187" s="91"/>
      <c r="AV187" s="92"/>
      <c r="AW187" s="90"/>
      <c r="AX187" s="91"/>
      <c r="AY187" s="93"/>
      <c r="AZ187" s="91"/>
      <c r="BA187" s="92"/>
      <c r="BB187" s="90"/>
      <c r="BC187" s="91"/>
      <c r="BD187" s="93"/>
      <c r="BE187" s="91"/>
      <c r="BF187" s="92"/>
      <c r="BG187" s="33">
        <f t="shared" si="2"/>
        <v>0</v>
      </c>
      <c r="BH187" s="27"/>
      <c r="BI187" s="27"/>
      <c r="BJ187" s="27"/>
    </row>
    <row r="188" ht="15.75" customHeight="1" spans="1:62">
      <c r="A188" s="29"/>
      <c r="B188" s="29"/>
      <c r="C188" s="29"/>
      <c r="D188" s="33">
        <v>179</v>
      </c>
      <c r="E188" s="31"/>
      <c r="F188" s="31"/>
      <c r="G188" s="32"/>
      <c r="H188" s="32"/>
      <c r="I188" s="33"/>
      <c r="J188" s="27" t="str">
        <f t="shared" si="0"/>
        <v/>
      </c>
      <c r="K188" s="32"/>
      <c r="L188" s="32"/>
      <c r="M188" s="32"/>
      <c r="N188" s="32"/>
      <c r="O188" s="32"/>
      <c r="P188" s="32"/>
      <c r="Q188" s="34"/>
      <c r="R188" s="88" t="str">
        <f ca="1" t="shared" si="4"/>
        <v/>
      </c>
      <c r="S188" s="27"/>
      <c r="T188" s="27"/>
      <c r="U188" s="27"/>
      <c r="V188" s="35"/>
      <c r="W188" s="30"/>
      <c r="X188" s="33"/>
      <c r="Y188" s="36"/>
      <c r="Z188" s="37"/>
      <c r="AA188" s="27"/>
      <c r="AB188" s="27"/>
      <c r="AC188" s="27"/>
      <c r="AD188" s="27"/>
      <c r="AE188" s="27"/>
      <c r="AF188" s="27"/>
      <c r="AG188" s="90" t="b">
        <v>0</v>
      </c>
      <c r="AH188" s="91" t="b">
        <v>0</v>
      </c>
      <c r="AI188" s="91" t="b">
        <v>0</v>
      </c>
      <c r="AJ188" s="92" t="b">
        <v>0</v>
      </c>
      <c r="AK188" s="90"/>
      <c r="AL188" s="91"/>
      <c r="AM188" s="91"/>
      <c r="AN188" s="92"/>
      <c r="AO188" s="90"/>
      <c r="AP188" s="91"/>
      <c r="AQ188" s="91"/>
      <c r="AR188" s="92"/>
      <c r="AS188" s="90"/>
      <c r="AT188" s="91"/>
      <c r="AU188" s="91"/>
      <c r="AV188" s="92"/>
      <c r="AW188" s="90"/>
      <c r="AX188" s="91"/>
      <c r="AY188" s="93"/>
      <c r="AZ188" s="91"/>
      <c r="BA188" s="92"/>
      <c r="BB188" s="90"/>
      <c r="BC188" s="91"/>
      <c r="BD188" s="93"/>
      <c r="BE188" s="91"/>
      <c r="BF188" s="92"/>
      <c r="BG188" s="33">
        <f t="shared" si="2"/>
        <v>0</v>
      </c>
      <c r="BH188" s="27"/>
      <c r="BI188" s="27"/>
      <c r="BJ188" s="27"/>
    </row>
    <row r="189" ht="15.75" customHeight="1" spans="1:62">
      <c r="A189" s="29"/>
      <c r="B189" s="29"/>
      <c r="C189" s="29"/>
      <c r="D189" s="33">
        <v>180</v>
      </c>
      <c r="E189" s="31"/>
      <c r="F189" s="31"/>
      <c r="G189" s="32"/>
      <c r="H189" s="32"/>
      <c r="I189" s="33"/>
      <c r="J189" s="27" t="str">
        <f t="shared" si="0"/>
        <v/>
      </c>
      <c r="K189" s="32"/>
      <c r="L189" s="32"/>
      <c r="M189" s="32"/>
      <c r="N189" s="32"/>
      <c r="O189" s="32"/>
      <c r="P189" s="32"/>
      <c r="Q189" s="34"/>
      <c r="R189" s="88" t="str">
        <f ca="1" t="shared" si="4"/>
        <v/>
      </c>
      <c r="S189" s="27"/>
      <c r="T189" s="27"/>
      <c r="U189" s="27"/>
      <c r="V189" s="35"/>
      <c r="W189" s="30"/>
      <c r="X189" s="33"/>
      <c r="Y189" s="36"/>
      <c r="Z189" s="37"/>
      <c r="AA189" s="27"/>
      <c r="AB189" s="27"/>
      <c r="AC189" s="27"/>
      <c r="AD189" s="27"/>
      <c r="AE189" s="27"/>
      <c r="AF189" s="27"/>
      <c r="AG189" s="90" t="b">
        <v>0</v>
      </c>
      <c r="AH189" s="91" t="b">
        <v>0</v>
      </c>
      <c r="AI189" s="91" t="b">
        <v>0</v>
      </c>
      <c r="AJ189" s="92" t="b">
        <v>0</v>
      </c>
      <c r="AK189" s="90"/>
      <c r="AL189" s="91"/>
      <c r="AM189" s="91"/>
      <c r="AN189" s="92"/>
      <c r="AO189" s="90"/>
      <c r="AP189" s="91"/>
      <c r="AQ189" s="91"/>
      <c r="AR189" s="92"/>
      <c r="AS189" s="90"/>
      <c r="AT189" s="91"/>
      <c r="AU189" s="91"/>
      <c r="AV189" s="92"/>
      <c r="AW189" s="90"/>
      <c r="AX189" s="91"/>
      <c r="AY189" s="93"/>
      <c r="AZ189" s="91"/>
      <c r="BA189" s="92"/>
      <c r="BB189" s="90"/>
      <c r="BC189" s="91"/>
      <c r="BD189" s="93"/>
      <c r="BE189" s="91"/>
      <c r="BF189" s="92"/>
      <c r="BG189" s="33">
        <f t="shared" si="2"/>
        <v>0</v>
      </c>
      <c r="BH189" s="27"/>
      <c r="BI189" s="27"/>
      <c r="BJ189" s="27"/>
    </row>
    <row r="190" ht="15.75" customHeight="1" spans="1:62">
      <c r="A190" s="29"/>
      <c r="B190" s="29"/>
      <c r="C190" s="29"/>
      <c r="D190" s="33">
        <v>181</v>
      </c>
      <c r="E190" s="31"/>
      <c r="F190" s="31"/>
      <c r="G190" s="32"/>
      <c r="H190" s="32"/>
      <c r="I190" s="33"/>
      <c r="J190" s="27" t="str">
        <f t="shared" si="0"/>
        <v/>
      </c>
      <c r="K190" s="32"/>
      <c r="L190" s="32"/>
      <c r="M190" s="32"/>
      <c r="N190" s="32"/>
      <c r="O190" s="32"/>
      <c r="P190" s="32"/>
      <c r="Q190" s="34"/>
      <c r="R190" s="88" t="str">
        <f ca="1" t="shared" si="4"/>
        <v/>
      </c>
      <c r="S190" s="27"/>
      <c r="T190" s="27"/>
      <c r="U190" s="27"/>
      <c r="V190" s="35"/>
      <c r="W190" s="30"/>
      <c r="X190" s="33"/>
      <c r="Y190" s="36"/>
      <c r="Z190" s="37"/>
      <c r="AA190" s="27"/>
      <c r="AB190" s="27"/>
      <c r="AC190" s="27"/>
      <c r="AD190" s="27"/>
      <c r="AE190" s="27"/>
      <c r="AF190" s="27"/>
      <c r="AG190" s="90" t="b">
        <v>0</v>
      </c>
      <c r="AH190" s="91" t="b">
        <v>0</v>
      </c>
      <c r="AI190" s="91" t="b">
        <v>0</v>
      </c>
      <c r="AJ190" s="92" t="b">
        <v>0</v>
      </c>
      <c r="AK190" s="90"/>
      <c r="AL190" s="91"/>
      <c r="AM190" s="91"/>
      <c r="AN190" s="92"/>
      <c r="AO190" s="90"/>
      <c r="AP190" s="91"/>
      <c r="AQ190" s="91"/>
      <c r="AR190" s="92"/>
      <c r="AS190" s="90"/>
      <c r="AT190" s="91"/>
      <c r="AU190" s="91"/>
      <c r="AV190" s="92"/>
      <c r="AW190" s="90"/>
      <c r="AX190" s="91"/>
      <c r="AY190" s="93"/>
      <c r="AZ190" s="91"/>
      <c r="BA190" s="92"/>
      <c r="BB190" s="90"/>
      <c r="BC190" s="91"/>
      <c r="BD190" s="93"/>
      <c r="BE190" s="91"/>
      <c r="BF190" s="92"/>
      <c r="BG190" s="33">
        <f t="shared" si="2"/>
        <v>0</v>
      </c>
      <c r="BH190" s="27"/>
      <c r="BI190" s="27"/>
      <c r="BJ190" s="27"/>
    </row>
    <row r="191" ht="15.75" customHeight="1" spans="1:62">
      <c r="A191" s="29"/>
      <c r="B191" s="29"/>
      <c r="C191" s="29"/>
      <c r="D191" s="33">
        <v>182</v>
      </c>
      <c r="E191" s="31"/>
      <c r="F191" s="31"/>
      <c r="G191" s="32"/>
      <c r="H191" s="32"/>
      <c r="I191" s="33"/>
      <c r="J191" s="27" t="str">
        <f t="shared" si="0"/>
        <v/>
      </c>
      <c r="K191" s="32"/>
      <c r="L191" s="32"/>
      <c r="M191" s="32"/>
      <c r="N191" s="32"/>
      <c r="O191" s="32"/>
      <c r="P191" s="32"/>
      <c r="Q191" s="34"/>
      <c r="R191" s="88" t="str">
        <f ca="1" t="shared" si="4"/>
        <v/>
      </c>
      <c r="S191" s="27"/>
      <c r="T191" s="27"/>
      <c r="U191" s="27"/>
      <c r="V191" s="35"/>
      <c r="W191" s="30"/>
      <c r="X191" s="33"/>
      <c r="Y191" s="36"/>
      <c r="Z191" s="37"/>
      <c r="AA191" s="27"/>
      <c r="AB191" s="27"/>
      <c r="AC191" s="27"/>
      <c r="AD191" s="27"/>
      <c r="AE191" s="27"/>
      <c r="AF191" s="27"/>
      <c r="AG191" s="90" t="b">
        <v>0</v>
      </c>
      <c r="AH191" s="91" t="b">
        <v>0</v>
      </c>
      <c r="AI191" s="91" t="b">
        <v>0</v>
      </c>
      <c r="AJ191" s="92" t="b">
        <v>0</v>
      </c>
      <c r="AK191" s="90"/>
      <c r="AL191" s="91"/>
      <c r="AM191" s="91"/>
      <c r="AN191" s="92"/>
      <c r="AO191" s="90"/>
      <c r="AP191" s="91"/>
      <c r="AQ191" s="91"/>
      <c r="AR191" s="92"/>
      <c r="AS191" s="90"/>
      <c r="AT191" s="91"/>
      <c r="AU191" s="91"/>
      <c r="AV191" s="92"/>
      <c r="AW191" s="90"/>
      <c r="AX191" s="91"/>
      <c r="AY191" s="93"/>
      <c r="AZ191" s="91"/>
      <c r="BA191" s="92"/>
      <c r="BB191" s="90"/>
      <c r="BC191" s="91"/>
      <c r="BD191" s="93"/>
      <c r="BE191" s="91"/>
      <c r="BF191" s="92"/>
      <c r="BG191" s="33">
        <f t="shared" si="2"/>
        <v>0</v>
      </c>
      <c r="BH191" s="27"/>
      <c r="BI191" s="27"/>
      <c r="BJ191" s="27"/>
    </row>
    <row r="192" ht="15.75" customHeight="1" spans="1:62">
      <c r="A192" s="29"/>
      <c r="B192" s="29"/>
      <c r="C192" s="29"/>
      <c r="D192" s="33">
        <v>183</v>
      </c>
      <c r="E192" s="31"/>
      <c r="F192" s="31"/>
      <c r="G192" s="32"/>
      <c r="H192" s="32"/>
      <c r="I192" s="33"/>
      <c r="J192" s="27" t="str">
        <f t="shared" si="0"/>
        <v/>
      </c>
      <c r="K192" s="32"/>
      <c r="L192" s="32"/>
      <c r="M192" s="32"/>
      <c r="N192" s="32"/>
      <c r="O192" s="32"/>
      <c r="P192" s="32"/>
      <c r="Q192" s="34"/>
      <c r="R192" s="88" t="str">
        <f ca="1" t="shared" si="4"/>
        <v/>
      </c>
      <c r="S192" s="27"/>
      <c r="T192" s="27"/>
      <c r="U192" s="27"/>
      <c r="V192" s="35"/>
      <c r="W192" s="30"/>
      <c r="X192" s="33"/>
      <c r="Y192" s="36"/>
      <c r="Z192" s="37"/>
      <c r="AA192" s="27"/>
      <c r="AB192" s="27"/>
      <c r="AC192" s="27"/>
      <c r="AD192" s="27"/>
      <c r="AE192" s="27"/>
      <c r="AF192" s="27"/>
      <c r="AG192" s="90" t="b">
        <v>0</v>
      </c>
      <c r="AH192" s="91" t="b">
        <v>0</v>
      </c>
      <c r="AI192" s="91" t="b">
        <v>0</v>
      </c>
      <c r="AJ192" s="92" t="b">
        <v>0</v>
      </c>
      <c r="AK192" s="90"/>
      <c r="AL192" s="91"/>
      <c r="AM192" s="91"/>
      <c r="AN192" s="92"/>
      <c r="AO192" s="90"/>
      <c r="AP192" s="91"/>
      <c r="AQ192" s="91"/>
      <c r="AR192" s="92"/>
      <c r="AS192" s="90"/>
      <c r="AT192" s="91"/>
      <c r="AU192" s="91"/>
      <c r="AV192" s="92"/>
      <c r="AW192" s="90"/>
      <c r="AX192" s="91"/>
      <c r="AY192" s="93"/>
      <c r="AZ192" s="91"/>
      <c r="BA192" s="92"/>
      <c r="BB192" s="90"/>
      <c r="BC192" s="91"/>
      <c r="BD192" s="93"/>
      <c r="BE192" s="91"/>
      <c r="BF192" s="92"/>
      <c r="BG192" s="33">
        <f t="shared" si="2"/>
        <v>0</v>
      </c>
      <c r="BH192" s="27"/>
      <c r="BI192" s="27"/>
      <c r="BJ192" s="27"/>
    </row>
    <row r="193" ht="15.75" customHeight="1" spans="1:62">
      <c r="A193" s="29"/>
      <c r="B193" s="29"/>
      <c r="C193" s="29"/>
      <c r="D193" s="33">
        <v>184</v>
      </c>
      <c r="E193" s="31"/>
      <c r="F193" s="31"/>
      <c r="G193" s="32"/>
      <c r="H193" s="32"/>
      <c r="I193" s="33"/>
      <c r="J193" s="27" t="str">
        <f t="shared" si="0"/>
        <v/>
      </c>
      <c r="K193" s="32"/>
      <c r="L193" s="32"/>
      <c r="M193" s="32"/>
      <c r="N193" s="32"/>
      <c r="O193" s="32"/>
      <c r="P193" s="32"/>
      <c r="Q193" s="34"/>
      <c r="R193" s="88" t="str">
        <f ca="1" t="shared" si="4"/>
        <v/>
      </c>
      <c r="S193" s="27"/>
      <c r="T193" s="27"/>
      <c r="U193" s="27"/>
      <c r="V193" s="35"/>
      <c r="W193" s="30"/>
      <c r="X193" s="33"/>
      <c r="Y193" s="36"/>
      <c r="Z193" s="37"/>
      <c r="AA193" s="27"/>
      <c r="AB193" s="27"/>
      <c r="AC193" s="27"/>
      <c r="AD193" s="27"/>
      <c r="AE193" s="27"/>
      <c r="AF193" s="27"/>
      <c r="AG193" s="90" t="b">
        <v>0</v>
      </c>
      <c r="AH193" s="91" t="b">
        <v>0</v>
      </c>
      <c r="AI193" s="91" t="b">
        <v>0</v>
      </c>
      <c r="AJ193" s="92" t="b">
        <v>0</v>
      </c>
      <c r="AK193" s="90"/>
      <c r="AL193" s="91"/>
      <c r="AM193" s="91"/>
      <c r="AN193" s="92"/>
      <c r="AO193" s="90"/>
      <c r="AP193" s="91"/>
      <c r="AQ193" s="91"/>
      <c r="AR193" s="92"/>
      <c r="AS193" s="90"/>
      <c r="AT193" s="91"/>
      <c r="AU193" s="91"/>
      <c r="AV193" s="92"/>
      <c r="AW193" s="90"/>
      <c r="AX193" s="91"/>
      <c r="AY193" s="93"/>
      <c r="AZ193" s="91"/>
      <c r="BA193" s="92"/>
      <c r="BB193" s="90"/>
      <c r="BC193" s="91"/>
      <c r="BD193" s="93"/>
      <c r="BE193" s="91"/>
      <c r="BF193" s="92"/>
      <c r="BG193" s="33">
        <f t="shared" si="2"/>
        <v>0</v>
      </c>
      <c r="BH193" s="27"/>
      <c r="BI193" s="27"/>
      <c r="BJ193" s="27"/>
    </row>
    <row r="194" ht="15.75" customHeight="1" spans="1:62">
      <c r="A194" s="29"/>
      <c r="B194" s="29"/>
      <c r="C194" s="29"/>
      <c r="D194" s="33">
        <v>185</v>
      </c>
      <c r="E194" s="31"/>
      <c r="F194" s="31"/>
      <c r="G194" s="32"/>
      <c r="H194" s="32"/>
      <c r="I194" s="33"/>
      <c r="J194" s="27" t="str">
        <f t="shared" si="0"/>
        <v/>
      </c>
      <c r="K194" s="32"/>
      <c r="L194" s="32"/>
      <c r="M194" s="32"/>
      <c r="N194" s="32"/>
      <c r="O194" s="32"/>
      <c r="P194" s="32"/>
      <c r="Q194" s="34"/>
      <c r="R194" s="88" t="str">
        <f ca="1" t="shared" si="4"/>
        <v/>
      </c>
      <c r="S194" s="27"/>
      <c r="T194" s="27"/>
      <c r="U194" s="27"/>
      <c r="V194" s="35"/>
      <c r="W194" s="30"/>
      <c r="X194" s="33"/>
      <c r="Y194" s="36"/>
      <c r="Z194" s="37"/>
      <c r="AA194" s="27"/>
      <c r="AB194" s="27"/>
      <c r="AC194" s="27"/>
      <c r="AD194" s="27"/>
      <c r="AE194" s="27"/>
      <c r="AF194" s="27"/>
      <c r="AG194" s="90" t="b">
        <v>0</v>
      </c>
      <c r="AH194" s="91" t="b">
        <v>0</v>
      </c>
      <c r="AI194" s="91" t="b">
        <v>0</v>
      </c>
      <c r="AJ194" s="92" t="b">
        <v>0</v>
      </c>
      <c r="AK194" s="90"/>
      <c r="AL194" s="91"/>
      <c r="AM194" s="91"/>
      <c r="AN194" s="92"/>
      <c r="AO194" s="90"/>
      <c r="AP194" s="91"/>
      <c r="AQ194" s="91"/>
      <c r="AR194" s="92"/>
      <c r="AS194" s="90"/>
      <c r="AT194" s="91"/>
      <c r="AU194" s="91"/>
      <c r="AV194" s="92"/>
      <c r="AW194" s="90"/>
      <c r="AX194" s="91"/>
      <c r="AY194" s="93"/>
      <c r="AZ194" s="91"/>
      <c r="BA194" s="92"/>
      <c r="BB194" s="90"/>
      <c r="BC194" s="91"/>
      <c r="BD194" s="93"/>
      <c r="BE194" s="91"/>
      <c r="BF194" s="92"/>
      <c r="BG194" s="33">
        <f t="shared" si="2"/>
        <v>0</v>
      </c>
      <c r="BH194" s="27"/>
      <c r="BI194" s="27"/>
      <c r="BJ194" s="27"/>
    </row>
    <row r="195" ht="15.75" customHeight="1" spans="1:62">
      <c r="A195" s="29"/>
      <c r="B195" s="29"/>
      <c r="C195" s="29"/>
      <c r="D195" s="33">
        <v>186</v>
      </c>
      <c r="E195" s="31"/>
      <c r="F195" s="31"/>
      <c r="G195" s="32"/>
      <c r="H195" s="32"/>
      <c r="I195" s="33"/>
      <c r="J195" s="27" t="str">
        <f t="shared" si="0"/>
        <v/>
      </c>
      <c r="K195" s="32"/>
      <c r="L195" s="32"/>
      <c r="M195" s="32"/>
      <c r="N195" s="32"/>
      <c r="O195" s="32"/>
      <c r="P195" s="32"/>
      <c r="Q195" s="34"/>
      <c r="R195" s="88" t="str">
        <f ca="1" t="shared" si="4"/>
        <v/>
      </c>
      <c r="S195" s="27"/>
      <c r="T195" s="27"/>
      <c r="U195" s="27"/>
      <c r="V195" s="35"/>
      <c r="W195" s="30"/>
      <c r="X195" s="33"/>
      <c r="Y195" s="36"/>
      <c r="Z195" s="37"/>
      <c r="AA195" s="27"/>
      <c r="AB195" s="27"/>
      <c r="AC195" s="27"/>
      <c r="AD195" s="27"/>
      <c r="AE195" s="27"/>
      <c r="AF195" s="27"/>
      <c r="AG195" s="90" t="b">
        <v>0</v>
      </c>
      <c r="AH195" s="91" t="b">
        <v>0</v>
      </c>
      <c r="AI195" s="91" t="b">
        <v>0</v>
      </c>
      <c r="AJ195" s="92" t="b">
        <v>0</v>
      </c>
      <c r="AK195" s="90"/>
      <c r="AL195" s="91"/>
      <c r="AM195" s="91"/>
      <c r="AN195" s="92"/>
      <c r="AO195" s="90"/>
      <c r="AP195" s="91"/>
      <c r="AQ195" s="91"/>
      <c r="AR195" s="92"/>
      <c r="AS195" s="90"/>
      <c r="AT195" s="91"/>
      <c r="AU195" s="91"/>
      <c r="AV195" s="92"/>
      <c r="AW195" s="90"/>
      <c r="AX195" s="91"/>
      <c r="AY195" s="93"/>
      <c r="AZ195" s="91"/>
      <c r="BA195" s="92"/>
      <c r="BB195" s="90"/>
      <c r="BC195" s="91"/>
      <c r="BD195" s="93"/>
      <c r="BE195" s="91"/>
      <c r="BF195" s="92"/>
      <c r="BG195" s="33">
        <f t="shared" si="2"/>
        <v>0</v>
      </c>
      <c r="BH195" s="27"/>
      <c r="BI195" s="27"/>
      <c r="BJ195" s="27"/>
    </row>
    <row r="196" ht="15.75" customHeight="1" spans="1:62">
      <c r="A196" s="29"/>
      <c r="B196" s="29"/>
      <c r="C196" s="29"/>
      <c r="D196" s="33">
        <v>187</v>
      </c>
      <c r="E196" s="31"/>
      <c r="F196" s="31"/>
      <c r="G196" s="32"/>
      <c r="H196" s="32"/>
      <c r="I196" s="33"/>
      <c r="J196" s="27" t="str">
        <f t="shared" si="0"/>
        <v/>
      </c>
      <c r="K196" s="32"/>
      <c r="L196" s="32"/>
      <c r="M196" s="32"/>
      <c r="N196" s="32"/>
      <c r="O196" s="32"/>
      <c r="P196" s="32"/>
      <c r="Q196" s="34"/>
      <c r="R196" s="88" t="str">
        <f ca="1" t="shared" si="4"/>
        <v/>
      </c>
      <c r="S196" s="27"/>
      <c r="T196" s="27"/>
      <c r="U196" s="27"/>
      <c r="V196" s="35"/>
      <c r="W196" s="30"/>
      <c r="X196" s="33"/>
      <c r="Y196" s="36"/>
      <c r="Z196" s="37"/>
      <c r="AA196" s="27"/>
      <c r="AB196" s="27"/>
      <c r="AC196" s="27"/>
      <c r="AD196" s="27"/>
      <c r="AE196" s="27"/>
      <c r="AF196" s="27"/>
      <c r="AG196" s="90" t="b">
        <v>0</v>
      </c>
      <c r="AH196" s="91" t="b">
        <v>0</v>
      </c>
      <c r="AI196" s="91" t="b">
        <v>0</v>
      </c>
      <c r="AJ196" s="92" t="b">
        <v>0</v>
      </c>
      <c r="AK196" s="90"/>
      <c r="AL196" s="91"/>
      <c r="AM196" s="91"/>
      <c r="AN196" s="92"/>
      <c r="AO196" s="90"/>
      <c r="AP196" s="91"/>
      <c r="AQ196" s="91"/>
      <c r="AR196" s="92"/>
      <c r="AS196" s="90"/>
      <c r="AT196" s="91"/>
      <c r="AU196" s="91"/>
      <c r="AV196" s="92"/>
      <c r="AW196" s="90"/>
      <c r="AX196" s="91"/>
      <c r="AY196" s="93"/>
      <c r="AZ196" s="91"/>
      <c r="BA196" s="92"/>
      <c r="BB196" s="90"/>
      <c r="BC196" s="91"/>
      <c r="BD196" s="93"/>
      <c r="BE196" s="91"/>
      <c r="BF196" s="92"/>
      <c r="BG196" s="33">
        <f t="shared" si="2"/>
        <v>0</v>
      </c>
      <c r="BH196" s="27"/>
      <c r="BI196" s="27"/>
      <c r="BJ196" s="27"/>
    </row>
    <row r="197" ht="15.75" customHeight="1" spans="1:62">
      <c r="A197" s="29"/>
      <c r="B197" s="29"/>
      <c r="C197" s="29"/>
      <c r="D197" s="33">
        <v>188</v>
      </c>
      <c r="E197" s="31"/>
      <c r="F197" s="31"/>
      <c r="G197" s="32"/>
      <c r="H197" s="32"/>
      <c r="I197" s="33"/>
      <c r="J197" s="27" t="str">
        <f t="shared" si="0"/>
        <v/>
      </c>
      <c r="K197" s="32"/>
      <c r="L197" s="32"/>
      <c r="M197" s="32"/>
      <c r="N197" s="32"/>
      <c r="O197" s="32"/>
      <c r="P197" s="32"/>
      <c r="Q197" s="34"/>
      <c r="R197" s="88" t="str">
        <f ca="1" t="shared" si="4"/>
        <v/>
      </c>
      <c r="S197" s="27"/>
      <c r="T197" s="27"/>
      <c r="U197" s="27"/>
      <c r="V197" s="35"/>
      <c r="W197" s="30"/>
      <c r="X197" s="33"/>
      <c r="Y197" s="36"/>
      <c r="Z197" s="37"/>
      <c r="AA197" s="27"/>
      <c r="AB197" s="27"/>
      <c r="AC197" s="27"/>
      <c r="AD197" s="27"/>
      <c r="AE197" s="27"/>
      <c r="AF197" s="27"/>
      <c r="AG197" s="90" t="b">
        <v>0</v>
      </c>
      <c r="AH197" s="91" t="b">
        <v>0</v>
      </c>
      <c r="AI197" s="91" t="b">
        <v>0</v>
      </c>
      <c r="AJ197" s="92" t="b">
        <v>0</v>
      </c>
      <c r="AK197" s="90"/>
      <c r="AL197" s="91"/>
      <c r="AM197" s="91"/>
      <c r="AN197" s="92"/>
      <c r="AO197" s="90"/>
      <c r="AP197" s="91"/>
      <c r="AQ197" s="91"/>
      <c r="AR197" s="92"/>
      <c r="AS197" s="90"/>
      <c r="AT197" s="91"/>
      <c r="AU197" s="91"/>
      <c r="AV197" s="92"/>
      <c r="AW197" s="90"/>
      <c r="AX197" s="91"/>
      <c r="AY197" s="93"/>
      <c r="AZ197" s="91"/>
      <c r="BA197" s="92"/>
      <c r="BB197" s="90"/>
      <c r="BC197" s="91"/>
      <c r="BD197" s="93"/>
      <c r="BE197" s="91"/>
      <c r="BF197" s="92"/>
      <c r="BG197" s="33">
        <f t="shared" si="2"/>
        <v>0</v>
      </c>
      <c r="BH197" s="27"/>
      <c r="BI197" s="27"/>
      <c r="BJ197" s="27"/>
    </row>
    <row r="198" ht="15.75" customHeight="1" spans="1:62">
      <c r="A198" s="29"/>
      <c r="B198" s="29"/>
      <c r="C198" s="29"/>
      <c r="D198" s="33">
        <v>189</v>
      </c>
      <c r="E198" s="31"/>
      <c r="F198" s="31"/>
      <c r="G198" s="32"/>
      <c r="H198" s="32"/>
      <c r="I198" s="33"/>
      <c r="J198" s="27" t="str">
        <f t="shared" si="0"/>
        <v/>
      </c>
      <c r="K198" s="32"/>
      <c r="L198" s="32"/>
      <c r="M198" s="32"/>
      <c r="N198" s="32"/>
      <c r="O198" s="32"/>
      <c r="P198" s="32"/>
      <c r="Q198" s="34"/>
      <c r="R198" s="88" t="str">
        <f ca="1" t="shared" si="4"/>
        <v/>
      </c>
      <c r="S198" s="27"/>
      <c r="T198" s="27"/>
      <c r="U198" s="27"/>
      <c r="V198" s="35"/>
      <c r="W198" s="30"/>
      <c r="X198" s="33"/>
      <c r="Y198" s="36"/>
      <c r="Z198" s="37"/>
      <c r="AA198" s="27"/>
      <c r="AB198" s="27"/>
      <c r="AC198" s="27"/>
      <c r="AD198" s="27"/>
      <c r="AE198" s="27"/>
      <c r="AF198" s="27"/>
      <c r="AG198" s="90" t="b">
        <v>0</v>
      </c>
      <c r="AH198" s="91" t="b">
        <v>0</v>
      </c>
      <c r="AI198" s="91" t="b">
        <v>0</v>
      </c>
      <c r="AJ198" s="92" t="b">
        <v>0</v>
      </c>
      <c r="AK198" s="90"/>
      <c r="AL198" s="91"/>
      <c r="AM198" s="91"/>
      <c r="AN198" s="92"/>
      <c r="AO198" s="90"/>
      <c r="AP198" s="91"/>
      <c r="AQ198" s="91"/>
      <c r="AR198" s="92"/>
      <c r="AS198" s="90"/>
      <c r="AT198" s="91"/>
      <c r="AU198" s="91"/>
      <c r="AV198" s="92"/>
      <c r="AW198" s="90"/>
      <c r="AX198" s="91"/>
      <c r="AY198" s="93"/>
      <c r="AZ198" s="91"/>
      <c r="BA198" s="92"/>
      <c r="BB198" s="90"/>
      <c r="BC198" s="91"/>
      <c r="BD198" s="93"/>
      <c r="BE198" s="91"/>
      <c r="BF198" s="92"/>
      <c r="BG198" s="33">
        <f t="shared" si="2"/>
        <v>0</v>
      </c>
      <c r="BH198" s="27"/>
      <c r="BI198" s="27"/>
      <c r="BJ198" s="27"/>
    </row>
    <row r="199" ht="15.75" customHeight="1" spans="1:62">
      <c r="A199" s="29"/>
      <c r="B199" s="29"/>
      <c r="C199" s="29"/>
      <c r="D199" s="33">
        <v>190</v>
      </c>
      <c r="E199" s="31"/>
      <c r="F199" s="31"/>
      <c r="G199" s="32"/>
      <c r="H199" s="32"/>
      <c r="I199" s="33"/>
      <c r="J199" s="27" t="str">
        <f t="shared" si="0"/>
        <v/>
      </c>
      <c r="K199" s="32"/>
      <c r="L199" s="32"/>
      <c r="M199" s="32"/>
      <c r="N199" s="32"/>
      <c r="O199" s="32"/>
      <c r="P199" s="32"/>
      <c r="Q199" s="34"/>
      <c r="R199" s="88" t="str">
        <f ca="1" t="shared" si="4"/>
        <v/>
      </c>
      <c r="S199" s="27"/>
      <c r="T199" s="27"/>
      <c r="U199" s="27"/>
      <c r="V199" s="35"/>
      <c r="W199" s="30"/>
      <c r="X199" s="33"/>
      <c r="Y199" s="36"/>
      <c r="Z199" s="37"/>
      <c r="AA199" s="27"/>
      <c r="AB199" s="27"/>
      <c r="AC199" s="27"/>
      <c r="AD199" s="27"/>
      <c r="AE199" s="27"/>
      <c r="AF199" s="27"/>
      <c r="AG199" s="90" t="b">
        <v>0</v>
      </c>
      <c r="AH199" s="91" t="b">
        <v>0</v>
      </c>
      <c r="AI199" s="91" t="b">
        <v>0</v>
      </c>
      <c r="AJ199" s="92" t="b">
        <v>0</v>
      </c>
      <c r="AK199" s="90"/>
      <c r="AL199" s="91"/>
      <c r="AM199" s="91"/>
      <c r="AN199" s="92"/>
      <c r="AO199" s="90"/>
      <c r="AP199" s="91"/>
      <c r="AQ199" s="91"/>
      <c r="AR199" s="92"/>
      <c r="AS199" s="90"/>
      <c r="AT199" s="91"/>
      <c r="AU199" s="91"/>
      <c r="AV199" s="92"/>
      <c r="AW199" s="90"/>
      <c r="AX199" s="91"/>
      <c r="AY199" s="93"/>
      <c r="AZ199" s="91"/>
      <c r="BA199" s="92"/>
      <c r="BB199" s="90"/>
      <c r="BC199" s="91"/>
      <c r="BD199" s="93"/>
      <c r="BE199" s="91"/>
      <c r="BF199" s="92"/>
      <c r="BG199" s="33">
        <f t="shared" si="2"/>
        <v>0</v>
      </c>
      <c r="BH199" s="27"/>
      <c r="BI199" s="27"/>
      <c r="BJ199" s="27"/>
    </row>
    <row r="200" ht="15.75" customHeight="1" spans="1:62">
      <c r="A200" s="29"/>
      <c r="B200" s="29"/>
      <c r="C200" s="29"/>
      <c r="D200" s="33">
        <v>191</v>
      </c>
      <c r="E200" s="31"/>
      <c r="F200" s="31"/>
      <c r="G200" s="32"/>
      <c r="H200" s="32"/>
      <c r="I200" s="33"/>
      <c r="J200" s="27" t="str">
        <f t="shared" si="0"/>
        <v/>
      </c>
      <c r="K200" s="32"/>
      <c r="L200" s="32"/>
      <c r="M200" s="32"/>
      <c r="N200" s="32"/>
      <c r="O200" s="32"/>
      <c r="P200" s="32"/>
      <c r="Q200" s="34"/>
      <c r="R200" s="88" t="str">
        <f ca="1" t="shared" si="4"/>
        <v/>
      </c>
      <c r="S200" s="27"/>
      <c r="T200" s="27"/>
      <c r="U200" s="27"/>
      <c r="V200" s="35"/>
      <c r="W200" s="30"/>
      <c r="X200" s="33"/>
      <c r="Y200" s="36"/>
      <c r="Z200" s="37"/>
      <c r="AA200" s="27"/>
      <c r="AB200" s="27"/>
      <c r="AC200" s="27"/>
      <c r="AD200" s="27"/>
      <c r="AE200" s="27"/>
      <c r="AF200" s="27"/>
      <c r="AG200" s="90" t="b">
        <v>0</v>
      </c>
      <c r="AH200" s="91" t="b">
        <v>0</v>
      </c>
      <c r="AI200" s="91" t="b">
        <v>0</v>
      </c>
      <c r="AJ200" s="92" t="b">
        <v>0</v>
      </c>
      <c r="AK200" s="90"/>
      <c r="AL200" s="91"/>
      <c r="AM200" s="91"/>
      <c r="AN200" s="92"/>
      <c r="AO200" s="90"/>
      <c r="AP200" s="91"/>
      <c r="AQ200" s="91"/>
      <c r="AR200" s="92"/>
      <c r="AS200" s="90"/>
      <c r="AT200" s="91"/>
      <c r="AU200" s="91"/>
      <c r="AV200" s="92"/>
      <c r="AW200" s="90"/>
      <c r="AX200" s="91"/>
      <c r="AY200" s="93"/>
      <c r="AZ200" s="91"/>
      <c r="BA200" s="92"/>
      <c r="BB200" s="90"/>
      <c r="BC200" s="91"/>
      <c r="BD200" s="93"/>
      <c r="BE200" s="91"/>
      <c r="BF200" s="92"/>
      <c r="BG200" s="33">
        <f t="shared" si="2"/>
        <v>0</v>
      </c>
      <c r="BH200" s="27"/>
      <c r="BI200" s="27"/>
      <c r="BJ200" s="27"/>
    </row>
    <row r="201" ht="15.75" customHeight="1" spans="1:62">
      <c r="A201" s="29"/>
      <c r="B201" s="29"/>
      <c r="C201" s="29"/>
      <c r="D201" s="33">
        <v>192</v>
      </c>
      <c r="E201" s="31"/>
      <c r="F201" s="31"/>
      <c r="G201" s="32"/>
      <c r="H201" s="32"/>
      <c r="I201" s="33"/>
      <c r="J201" s="27" t="str">
        <f t="shared" si="0"/>
        <v/>
      </c>
      <c r="K201" s="32"/>
      <c r="L201" s="32"/>
      <c r="M201" s="32"/>
      <c r="N201" s="32"/>
      <c r="O201" s="32"/>
      <c r="P201" s="32"/>
      <c r="Q201" s="34"/>
      <c r="R201" s="88" t="str">
        <f ca="1" t="shared" si="4"/>
        <v/>
      </c>
      <c r="S201" s="27"/>
      <c r="T201" s="27"/>
      <c r="U201" s="27"/>
      <c r="V201" s="35"/>
      <c r="W201" s="30"/>
      <c r="X201" s="33"/>
      <c r="Y201" s="36"/>
      <c r="Z201" s="37"/>
      <c r="AA201" s="27"/>
      <c r="AB201" s="27"/>
      <c r="AC201" s="27"/>
      <c r="AD201" s="27"/>
      <c r="AE201" s="27"/>
      <c r="AF201" s="27"/>
      <c r="AG201" s="90" t="b">
        <v>0</v>
      </c>
      <c r="AH201" s="91" t="b">
        <v>0</v>
      </c>
      <c r="AI201" s="91" t="b">
        <v>0</v>
      </c>
      <c r="AJ201" s="92" t="b">
        <v>0</v>
      </c>
      <c r="AK201" s="90"/>
      <c r="AL201" s="91"/>
      <c r="AM201" s="91"/>
      <c r="AN201" s="92"/>
      <c r="AO201" s="90"/>
      <c r="AP201" s="91"/>
      <c r="AQ201" s="91"/>
      <c r="AR201" s="92"/>
      <c r="AS201" s="90"/>
      <c r="AT201" s="91"/>
      <c r="AU201" s="91"/>
      <c r="AV201" s="92"/>
      <c r="AW201" s="90"/>
      <c r="AX201" s="91"/>
      <c r="AY201" s="93"/>
      <c r="AZ201" s="91"/>
      <c r="BA201" s="92"/>
      <c r="BB201" s="90"/>
      <c r="BC201" s="91"/>
      <c r="BD201" s="93"/>
      <c r="BE201" s="91"/>
      <c r="BF201" s="92"/>
      <c r="BG201" s="33">
        <f t="shared" si="2"/>
        <v>0</v>
      </c>
      <c r="BH201" s="27"/>
      <c r="BI201" s="27"/>
      <c r="BJ201" s="27"/>
    </row>
    <row r="202" ht="15.75" customHeight="1" spans="1:62">
      <c r="A202" s="29"/>
      <c r="B202" s="29"/>
      <c r="C202" s="29"/>
      <c r="D202" s="33">
        <v>193</v>
      </c>
      <c r="E202" s="31"/>
      <c r="F202" s="31"/>
      <c r="G202" s="32"/>
      <c r="H202" s="32"/>
      <c r="I202" s="33"/>
      <c r="J202" s="27" t="str">
        <f t="shared" si="0"/>
        <v/>
      </c>
      <c r="K202" s="32"/>
      <c r="L202" s="32"/>
      <c r="M202" s="32"/>
      <c r="N202" s="32"/>
      <c r="O202" s="32"/>
      <c r="P202" s="32"/>
      <c r="Q202" s="34"/>
      <c r="R202" s="88" t="str">
        <f ca="1" t="shared" si="4"/>
        <v/>
      </c>
      <c r="S202" s="27"/>
      <c r="T202" s="27"/>
      <c r="U202" s="27"/>
      <c r="V202" s="35"/>
      <c r="W202" s="30"/>
      <c r="X202" s="33"/>
      <c r="Y202" s="36"/>
      <c r="Z202" s="37"/>
      <c r="AA202" s="27"/>
      <c r="AB202" s="27"/>
      <c r="AC202" s="27"/>
      <c r="AD202" s="27"/>
      <c r="AE202" s="27"/>
      <c r="AF202" s="27"/>
      <c r="AG202" s="90" t="b">
        <v>0</v>
      </c>
      <c r="AH202" s="91" t="b">
        <v>0</v>
      </c>
      <c r="AI202" s="91" t="b">
        <v>0</v>
      </c>
      <c r="AJ202" s="92" t="b">
        <v>0</v>
      </c>
      <c r="AK202" s="90"/>
      <c r="AL202" s="91"/>
      <c r="AM202" s="91"/>
      <c r="AN202" s="92"/>
      <c r="AO202" s="90"/>
      <c r="AP202" s="91"/>
      <c r="AQ202" s="91"/>
      <c r="AR202" s="92"/>
      <c r="AS202" s="90"/>
      <c r="AT202" s="91"/>
      <c r="AU202" s="91"/>
      <c r="AV202" s="92"/>
      <c r="AW202" s="90"/>
      <c r="AX202" s="91"/>
      <c r="AY202" s="93"/>
      <c r="AZ202" s="91"/>
      <c r="BA202" s="92"/>
      <c r="BB202" s="90"/>
      <c r="BC202" s="91"/>
      <c r="BD202" s="93"/>
      <c r="BE202" s="91"/>
      <c r="BF202" s="92"/>
      <c r="BG202" s="33">
        <f t="shared" si="2"/>
        <v>0</v>
      </c>
      <c r="BH202" s="27"/>
      <c r="BI202" s="27"/>
      <c r="BJ202" s="27"/>
    </row>
    <row r="203" ht="15.75" customHeight="1" spans="1:62">
      <c r="A203" s="29"/>
      <c r="B203" s="29"/>
      <c r="C203" s="29"/>
      <c r="D203" s="33">
        <v>194</v>
      </c>
      <c r="E203" s="31"/>
      <c r="F203" s="31"/>
      <c r="G203" s="32"/>
      <c r="H203" s="32"/>
      <c r="I203" s="33"/>
      <c r="J203" s="27" t="str">
        <f t="shared" si="0"/>
        <v/>
      </c>
      <c r="K203" s="32"/>
      <c r="L203" s="32"/>
      <c r="M203" s="32"/>
      <c r="N203" s="32"/>
      <c r="O203" s="32"/>
      <c r="P203" s="32"/>
      <c r="Q203" s="34"/>
      <c r="R203" s="88" t="str">
        <f ca="1" t="shared" si="4"/>
        <v/>
      </c>
      <c r="S203" s="27"/>
      <c r="T203" s="27"/>
      <c r="U203" s="27"/>
      <c r="V203" s="35"/>
      <c r="W203" s="30"/>
      <c r="X203" s="33"/>
      <c r="Y203" s="36"/>
      <c r="Z203" s="37"/>
      <c r="AA203" s="27"/>
      <c r="AB203" s="27"/>
      <c r="AC203" s="27"/>
      <c r="AD203" s="27"/>
      <c r="AE203" s="27"/>
      <c r="AF203" s="27"/>
      <c r="AG203" s="90" t="b">
        <v>0</v>
      </c>
      <c r="AH203" s="91" t="b">
        <v>0</v>
      </c>
      <c r="AI203" s="91" t="b">
        <v>0</v>
      </c>
      <c r="AJ203" s="92" t="b">
        <v>0</v>
      </c>
      <c r="AK203" s="90"/>
      <c r="AL203" s="91"/>
      <c r="AM203" s="91"/>
      <c r="AN203" s="92"/>
      <c r="AO203" s="90"/>
      <c r="AP203" s="91"/>
      <c r="AQ203" s="91"/>
      <c r="AR203" s="92"/>
      <c r="AS203" s="90"/>
      <c r="AT203" s="91"/>
      <c r="AU203" s="91"/>
      <c r="AV203" s="92"/>
      <c r="AW203" s="90"/>
      <c r="AX203" s="91"/>
      <c r="AY203" s="93"/>
      <c r="AZ203" s="91"/>
      <c r="BA203" s="92"/>
      <c r="BB203" s="90"/>
      <c r="BC203" s="91"/>
      <c r="BD203" s="93"/>
      <c r="BE203" s="91"/>
      <c r="BF203" s="92"/>
      <c r="BG203" s="33">
        <f t="shared" si="2"/>
        <v>0</v>
      </c>
      <c r="BH203" s="27"/>
      <c r="BI203" s="27"/>
      <c r="BJ203" s="27"/>
    </row>
    <row r="204" ht="15.75" customHeight="1" spans="1:62">
      <c r="A204" s="29"/>
      <c r="B204" s="29"/>
      <c r="C204" s="29"/>
      <c r="D204" s="33">
        <v>195</v>
      </c>
      <c r="E204" s="31"/>
      <c r="F204" s="31"/>
      <c r="G204" s="32"/>
      <c r="H204" s="32"/>
      <c r="I204" s="33"/>
      <c r="J204" s="27" t="str">
        <f t="shared" si="0"/>
        <v/>
      </c>
      <c r="K204" s="32"/>
      <c r="L204" s="32"/>
      <c r="M204" s="32"/>
      <c r="N204" s="32"/>
      <c r="O204" s="32"/>
      <c r="P204" s="32"/>
      <c r="Q204" s="34"/>
      <c r="R204" s="88" t="str">
        <f ca="1" t="shared" si="4"/>
        <v/>
      </c>
      <c r="S204" s="27"/>
      <c r="T204" s="27"/>
      <c r="U204" s="27"/>
      <c r="V204" s="35"/>
      <c r="W204" s="30"/>
      <c r="X204" s="33"/>
      <c r="Y204" s="36"/>
      <c r="Z204" s="37"/>
      <c r="AA204" s="27"/>
      <c r="AB204" s="27"/>
      <c r="AC204" s="27"/>
      <c r="AD204" s="27"/>
      <c r="AE204" s="27"/>
      <c r="AF204" s="27"/>
      <c r="AG204" s="90" t="b">
        <v>0</v>
      </c>
      <c r="AH204" s="91" t="b">
        <v>0</v>
      </c>
      <c r="AI204" s="91" t="b">
        <v>0</v>
      </c>
      <c r="AJ204" s="92" t="b">
        <v>0</v>
      </c>
      <c r="AK204" s="90"/>
      <c r="AL204" s="91"/>
      <c r="AM204" s="91"/>
      <c r="AN204" s="92"/>
      <c r="AO204" s="90"/>
      <c r="AP204" s="91"/>
      <c r="AQ204" s="91"/>
      <c r="AR204" s="92"/>
      <c r="AS204" s="90"/>
      <c r="AT204" s="91"/>
      <c r="AU204" s="91"/>
      <c r="AV204" s="92"/>
      <c r="AW204" s="90"/>
      <c r="AX204" s="91"/>
      <c r="AY204" s="93"/>
      <c r="AZ204" s="91"/>
      <c r="BA204" s="92"/>
      <c r="BB204" s="90"/>
      <c r="BC204" s="91"/>
      <c r="BD204" s="93"/>
      <c r="BE204" s="91"/>
      <c r="BF204" s="92"/>
      <c r="BG204" s="33">
        <f t="shared" si="2"/>
        <v>0</v>
      </c>
      <c r="BH204" s="27"/>
      <c r="BI204" s="27"/>
      <c r="BJ204" s="27"/>
    </row>
    <row r="205" ht="15.75" customHeight="1" spans="1:62">
      <c r="A205" s="29"/>
      <c r="B205" s="29"/>
      <c r="C205" s="29"/>
      <c r="D205" s="33">
        <v>196</v>
      </c>
      <c r="E205" s="31"/>
      <c r="F205" s="31"/>
      <c r="G205" s="32"/>
      <c r="H205" s="32"/>
      <c r="I205" s="33"/>
      <c r="J205" s="27" t="str">
        <f t="shared" si="0"/>
        <v/>
      </c>
      <c r="K205" s="32"/>
      <c r="L205" s="32"/>
      <c r="M205" s="32"/>
      <c r="N205" s="32"/>
      <c r="O205" s="32"/>
      <c r="P205" s="32"/>
      <c r="Q205" s="34"/>
      <c r="R205" s="88" t="str">
        <f ca="1" t="shared" si="4"/>
        <v/>
      </c>
      <c r="S205" s="27"/>
      <c r="T205" s="27"/>
      <c r="U205" s="27"/>
      <c r="V205" s="35"/>
      <c r="W205" s="30"/>
      <c r="X205" s="33"/>
      <c r="Y205" s="36"/>
      <c r="Z205" s="37"/>
      <c r="AA205" s="27"/>
      <c r="AB205" s="27"/>
      <c r="AC205" s="27"/>
      <c r="AD205" s="27"/>
      <c r="AE205" s="27"/>
      <c r="AF205" s="27"/>
      <c r="AG205" s="90" t="b">
        <v>0</v>
      </c>
      <c r="AH205" s="91" t="b">
        <v>0</v>
      </c>
      <c r="AI205" s="91" t="b">
        <v>0</v>
      </c>
      <c r="AJ205" s="92" t="b">
        <v>0</v>
      </c>
      <c r="AK205" s="90"/>
      <c r="AL205" s="91"/>
      <c r="AM205" s="91"/>
      <c r="AN205" s="92"/>
      <c r="AO205" s="90"/>
      <c r="AP205" s="91"/>
      <c r="AQ205" s="91"/>
      <c r="AR205" s="92"/>
      <c r="AS205" s="90"/>
      <c r="AT205" s="91"/>
      <c r="AU205" s="91"/>
      <c r="AV205" s="92"/>
      <c r="AW205" s="90"/>
      <c r="AX205" s="91"/>
      <c r="AY205" s="93"/>
      <c r="AZ205" s="91"/>
      <c r="BA205" s="92"/>
      <c r="BB205" s="90"/>
      <c r="BC205" s="91"/>
      <c r="BD205" s="93"/>
      <c r="BE205" s="91"/>
      <c r="BF205" s="92"/>
      <c r="BG205" s="33">
        <f t="shared" si="2"/>
        <v>0</v>
      </c>
      <c r="BH205" s="27"/>
      <c r="BI205" s="27"/>
      <c r="BJ205" s="27"/>
    </row>
    <row r="206" ht="15.75" customHeight="1" spans="1:62">
      <c r="A206" s="29"/>
      <c r="B206" s="29"/>
      <c r="C206" s="29"/>
      <c r="D206" s="33">
        <v>197</v>
      </c>
      <c r="E206" s="31"/>
      <c r="F206" s="31"/>
      <c r="G206" s="32"/>
      <c r="H206" s="32"/>
      <c r="I206" s="33"/>
      <c r="J206" s="27" t="str">
        <f t="shared" si="0"/>
        <v/>
      </c>
      <c r="K206" s="32"/>
      <c r="L206" s="32"/>
      <c r="M206" s="32"/>
      <c r="N206" s="32"/>
      <c r="O206" s="32"/>
      <c r="P206" s="32"/>
      <c r="Q206" s="34"/>
      <c r="R206" s="88" t="str">
        <f ca="1" t="shared" si="4"/>
        <v/>
      </c>
      <c r="S206" s="27"/>
      <c r="T206" s="27"/>
      <c r="U206" s="27"/>
      <c r="V206" s="35"/>
      <c r="W206" s="30"/>
      <c r="X206" s="33"/>
      <c r="Y206" s="36"/>
      <c r="Z206" s="37"/>
      <c r="AA206" s="27"/>
      <c r="AB206" s="27"/>
      <c r="AC206" s="27"/>
      <c r="AD206" s="27"/>
      <c r="AE206" s="27"/>
      <c r="AF206" s="27"/>
      <c r="AG206" s="90" t="b">
        <v>0</v>
      </c>
      <c r="AH206" s="91" t="b">
        <v>0</v>
      </c>
      <c r="AI206" s="91" t="b">
        <v>0</v>
      </c>
      <c r="AJ206" s="92" t="b">
        <v>0</v>
      </c>
      <c r="AK206" s="90"/>
      <c r="AL206" s="91"/>
      <c r="AM206" s="91"/>
      <c r="AN206" s="92"/>
      <c r="AO206" s="90"/>
      <c r="AP206" s="91"/>
      <c r="AQ206" s="91"/>
      <c r="AR206" s="92"/>
      <c r="AS206" s="90"/>
      <c r="AT206" s="91"/>
      <c r="AU206" s="91"/>
      <c r="AV206" s="92"/>
      <c r="AW206" s="90"/>
      <c r="AX206" s="91"/>
      <c r="AY206" s="93"/>
      <c r="AZ206" s="91"/>
      <c r="BA206" s="92"/>
      <c r="BB206" s="90"/>
      <c r="BC206" s="91"/>
      <c r="BD206" s="93"/>
      <c r="BE206" s="91"/>
      <c r="BF206" s="92"/>
      <c r="BG206" s="33">
        <f t="shared" si="2"/>
        <v>0</v>
      </c>
      <c r="BH206" s="27"/>
      <c r="BI206" s="27"/>
      <c r="BJ206" s="27"/>
    </row>
    <row r="207" ht="15.75" customHeight="1" spans="1:62">
      <c r="A207" s="29"/>
      <c r="B207" s="29"/>
      <c r="C207" s="29"/>
      <c r="D207" s="33">
        <v>198</v>
      </c>
      <c r="E207" s="31"/>
      <c r="F207" s="31"/>
      <c r="G207" s="32"/>
      <c r="H207" s="32"/>
      <c r="I207" s="33"/>
      <c r="J207" s="27" t="str">
        <f t="shared" si="0"/>
        <v/>
      </c>
      <c r="K207" s="32"/>
      <c r="L207" s="32"/>
      <c r="M207" s="32"/>
      <c r="N207" s="32"/>
      <c r="O207" s="32"/>
      <c r="P207" s="32"/>
      <c r="Q207" s="34"/>
      <c r="R207" s="88" t="str">
        <f ca="1" t="shared" si="4"/>
        <v/>
      </c>
      <c r="S207" s="27"/>
      <c r="T207" s="27"/>
      <c r="U207" s="27"/>
      <c r="V207" s="35"/>
      <c r="W207" s="30"/>
      <c r="X207" s="33"/>
      <c r="Y207" s="36"/>
      <c r="Z207" s="37"/>
      <c r="AA207" s="27"/>
      <c r="AB207" s="27"/>
      <c r="AC207" s="27"/>
      <c r="AD207" s="27"/>
      <c r="AE207" s="27"/>
      <c r="AF207" s="27"/>
      <c r="AG207" s="90" t="b">
        <v>0</v>
      </c>
      <c r="AH207" s="91" t="b">
        <v>0</v>
      </c>
      <c r="AI207" s="91" t="b">
        <v>0</v>
      </c>
      <c r="AJ207" s="92" t="b">
        <v>0</v>
      </c>
      <c r="AK207" s="90"/>
      <c r="AL207" s="91"/>
      <c r="AM207" s="91"/>
      <c r="AN207" s="92"/>
      <c r="AO207" s="90"/>
      <c r="AP207" s="91"/>
      <c r="AQ207" s="91"/>
      <c r="AR207" s="92"/>
      <c r="AS207" s="90"/>
      <c r="AT207" s="91"/>
      <c r="AU207" s="91"/>
      <c r="AV207" s="92"/>
      <c r="AW207" s="90"/>
      <c r="AX207" s="91"/>
      <c r="AY207" s="93"/>
      <c r="AZ207" s="91"/>
      <c r="BA207" s="92"/>
      <c r="BB207" s="90"/>
      <c r="BC207" s="91"/>
      <c r="BD207" s="93"/>
      <c r="BE207" s="91"/>
      <c r="BF207" s="92"/>
      <c r="BG207" s="33">
        <f t="shared" si="2"/>
        <v>0</v>
      </c>
      <c r="BH207" s="27"/>
      <c r="BI207" s="27"/>
      <c r="BJ207" s="27"/>
    </row>
    <row r="208" ht="15.75" customHeight="1" spans="1:62">
      <c r="A208" s="29"/>
      <c r="B208" s="29"/>
      <c r="C208" s="29"/>
      <c r="D208" s="33">
        <v>199</v>
      </c>
      <c r="E208" s="31"/>
      <c r="F208" s="31"/>
      <c r="G208" s="32"/>
      <c r="H208" s="32"/>
      <c r="I208" s="33"/>
      <c r="J208" s="27" t="str">
        <f t="shared" si="0"/>
        <v/>
      </c>
      <c r="K208" s="32"/>
      <c r="L208" s="32"/>
      <c r="M208" s="32"/>
      <c r="N208" s="32"/>
      <c r="O208" s="32"/>
      <c r="P208" s="32"/>
      <c r="Q208" s="34"/>
      <c r="R208" s="88" t="str">
        <f ca="1" t="shared" si="4"/>
        <v/>
      </c>
      <c r="S208" s="27"/>
      <c r="T208" s="27"/>
      <c r="U208" s="27"/>
      <c r="V208" s="35"/>
      <c r="W208" s="30"/>
      <c r="X208" s="33"/>
      <c r="Y208" s="36"/>
      <c r="Z208" s="37"/>
      <c r="AA208" s="27"/>
      <c r="AB208" s="27"/>
      <c r="AC208" s="27"/>
      <c r="AD208" s="27"/>
      <c r="AE208" s="27"/>
      <c r="AF208" s="27"/>
      <c r="AG208" s="90" t="b">
        <v>0</v>
      </c>
      <c r="AH208" s="91" t="b">
        <v>0</v>
      </c>
      <c r="AI208" s="91" t="b">
        <v>0</v>
      </c>
      <c r="AJ208" s="92" t="b">
        <v>0</v>
      </c>
      <c r="AK208" s="90"/>
      <c r="AL208" s="91"/>
      <c r="AM208" s="91"/>
      <c r="AN208" s="92"/>
      <c r="AO208" s="90"/>
      <c r="AP208" s="91"/>
      <c r="AQ208" s="91"/>
      <c r="AR208" s="92"/>
      <c r="AS208" s="90"/>
      <c r="AT208" s="91"/>
      <c r="AU208" s="91"/>
      <c r="AV208" s="92"/>
      <c r="AW208" s="90"/>
      <c r="AX208" s="91"/>
      <c r="AY208" s="93"/>
      <c r="AZ208" s="91"/>
      <c r="BA208" s="92"/>
      <c r="BB208" s="90"/>
      <c r="BC208" s="91"/>
      <c r="BD208" s="93"/>
      <c r="BE208" s="91"/>
      <c r="BF208" s="92"/>
      <c r="BG208" s="33">
        <f t="shared" si="2"/>
        <v>0</v>
      </c>
      <c r="BH208" s="27"/>
      <c r="BI208" s="27"/>
      <c r="BJ208" s="27"/>
    </row>
    <row r="209" ht="15.75" customHeight="1" spans="1:62">
      <c r="A209" s="29"/>
      <c r="B209" s="29"/>
      <c r="C209" s="29"/>
      <c r="D209" s="33">
        <v>200</v>
      </c>
      <c r="E209" s="31"/>
      <c r="F209" s="31"/>
      <c r="G209" s="32"/>
      <c r="H209" s="32"/>
      <c r="I209" s="33"/>
      <c r="J209" s="27" t="str">
        <f t="shared" si="0"/>
        <v/>
      </c>
      <c r="K209" s="32"/>
      <c r="L209" s="32"/>
      <c r="M209" s="32"/>
      <c r="N209" s="32"/>
      <c r="O209" s="32"/>
      <c r="P209" s="32"/>
      <c r="Q209" s="34"/>
      <c r="R209" s="88" t="str">
        <f ca="1" t="shared" si="4"/>
        <v/>
      </c>
      <c r="S209" s="27"/>
      <c r="T209" s="27"/>
      <c r="U209" s="27"/>
      <c r="V209" s="35"/>
      <c r="W209" s="30"/>
      <c r="X209" s="33"/>
      <c r="Y209" s="36"/>
      <c r="Z209" s="37"/>
      <c r="AA209" s="27"/>
      <c r="AB209" s="27"/>
      <c r="AC209" s="27"/>
      <c r="AD209" s="27"/>
      <c r="AE209" s="27"/>
      <c r="AF209" s="27"/>
      <c r="AG209" s="90" t="b">
        <v>0</v>
      </c>
      <c r="AH209" s="91" t="b">
        <v>0</v>
      </c>
      <c r="AI209" s="91" t="b">
        <v>0</v>
      </c>
      <c r="AJ209" s="92" t="b">
        <v>0</v>
      </c>
      <c r="AK209" s="90"/>
      <c r="AL209" s="91"/>
      <c r="AM209" s="91"/>
      <c r="AN209" s="92"/>
      <c r="AO209" s="90"/>
      <c r="AP209" s="91"/>
      <c r="AQ209" s="91"/>
      <c r="AR209" s="92"/>
      <c r="AS209" s="90"/>
      <c r="AT209" s="91"/>
      <c r="AU209" s="91"/>
      <c r="AV209" s="92"/>
      <c r="AW209" s="90"/>
      <c r="AX209" s="91"/>
      <c r="AY209" s="93"/>
      <c r="AZ209" s="91"/>
      <c r="BA209" s="92"/>
      <c r="BB209" s="90"/>
      <c r="BC209" s="91"/>
      <c r="BD209" s="93"/>
      <c r="BE209" s="91"/>
      <c r="BF209" s="92"/>
      <c r="BG209" s="33">
        <f t="shared" si="2"/>
        <v>0</v>
      </c>
      <c r="BH209" s="27"/>
      <c r="BI209" s="27"/>
      <c r="BJ209" s="27"/>
    </row>
    <row r="210" ht="15.75" customHeight="1" spans="1:62">
      <c r="A210" s="29"/>
      <c r="B210" s="29"/>
      <c r="C210" s="29"/>
      <c r="D210" s="33">
        <v>201</v>
      </c>
      <c r="E210" s="31"/>
      <c r="F210" s="31"/>
      <c r="G210" s="32"/>
      <c r="H210" s="32"/>
      <c r="I210" s="33"/>
      <c r="J210" s="27" t="str">
        <f t="shared" si="0"/>
        <v/>
      </c>
      <c r="K210" s="32"/>
      <c r="L210" s="32"/>
      <c r="M210" s="32"/>
      <c r="N210" s="32"/>
      <c r="O210" s="32"/>
      <c r="P210" s="32"/>
      <c r="Q210" s="34"/>
      <c r="R210" s="88" t="str">
        <f ca="1" t="shared" si="4"/>
        <v/>
      </c>
      <c r="S210" s="27"/>
      <c r="T210" s="27"/>
      <c r="U210" s="27"/>
      <c r="V210" s="35"/>
      <c r="W210" s="30"/>
      <c r="X210" s="33"/>
      <c r="Y210" s="36"/>
      <c r="Z210" s="37"/>
      <c r="AA210" s="27"/>
      <c r="AB210" s="27"/>
      <c r="AC210" s="27"/>
      <c r="AD210" s="27"/>
      <c r="AE210" s="27"/>
      <c r="AF210" s="27"/>
      <c r="AG210" s="90"/>
      <c r="AH210" s="91"/>
      <c r="AI210" s="91"/>
      <c r="AJ210" s="92"/>
      <c r="AK210" s="90"/>
      <c r="AL210" s="91"/>
      <c r="AM210" s="91"/>
      <c r="AN210" s="92"/>
      <c r="AO210" s="90"/>
      <c r="AP210" s="91"/>
      <c r="AQ210" s="91"/>
      <c r="AR210" s="92"/>
      <c r="AS210" s="90"/>
      <c r="AT210" s="91"/>
      <c r="AU210" s="91"/>
      <c r="AV210" s="92"/>
      <c r="AW210" s="90"/>
      <c r="AX210" s="91"/>
      <c r="AY210" s="93"/>
      <c r="AZ210" s="91"/>
      <c r="BA210" s="92"/>
      <c r="BB210" s="90"/>
      <c r="BC210" s="91"/>
      <c r="BD210" s="93"/>
      <c r="BE210" s="91"/>
      <c r="BF210" s="92"/>
      <c r="BG210" s="33">
        <f t="shared" si="2"/>
        <v>0</v>
      </c>
      <c r="BH210" s="27"/>
      <c r="BI210" s="27"/>
      <c r="BJ210" s="27"/>
    </row>
    <row r="211" ht="15.75" customHeight="1" spans="1:62">
      <c r="A211" s="29"/>
      <c r="B211" s="29"/>
      <c r="C211" s="29"/>
      <c r="D211" s="33">
        <v>202</v>
      </c>
      <c r="E211" s="31"/>
      <c r="F211" s="31"/>
      <c r="G211" s="32"/>
      <c r="H211" s="32"/>
      <c r="I211" s="33"/>
      <c r="J211" s="27" t="str">
        <f t="shared" si="0"/>
        <v/>
      </c>
      <c r="K211" s="32"/>
      <c r="L211" s="32"/>
      <c r="M211" s="32"/>
      <c r="N211" s="32"/>
      <c r="O211" s="32"/>
      <c r="P211" s="32"/>
      <c r="Q211" s="34"/>
      <c r="R211" s="88" t="str">
        <f ca="1" t="shared" si="4"/>
        <v/>
      </c>
      <c r="S211" s="27"/>
      <c r="T211" s="27"/>
      <c r="U211" s="27"/>
      <c r="V211" s="35"/>
      <c r="W211" s="30"/>
      <c r="X211" s="33"/>
      <c r="Y211" s="36"/>
      <c r="Z211" s="37"/>
      <c r="AA211" s="27"/>
      <c r="AB211" s="27"/>
      <c r="AC211" s="27"/>
      <c r="AD211" s="27"/>
      <c r="AE211" s="27"/>
      <c r="AF211" s="27"/>
      <c r="AG211" s="90"/>
      <c r="AH211" s="91"/>
      <c r="AI211" s="91"/>
      <c r="AJ211" s="92"/>
      <c r="AK211" s="90"/>
      <c r="AL211" s="91"/>
      <c r="AM211" s="91"/>
      <c r="AN211" s="92"/>
      <c r="AO211" s="90"/>
      <c r="AP211" s="91"/>
      <c r="AQ211" s="91"/>
      <c r="AR211" s="92"/>
      <c r="AS211" s="90"/>
      <c r="AT211" s="91"/>
      <c r="AU211" s="91"/>
      <c r="AV211" s="92"/>
      <c r="AW211" s="90"/>
      <c r="AX211" s="91"/>
      <c r="AY211" s="93"/>
      <c r="AZ211" s="91"/>
      <c r="BA211" s="92"/>
      <c r="BB211" s="90"/>
      <c r="BC211" s="91"/>
      <c r="BD211" s="93"/>
      <c r="BE211" s="91"/>
      <c r="BF211" s="92"/>
      <c r="BG211" s="33">
        <f t="shared" si="2"/>
        <v>0</v>
      </c>
      <c r="BH211" s="27"/>
      <c r="BI211" s="27"/>
      <c r="BJ211" s="27"/>
    </row>
    <row r="212" ht="15.75" customHeight="1" spans="1:62">
      <c r="A212" s="29"/>
      <c r="B212" s="29"/>
      <c r="C212" s="29"/>
      <c r="D212" s="33">
        <v>203</v>
      </c>
      <c r="E212" s="31"/>
      <c r="F212" s="31"/>
      <c r="G212" s="32"/>
      <c r="H212" s="32"/>
      <c r="I212" s="33"/>
      <c r="J212" s="27" t="str">
        <f t="shared" si="0"/>
        <v/>
      </c>
      <c r="K212" s="32"/>
      <c r="L212" s="32"/>
      <c r="M212" s="32"/>
      <c r="N212" s="32"/>
      <c r="O212" s="32"/>
      <c r="P212" s="32"/>
      <c r="Q212" s="34"/>
      <c r="R212" s="88" t="str">
        <f ca="1" t="shared" si="4"/>
        <v/>
      </c>
      <c r="S212" s="27"/>
      <c r="T212" s="27"/>
      <c r="U212" s="27"/>
      <c r="V212" s="35"/>
      <c r="W212" s="30"/>
      <c r="X212" s="33"/>
      <c r="Y212" s="36"/>
      <c r="Z212" s="37"/>
      <c r="AA212" s="27"/>
      <c r="AB212" s="27"/>
      <c r="AC212" s="27"/>
      <c r="AD212" s="27"/>
      <c r="AE212" s="27"/>
      <c r="AF212" s="27"/>
      <c r="AG212" s="90"/>
      <c r="AH212" s="91"/>
      <c r="AI212" s="91"/>
      <c r="AJ212" s="92"/>
      <c r="AK212" s="90"/>
      <c r="AL212" s="91"/>
      <c r="AM212" s="91"/>
      <c r="AN212" s="92"/>
      <c r="AO212" s="90"/>
      <c r="AP212" s="91"/>
      <c r="AQ212" s="91"/>
      <c r="AR212" s="92"/>
      <c r="AS212" s="90"/>
      <c r="AT212" s="91"/>
      <c r="AU212" s="91"/>
      <c r="AV212" s="92"/>
      <c r="AW212" s="90"/>
      <c r="AX212" s="91"/>
      <c r="AY212" s="93"/>
      <c r="AZ212" s="91"/>
      <c r="BA212" s="92"/>
      <c r="BB212" s="90"/>
      <c r="BC212" s="91"/>
      <c r="BD212" s="93"/>
      <c r="BE212" s="91"/>
      <c r="BF212" s="92"/>
      <c r="BG212" s="33">
        <f t="shared" si="2"/>
        <v>0</v>
      </c>
      <c r="BH212" s="27"/>
      <c r="BI212" s="27"/>
      <c r="BJ212" s="27"/>
    </row>
    <row r="213" ht="15.75" customHeight="1" spans="1:62">
      <c r="A213" s="29"/>
      <c r="B213" s="29"/>
      <c r="C213" s="29"/>
      <c r="D213" s="33">
        <v>204</v>
      </c>
      <c r="E213" s="31"/>
      <c r="F213" s="31"/>
      <c r="G213" s="32"/>
      <c r="H213" s="32"/>
      <c r="I213" s="33"/>
      <c r="J213" s="27" t="str">
        <f t="shared" si="0"/>
        <v/>
      </c>
      <c r="K213" s="32"/>
      <c r="L213" s="32"/>
      <c r="M213" s="32"/>
      <c r="N213" s="32"/>
      <c r="O213" s="32"/>
      <c r="P213" s="32"/>
      <c r="Q213" s="34"/>
      <c r="R213" s="88" t="str">
        <f ca="1" t="shared" si="4"/>
        <v/>
      </c>
      <c r="S213" s="27"/>
      <c r="T213" s="27"/>
      <c r="U213" s="27"/>
      <c r="V213" s="35"/>
      <c r="W213" s="30"/>
      <c r="X213" s="33"/>
      <c r="Y213" s="36"/>
      <c r="Z213" s="37"/>
      <c r="AA213" s="27"/>
      <c r="AB213" s="27"/>
      <c r="AC213" s="27"/>
      <c r="AD213" s="27"/>
      <c r="AE213" s="27"/>
      <c r="AF213" s="27"/>
      <c r="AG213" s="90"/>
      <c r="AH213" s="91"/>
      <c r="AI213" s="91"/>
      <c r="AJ213" s="92"/>
      <c r="AK213" s="90"/>
      <c r="AL213" s="91"/>
      <c r="AM213" s="91"/>
      <c r="AN213" s="92"/>
      <c r="AO213" s="90"/>
      <c r="AP213" s="91"/>
      <c r="AQ213" s="91"/>
      <c r="AR213" s="92"/>
      <c r="AS213" s="90"/>
      <c r="AT213" s="91"/>
      <c r="AU213" s="91"/>
      <c r="AV213" s="92"/>
      <c r="AW213" s="90"/>
      <c r="AX213" s="91"/>
      <c r="AY213" s="93"/>
      <c r="AZ213" s="91"/>
      <c r="BA213" s="92"/>
      <c r="BB213" s="90"/>
      <c r="BC213" s="91"/>
      <c r="BD213" s="93"/>
      <c r="BE213" s="91"/>
      <c r="BF213" s="92"/>
      <c r="BG213" s="33">
        <f t="shared" si="2"/>
        <v>0</v>
      </c>
      <c r="BH213" s="27"/>
      <c r="BI213" s="27"/>
      <c r="BJ213" s="27"/>
    </row>
    <row r="214" ht="15.75" customHeight="1" spans="1:62">
      <c r="A214" s="29"/>
      <c r="B214" s="29"/>
      <c r="C214" s="29"/>
      <c r="D214" s="33">
        <v>205</v>
      </c>
      <c r="E214" s="31"/>
      <c r="F214" s="31"/>
      <c r="G214" s="32"/>
      <c r="H214" s="32"/>
      <c r="I214" s="33"/>
      <c r="J214" s="27" t="str">
        <f t="shared" si="0"/>
        <v/>
      </c>
      <c r="K214" s="32"/>
      <c r="L214" s="32"/>
      <c r="M214" s="32"/>
      <c r="N214" s="32"/>
      <c r="O214" s="32"/>
      <c r="P214" s="32"/>
      <c r="Q214" s="34"/>
      <c r="R214" s="88" t="str">
        <f ca="1" t="shared" si="4"/>
        <v/>
      </c>
      <c r="S214" s="27"/>
      <c r="T214" s="27"/>
      <c r="U214" s="27"/>
      <c r="V214" s="35"/>
      <c r="W214" s="30"/>
      <c r="X214" s="33"/>
      <c r="Y214" s="36"/>
      <c r="Z214" s="37"/>
      <c r="AA214" s="27"/>
      <c r="AB214" s="27"/>
      <c r="AC214" s="27"/>
      <c r="AD214" s="27"/>
      <c r="AE214" s="27"/>
      <c r="AF214" s="27"/>
      <c r="AG214" s="90"/>
      <c r="AH214" s="91"/>
      <c r="AI214" s="91"/>
      <c r="AJ214" s="92"/>
      <c r="AK214" s="90"/>
      <c r="AL214" s="91"/>
      <c r="AM214" s="91"/>
      <c r="AN214" s="92"/>
      <c r="AO214" s="90"/>
      <c r="AP214" s="91"/>
      <c r="AQ214" s="91"/>
      <c r="AR214" s="92"/>
      <c r="AS214" s="90"/>
      <c r="AT214" s="91"/>
      <c r="AU214" s="91"/>
      <c r="AV214" s="92"/>
      <c r="AW214" s="90"/>
      <c r="AX214" s="91"/>
      <c r="AY214" s="93"/>
      <c r="AZ214" s="91"/>
      <c r="BA214" s="92"/>
      <c r="BB214" s="90"/>
      <c r="BC214" s="91"/>
      <c r="BD214" s="93"/>
      <c r="BE214" s="91"/>
      <c r="BF214" s="92"/>
      <c r="BG214" s="33">
        <f t="shared" si="2"/>
        <v>0</v>
      </c>
      <c r="BH214" s="27"/>
      <c r="BI214" s="27"/>
      <c r="BJ214" s="27"/>
    </row>
    <row r="215" ht="15.75" customHeight="1" spans="1:62">
      <c r="A215" s="29"/>
      <c r="B215" s="29"/>
      <c r="C215" s="29"/>
      <c r="D215" s="33">
        <v>206</v>
      </c>
      <c r="E215" s="31"/>
      <c r="F215" s="31"/>
      <c r="G215" s="32"/>
      <c r="H215" s="32"/>
      <c r="I215" s="33"/>
      <c r="J215" s="27" t="str">
        <f t="shared" si="0"/>
        <v/>
      </c>
      <c r="K215" s="32"/>
      <c r="L215" s="32"/>
      <c r="M215" s="32"/>
      <c r="N215" s="32"/>
      <c r="O215" s="32"/>
      <c r="P215" s="32"/>
      <c r="Q215" s="34"/>
      <c r="R215" s="88" t="str">
        <f ca="1" t="shared" si="4"/>
        <v/>
      </c>
      <c r="S215" s="27"/>
      <c r="T215" s="27"/>
      <c r="U215" s="27"/>
      <c r="V215" s="35"/>
      <c r="W215" s="30"/>
      <c r="X215" s="33"/>
      <c r="Y215" s="36"/>
      <c r="Z215" s="37"/>
      <c r="AA215" s="27"/>
      <c r="AB215" s="27"/>
      <c r="AC215" s="27"/>
      <c r="AD215" s="27"/>
      <c r="AE215" s="27"/>
      <c r="AF215" s="27"/>
      <c r="AG215" s="90"/>
      <c r="AH215" s="91"/>
      <c r="AI215" s="91"/>
      <c r="AJ215" s="92"/>
      <c r="AK215" s="90"/>
      <c r="AL215" s="91"/>
      <c r="AM215" s="91"/>
      <c r="AN215" s="92"/>
      <c r="AO215" s="90"/>
      <c r="AP215" s="91"/>
      <c r="AQ215" s="91"/>
      <c r="AR215" s="92"/>
      <c r="AS215" s="90"/>
      <c r="AT215" s="91"/>
      <c r="AU215" s="91"/>
      <c r="AV215" s="92"/>
      <c r="AW215" s="90"/>
      <c r="AX215" s="91"/>
      <c r="AY215" s="93"/>
      <c r="AZ215" s="91"/>
      <c r="BA215" s="92"/>
      <c r="BB215" s="90"/>
      <c r="BC215" s="91"/>
      <c r="BD215" s="93"/>
      <c r="BE215" s="91"/>
      <c r="BF215" s="92"/>
      <c r="BG215" s="33">
        <f t="shared" si="2"/>
        <v>0</v>
      </c>
      <c r="BH215" s="27"/>
      <c r="BI215" s="27"/>
      <c r="BJ215" s="27"/>
    </row>
    <row r="216" ht="15.75" customHeight="1" spans="1:62">
      <c r="A216" s="29"/>
      <c r="B216" s="29"/>
      <c r="C216" s="29"/>
      <c r="D216" s="33">
        <v>207</v>
      </c>
      <c r="E216" s="31"/>
      <c r="F216" s="31"/>
      <c r="G216" s="32"/>
      <c r="H216" s="32"/>
      <c r="I216" s="33"/>
      <c r="J216" s="27" t="str">
        <f t="shared" si="0"/>
        <v/>
      </c>
      <c r="K216" s="32"/>
      <c r="L216" s="32"/>
      <c r="M216" s="32"/>
      <c r="N216" s="32"/>
      <c r="O216" s="32"/>
      <c r="P216" s="32"/>
      <c r="Q216" s="34"/>
      <c r="R216" s="88" t="str">
        <f ca="1" t="shared" si="4"/>
        <v/>
      </c>
      <c r="S216" s="27"/>
      <c r="T216" s="27"/>
      <c r="U216" s="27"/>
      <c r="V216" s="35"/>
      <c r="W216" s="30"/>
      <c r="X216" s="33"/>
      <c r="Y216" s="36"/>
      <c r="Z216" s="37"/>
      <c r="AA216" s="27"/>
      <c r="AB216" s="27"/>
      <c r="AC216" s="27"/>
      <c r="AD216" s="27"/>
      <c r="AE216" s="27"/>
      <c r="AF216" s="27"/>
      <c r="AG216" s="90"/>
      <c r="AH216" s="91"/>
      <c r="AI216" s="91"/>
      <c r="AJ216" s="92"/>
      <c r="AK216" s="90"/>
      <c r="AL216" s="91"/>
      <c r="AM216" s="91"/>
      <c r="AN216" s="92"/>
      <c r="AO216" s="90"/>
      <c r="AP216" s="91"/>
      <c r="AQ216" s="91"/>
      <c r="AR216" s="92"/>
      <c r="AS216" s="90"/>
      <c r="AT216" s="91"/>
      <c r="AU216" s="91"/>
      <c r="AV216" s="92"/>
      <c r="AW216" s="90"/>
      <c r="AX216" s="91"/>
      <c r="AY216" s="93"/>
      <c r="AZ216" s="91"/>
      <c r="BA216" s="92"/>
      <c r="BB216" s="90"/>
      <c r="BC216" s="91"/>
      <c r="BD216" s="93"/>
      <c r="BE216" s="91"/>
      <c r="BF216" s="92"/>
      <c r="BG216" s="33">
        <f t="shared" si="2"/>
        <v>0</v>
      </c>
      <c r="BH216" s="27"/>
      <c r="BI216" s="27"/>
      <c r="BJ216" s="27"/>
    </row>
    <row r="217" ht="15.75" customHeight="1" spans="1:62">
      <c r="A217" s="29"/>
      <c r="B217" s="29"/>
      <c r="C217" s="29"/>
      <c r="D217" s="33">
        <v>208</v>
      </c>
      <c r="E217" s="31"/>
      <c r="F217" s="31"/>
      <c r="G217" s="32"/>
      <c r="H217" s="32"/>
      <c r="I217" s="33"/>
      <c r="J217" s="27" t="str">
        <f t="shared" si="0"/>
        <v/>
      </c>
      <c r="K217" s="32"/>
      <c r="L217" s="32"/>
      <c r="M217" s="32"/>
      <c r="N217" s="32"/>
      <c r="O217" s="32"/>
      <c r="P217" s="32"/>
      <c r="Q217" s="34"/>
      <c r="R217" s="88" t="str">
        <f ca="1" t="shared" si="4"/>
        <v/>
      </c>
      <c r="S217" s="27"/>
      <c r="T217" s="27"/>
      <c r="U217" s="27"/>
      <c r="V217" s="35"/>
      <c r="W217" s="30"/>
      <c r="X217" s="33"/>
      <c r="Y217" s="36"/>
      <c r="Z217" s="37"/>
      <c r="AA217" s="27"/>
      <c r="AB217" s="27"/>
      <c r="AC217" s="27"/>
      <c r="AD217" s="27"/>
      <c r="AE217" s="27"/>
      <c r="AF217" s="27"/>
      <c r="AG217" s="90"/>
      <c r="AH217" s="91"/>
      <c r="AI217" s="91"/>
      <c r="AJ217" s="92"/>
      <c r="AK217" s="90"/>
      <c r="AL217" s="91"/>
      <c r="AM217" s="91"/>
      <c r="AN217" s="92"/>
      <c r="AO217" s="90"/>
      <c r="AP217" s="91"/>
      <c r="AQ217" s="91"/>
      <c r="AR217" s="92"/>
      <c r="AS217" s="90"/>
      <c r="AT217" s="91"/>
      <c r="AU217" s="91"/>
      <c r="AV217" s="92"/>
      <c r="AW217" s="90"/>
      <c r="AX217" s="91"/>
      <c r="AY217" s="93"/>
      <c r="AZ217" s="91"/>
      <c r="BA217" s="92"/>
      <c r="BB217" s="90"/>
      <c r="BC217" s="91"/>
      <c r="BD217" s="93"/>
      <c r="BE217" s="91"/>
      <c r="BF217" s="92"/>
      <c r="BG217" s="33">
        <f t="shared" si="2"/>
        <v>0</v>
      </c>
      <c r="BH217" s="27"/>
      <c r="BI217" s="27"/>
      <c r="BJ217" s="27"/>
    </row>
    <row r="218" ht="15.75" customHeight="1" spans="1:62">
      <c r="A218" s="29"/>
      <c r="B218" s="29"/>
      <c r="C218" s="29"/>
      <c r="D218" s="33">
        <v>209</v>
      </c>
      <c r="E218" s="31"/>
      <c r="F218" s="31"/>
      <c r="G218" s="32"/>
      <c r="H218" s="32"/>
      <c r="I218" s="33"/>
      <c r="J218" s="27" t="str">
        <f t="shared" si="0"/>
        <v/>
      </c>
      <c r="K218" s="32"/>
      <c r="L218" s="32"/>
      <c r="M218" s="32"/>
      <c r="N218" s="32"/>
      <c r="O218" s="32"/>
      <c r="P218" s="32"/>
      <c r="Q218" s="34"/>
      <c r="R218" s="88" t="str">
        <f ca="1" t="shared" si="4"/>
        <v/>
      </c>
      <c r="S218" s="27"/>
      <c r="T218" s="27"/>
      <c r="U218" s="27"/>
      <c r="V218" s="35"/>
      <c r="W218" s="30"/>
      <c r="X218" s="33"/>
      <c r="Y218" s="36"/>
      <c r="Z218" s="37"/>
      <c r="AA218" s="27"/>
      <c r="AB218" s="27"/>
      <c r="AC218" s="27"/>
      <c r="AD218" s="27"/>
      <c r="AE218" s="27"/>
      <c r="AF218" s="27"/>
      <c r="AG218" s="90"/>
      <c r="AH218" s="91"/>
      <c r="AI218" s="91"/>
      <c r="AJ218" s="92"/>
      <c r="AK218" s="90"/>
      <c r="AL218" s="91"/>
      <c r="AM218" s="91"/>
      <c r="AN218" s="92"/>
      <c r="AO218" s="90"/>
      <c r="AP218" s="91"/>
      <c r="AQ218" s="91"/>
      <c r="AR218" s="92"/>
      <c r="AS218" s="90"/>
      <c r="AT218" s="91"/>
      <c r="AU218" s="91"/>
      <c r="AV218" s="92"/>
      <c r="AW218" s="90"/>
      <c r="AX218" s="91"/>
      <c r="AY218" s="93"/>
      <c r="AZ218" s="91"/>
      <c r="BA218" s="92"/>
      <c r="BB218" s="90"/>
      <c r="BC218" s="91"/>
      <c r="BD218" s="93"/>
      <c r="BE218" s="91"/>
      <c r="BF218" s="92"/>
      <c r="BG218" s="33">
        <f t="shared" si="2"/>
        <v>0</v>
      </c>
      <c r="BH218" s="27"/>
      <c r="BI218" s="27"/>
      <c r="BJ218" s="27"/>
    </row>
    <row r="219" ht="15.75" customHeight="1" spans="1:62">
      <c r="A219" s="29"/>
      <c r="B219" s="29"/>
      <c r="C219" s="29"/>
      <c r="D219" s="33">
        <v>210</v>
      </c>
      <c r="E219" s="31"/>
      <c r="F219" s="31"/>
      <c r="G219" s="32"/>
      <c r="H219" s="32"/>
      <c r="I219" s="33"/>
      <c r="J219" s="27" t="str">
        <f t="shared" si="0"/>
        <v/>
      </c>
      <c r="K219" s="32"/>
      <c r="L219" s="32"/>
      <c r="M219" s="32"/>
      <c r="N219" s="32"/>
      <c r="O219" s="32"/>
      <c r="P219" s="32"/>
      <c r="Q219" s="34"/>
      <c r="R219" s="88" t="str">
        <f ca="1" t="shared" si="4"/>
        <v/>
      </c>
      <c r="S219" s="27"/>
      <c r="T219" s="27"/>
      <c r="U219" s="27"/>
      <c r="V219" s="35"/>
      <c r="W219" s="30"/>
      <c r="X219" s="33"/>
      <c r="Y219" s="36"/>
      <c r="Z219" s="37"/>
      <c r="AA219" s="27"/>
      <c r="AB219" s="27"/>
      <c r="AC219" s="27"/>
      <c r="AD219" s="27"/>
      <c r="AE219" s="27"/>
      <c r="AF219" s="27"/>
      <c r="AG219" s="90"/>
      <c r="AH219" s="91"/>
      <c r="AI219" s="91"/>
      <c r="AJ219" s="92"/>
      <c r="AK219" s="90"/>
      <c r="AL219" s="91"/>
      <c r="AM219" s="91"/>
      <c r="AN219" s="92"/>
      <c r="AO219" s="90"/>
      <c r="AP219" s="91"/>
      <c r="AQ219" s="91"/>
      <c r="AR219" s="92"/>
      <c r="AS219" s="90"/>
      <c r="AT219" s="91"/>
      <c r="AU219" s="91"/>
      <c r="AV219" s="92"/>
      <c r="AW219" s="90"/>
      <c r="AX219" s="91"/>
      <c r="AY219" s="93"/>
      <c r="AZ219" s="91"/>
      <c r="BA219" s="92"/>
      <c r="BB219" s="90"/>
      <c r="BC219" s="91"/>
      <c r="BD219" s="93"/>
      <c r="BE219" s="91"/>
      <c r="BF219" s="92"/>
      <c r="BG219" s="33">
        <f t="shared" si="2"/>
        <v>0</v>
      </c>
      <c r="BH219" s="27"/>
      <c r="BI219" s="27"/>
      <c r="BJ219" s="27"/>
    </row>
    <row r="220" ht="15.75" customHeight="1" spans="1:62">
      <c r="A220" s="29"/>
      <c r="B220" s="29"/>
      <c r="C220" s="29"/>
      <c r="D220" s="33">
        <v>211</v>
      </c>
      <c r="E220" s="31"/>
      <c r="F220" s="31"/>
      <c r="G220" s="32"/>
      <c r="H220" s="32"/>
      <c r="I220" s="33"/>
      <c r="J220" s="27" t="str">
        <f t="shared" si="0"/>
        <v/>
      </c>
      <c r="K220" s="32"/>
      <c r="L220" s="32"/>
      <c r="M220" s="32"/>
      <c r="N220" s="32"/>
      <c r="O220" s="32"/>
      <c r="P220" s="32"/>
      <c r="Q220" s="34"/>
      <c r="R220" s="88" t="str">
        <f ca="1" t="shared" si="4"/>
        <v/>
      </c>
      <c r="S220" s="27"/>
      <c r="T220" s="27"/>
      <c r="U220" s="27"/>
      <c r="V220" s="35"/>
      <c r="W220" s="30"/>
      <c r="X220" s="33"/>
      <c r="Y220" s="36"/>
      <c r="Z220" s="37"/>
      <c r="AA220" s="27"/>
      <c r="AB220" s="27"/>
      <c r="AC220" s="27"/>
      <c r="AD220" s="27"/>
      <c r="AE220" s="27"/>
      <c r="AF220" s="27"/>
      <c r="AG220" s="90"/>
      <c r="AH220" s="91"/>
      <c r="AI220" s="91"/>
      <c r="AJ220" s="92"/>
      <c r="AK220" s="90"/>
      <c r="AL220" s="91"/>
      <c r="AM220" s="91"/>
      <c r="AN220" s="92"/>
      <c r="AO220" s="90"/>
      <c r="AP220" s="91"/>
      <c r="AQ220" s="91"/>
      <c r="AR220" s="92"/>
      <c r="AS220" s="90"/>
      <c r="AT220" s="91"/>
      <c r="AU220" s="91"/>
      <c r="AV220" s="92"/>
      <c r="AW220" s="90"/>
      <c r="AX220" s="91"/>
      <c r="AY220" s="93"/>
      <c r="AZ220" s="91"/>
      <c r="BA220" s="92"/>
      <c r="BB220" s="90"/>
      <c r="BC220" s="91"/>
      <c r="BD220" s="93"/>
      <c r="BE220" s="91"/>
      <c r="BF220" s="92"/>
      <c r="BG220" s="33">
        <f t="shared" si="2"/>
        <v>0</v>
      </c>
      <c r="BH220" s="27"/>
      <c r="BI220" s="27"/>
      <c r="BJ220" s="27"/>
    </row>
    <row r="221" ht="15.75" customHeight="1" spans="1:62">
      <c r="A221" s="29"/>
      <c r="B221" s="29"/>
      <c r="C221" s="29"/>
      <c r="D221" s="33">
        <v>212</v>
      </c>
      <c r="E221" s="31"/>
      <c r="F221" s="31"/>
      <c r="G221" s="32"/>
      <c r="H221" s="32"/>
      <c r="I221" s="33"/>
      <c r="J221" s="27" t="str">
        <f t="shared" si="0"/>
        <v/>
      </c>
      <c r="K221" s="32"/>
      <c r="L221" s="32"/>
      <c r="M221" s="32"/>
      <c r="N221" s="32"/>
      <c r="O221" s="32"/>
      <c r="P221" s="32"/>
      <c r="Q221" s="34"/>
      <c r="R221" s="88" t="str">
        <f ca="1" t="shared" si="4"/>
        <v/>
      </c>
      <c r="S221" s="27"/>
      <c r="T221" s="27"/>
      <c r="U221" s="27"/>
      <c r="V221" s="35"/>
      <c r="W221" s="30"/>
      <c r="X221" s="33"/>
      <c r="Y221" s="36"/>
      <c r="Z221" s="37"/>
      <c r="AA221" s="27"/>
      <c r="AB221" s="27"/>
      <c r="AC221" s="27"/>
      <c r="AD221" s="27"/>
      <c r="AE221" s="27"/>
      <c r="AF221" s="27"/>
      <c r="AG221" s="90"/>
      <c r="AH221" s="91"/>
      <c r="AI221" s="91"/>
      <c r="AJ221" s="92"/>
      <c r="AK221" s="90"/>
      <c r="AL221" s="91"/>
      <c r="AM221" s="91"/>
      <c r="AN221" s="92"/>
      <c r="AO221" s="90"/>
      <c r="AP221" s="91"/>
      <c r="AQ221" s="91"/>
      <c r="AR221" s="92"/>
      <c r="AS221" s="90"/>
      <c r="AT221" s="91"/>
      <c r="AU221" s="91"/>
      <c r="AV221" s="92"/>
      <c r="AW221" s="90"/>
      <c r="AX221" s="91"/>
      <c r="AY221" s="93"/>
      <c r="AZ221" s="91"/>
      <c r="BA221" s="92"/>
      <c r="BB221" s="90"/>
      <c r="BC221" s="91"/>
      <c r="BD221" s="93"/>
      <c r="BE221" s="91"/>
      <c r="BF221" s="92"/>
      <c r="BG221" s="33">
        <f t="shared" si="2"/>
        <v>0</v>
      </c>
      <c r="BH221" s="27"/>
      <c r="BI221" s="27"/>
      <c r="BJ221" s="27"/>
    </row>
    <row r="222" ht="15.75" customHeight="1" spans="1:62">
      <c r="A222" s="29"/>
      <c r="B222" s="29"/>
      <c r="C222" s="29"/>
      <c r="D222" s="33">
        <v>213</v>
      </c>
      <c r="E222" s="31"/>
      <c r="F222" s="31"/>
      <c r="G222" s="32"/>
      <c r="H222" s="32"/>
      <c r="I222" s="33"/>
      <c r="J222" s="27" t="str">
        <f t="shared" si="0"/>
        <v/>
      </c>
      <c r="K222" s="32"/>
      <c r="L222" s="32"/>
      <c r="M222" s="32"/>
      <c r="N222" s="32"/>
      <c r="O222" s="32"/>
      <c r="P222" s="32"/>
      <c r="Q222" s="34"/>
      <c r="R222" s="88" t="str">
        <f ca="1" t="shared" si="4"/>
        <v/>
      </c>
      <c r="S222" s="27"/>
      <c r="T222" s="27"/>
      <c r="U222" s="27"/>
      <c r="V222" s="35"/>
      <c r="W222" s="30"/>
      <c r="X222" s="33"/>
      <c r="Y222" s="36"/>
      <c r="Z222" s="37"/>
      <c r="AA222" s="27"/>
      <c r="AB222" s="27"/>
      <c r="AC222" s="27"/>
      <c r="AD222" s="27"/>
      <c r="AE222" s="27"/>
      <c r="AF222" s="27"/>
      <c r="AG222" s="90"/>
      <c r="AH222" s="91"/>
      <c r="AI222" s="91"/>
      <c r="AJ222" s="92"/>
      <c r="AK222" s="90"/>
      <c r="AL222" s="91"/>
      <c r="AM222" s="91"/>
      <c r="AN222" s="92"/>
      <c r="AO222" s="90"/>
      <c r="AP222" s="91"/>
      <c r="AQ222" s="91"/>
      <c r="AR222" s="92"/>
      <c r="AS222" s="90"/>
      <c r="AT222" s="91"/>
      <c r="AU222" s="91"/>
      <c r="AV222" s="92"/>
      <c r="AW222" s="90"/>
      <c r="AX222" s="91"/>
      <c r="AY222" s="93"/>
      <c r="AZ222" s="91"/>
      <c r="BA222" s="92"/>
      <c r="BB222" s="90"/>
      <c r="BC222" s="91"/>
      <c r="BD222" s="93"/>
      <c r="BE222" s="91"/>
      <c r="BF222" s="92"/>
      <c r="BG222" s="33">
        <f t="shared" si="2"/>
        <v>0</v>
      </c>
      <c r="BH222" s="27"/>
      <c r="BI222" s="27"/>
      <c r="BJ222" s="27"/>
    </row>
    <row r="223" ht="15.75" customHeight="1" spans="1:62">
      <c r="A223" s="29"/>
      <c r="B223" s="29"/>
      <c r="C223" s="29"/>
      <c r="D223" s="33">
        <v>214</v>
      </c>
      <c r="E223" s="31"/>
      <c r="F223" s="31"/>
      <c r="G223" s="32"/>
      <c r="H223" s="32"/>
      <c r="I223" s="33"/>
      <c r="J223" s="27" t="str">
        <f t="shared" si="0"/>
        <v/>
      </c>
      <c r="K223" s="32"/>
      <c r="L223" s="32"/>
      <c r="M223" s="32"/>
      <c r="N223" s="32"/>
      <c r="O223" s="32"/>
      <c r="P223" s="32"/>
      <c r="Q223" s="34"/>
      <c r="R223" s="88" t="str">
        <f ca="1" t="shared" si="4"/>
        <v/>
      </c>
      <c r="S223" s="27"/>
      <c r="T223" s="27"/>
      <c r="U223" s="27"/>
      <c r="V223" s="35"/>
      <c r="W223" s="30"/>
      <c r="X223" s="33"/>
      <c r="Y223" s="36"/>
      <c r="Z223" s="37"/>
      <c r="AA223" s="27"/>
      <c r="AB223" s="27"/>
      <c r="AC223" s="27"/>
      <c r="AD223" s="27"/>
      <c r="AE223" s="27"/>
      <c r="AF223" s="27"/>
      <c r="AG223" s="90"/>
      <c r="AH223" s="91"/>
      <c r="AI223" s="91"/>
      <c r="AJ223" s="92"/>
      <c r="AK223" s="90"/>
      <c r="AL223" s="91"/>
      <c r="AM223" s="91"/>
      <c r="AN223" s="92"/>
      <c r="AO223" s="90"/>
      <c r="AP223" s="91"/>
      <c r="AQ223" s="91"/>
      <c r="AR223" s="92"/>
      <c r="AS223" s="90"/>
      <c r="AT223" s="91"/>
      <c r="AU223" s="91"/>
      <c r="AV223" s="92"/>
      <c r="AW223" s="90"/>
      <c r="AX223" s="91"/>
      <c r="AY223" s="93"/>
      <c r="AZ223" s="91"/>
      <c r="BA223" s="92"/>
      <c r="BB223" s="90"/>
      <c r="BC223" s="91"/>
      <c r="BD223" s="93"/>
      <c r="BE223" s="91"/>
      <c r="BF223" s="92"/>
      <c r="BG223" s="33">
        <f t="shared" si="2"/>
        <v>0</v>
      </c>
      <c r="BH223" s="27"/>
      <c r="BI223" s="27"/>
      <c r="BJ223" s="27"/>
    </row>
    <row r="224" ht="15.75" customHeight="1" spans="1:62">
      <c r="A224" s="29"/>
      <c r="B224" s="29"/>
      <c r="C224" s="29"/>
      <c r="D224" s="33">
        <v>215</v>
      </c>
      <c r="E224" s="31"/>
      <c r="F224" s="31"/>
      <c r="G224" s="32"/>
      <c r="H224" s="32"/>
      <c r="I224" s="33"/>
      <c r="J224" s="27" t="str">
        <f t="shared" si="0"/>
        <v/>
      </c>
      <c r="K224" s="32"/>
      <c r="L224" s="32"/>
      <c r="M224" s="32"/>
      <c r="N224" s="32"/>
      <c r="O224" s="32"/>
      <c r="P224" s="32"/>
      <c r="Q224" s="34"/>
      <c r="R224" s="88" t="str">
        <f ca="1" t="shared" si="4"/>
        <v/>
      </c>
      <c r="S224" s="27"/>
      <c r="T224" s="27"/>
      <c r="U224" s="27"/>
      <c r="V224" s="35"/>
      <c r="W224" s="30"/>
      <c r="X224" s="33"/>
      <c r="Y224" s="36"/>
      <c r="Z224" s="37"/>
      <c r="AA224" s="27"/>
      <c r="AB224" s="27"/>
      <c r="AC224" s="27"/>
      <c r="AD224" s="27"/>
      <c r="AE224" s="27"/>
      <c r="AF224" s="27"/>
      <c r="AG224" s="90"/>
      <c r="AH224" s="91"/>
      <c r="AI224" s="91"/>
      <c r="AJ224" s="92"/>
      <c r="AK224" s="90"/>
      <c r="AL224" s="91"/>
      <c r="AM224" s="91"/>
      <c r="AN224" s="92"/>
      <c r="AO224" s="90"/>
      <c r="AP224" s="91"/>
      <c r="AQ224" s="91"/>
      <c r="AR224" s="92"/>
      <c r="AS224" s="90"/>
      <c r="AT224" s="91"/>
      <c r="AU224" s="91"/>
      <c r="AV224" s="92"/>
      <c r="AW224" s="90"/>
      <c r="AX224" s="91"/>
      <c r="AY224" s="93"/>
      <c r="AZ224" s="91"/>
      <c r="BA224" s="92"/>
      <c r="BB224" s="90"/>
      <c r="BC224" s="91"/>
      <c r="BD224" s="93"/>
      <c r="BE224" s="91"/>
      <c r="BF224" s="92"/>
      <c r="BG224" s="33">
        <f t="shared" si="2"/>
        <v>0</v>
      </c>
      <c r="BH224" s="27"/>
      <c r="BI224" s="27"/>
      <c r="BJ224" s="27"/>
    </row>
    <row r="225" ht="15.75" customHeight="1" spans="1:62">
      <c r="A225" s="29"/>
      <c r="B225" s="29"/>
      <c r="C225" s="29"/>
      <c r="D225" s="33">
        <v>216</v>
      </c>
      <c r="E225" s="31"/>
      <c r="F225" s="31"/>
      <c r="G225" s="32"/>
      <c r="H225" s="32"/>
      <c r="I225" s="33"/>
      <c r="J225" s="27" t="str">
        <f t="shared" si="0"/>
        <v/>
      </c>
      <c r="K225" s="32"/>
      <c r="L225" s="32"/>
      <c r="M225" s="32"/>
      <c r="N225" s="32"/>
      <c r="O225" s="32"/>
      <c r="P225" s="32"/>
      <c r="Q225" s="34"/>
      <c r="R225" s="88" t="str">
        <f ca="1" t="shared" si="4"/>
        <v/>
      </c>
      <c r="S225" s="27"/>
      <c r="T225" s="27"/>
      <c r="U225" s="27"/>
      <c r="V225" s="35"/>
      <c r="W225" s="30"/>
      <c r="X225" s="33"/>
      <c r="Y225" s="36"/>
      <c r="Z225" s="37"/>
      <c r="AA225" s="27"/>
      <c r="AB225" s="27"/>
      <c r="AC225" s="27"/>
      <c r="AD225" s="27"/>
      <c r="AE225" s="27"/>
      <c r="AF225" s="27"/>
      <c r="AG225" s="90"/>
      <c r="AH225" s="91"/>
      <c r="AI225" s="91"/>
      <c r="AJ225" s="92"/>
      <c r="AK225" s="90"/>
      <c r="AL225" s="91"/>
      <c r="AM225" s="91"/>
      <c r="AN225" s="92"/>
      <c r="AO225" s="90"/>
      <c r="AP225" s="91"/>
      <c r="AQ225" s="91"/>
      <c r="AR225" s="92"/>
      <c r="AS225" s="90"/>
      <c r="AT225" s="91"/>
      <c r="AU225" s="91"/>
      <c r="AV225" s="92"/>
      <c r="AW225" s="90"/>
      <c r="AX225" s="91"/>
      <c r="AY225" s="93"/>
      <c r="AZ225" s="91"/>
      <c r="BA225" s="92"/>
      <c r="BB225" s="90"/>
      <c r="BC225" s="91"/>
      <c r="BD225" s="93"/>
      <c r="BE225" s="91"/>
      <c r="BF225" s="92"/>
      <c r="BG225" s="33">
        <f t="shared" si="2"/>
        <v>0</v>
      </c>
      <c r="BH225" s="27"/>
      <c r="BI225" s="27"/>
      <c r="BJ225" s="27"/>
    </row>
    <row r="226" ht="15.75" customHeight="1" spans="1:62">
      <c r="A226" s="29"/>
      <c r="B226" s="29"/>
      <c r="C226" s="29"/>
      <c r="D226" s="33">
        <v>217</v>
      </c>
      <c r="E226" s="31"/>
      <c r="F226" s="31"/>
      <c r="G226" s="32"/>
      <c r="H226" s="32"/>
      <c r="I226" s="33"/>
      <c r="J226" s="27" t="str">
        <f t="shared" si="0"/>
        <v/>
      </c>
      <c r="K226" s="32"/>
      <c r="L226" s="32"/>
      <c r="M226" s="32"/>
      <c r="N226" s="32"/>
      <c r="O226" s="32"/>
      <c r="P226" s="32"/>
      <c r="Q226" s="34"/>
      <c r="R226" s="88" t="str">
        <f ca="1" t="shared" si="4"/>
        <v/>
      </c>
      <c r="S226" s="27"/>
      <c r="T226" s="27"/>
      <c r="U226" s="27"/>
      <c r="V226" s="35"/>
      <c r="W226" s="30"/>
      <c r="X226" s="33"/>
      <c r="Y226" s="36"/>
      <c r="Z226" s="37"/>
      <c r="AA226" s="27"/>
      <c r="AB226" s="27"/>
      <c r="AC226" s="27"/>
      <c r="AD226" s="27"/>
      <c r="AE226" s="27"/>
      <c r="AF226" s="27"/>
      <c r="AG226" s="90"/>
      <c r="AH226" s="91"/>
      <c r="AI226" s="91"/>
      <c r="AJ226" s="92"/>
      <c r="AK226" s="90"/>
      <c r="AL226" s="91"/>
      <c r="AM226" s="91"/>
      <c r="AN226" s="92"/>
      <c r="AO226" s="90"/>
      <c r="AP226" s="91"/>
      <c r="AQ226" s="91"/>
      <c r="AR226" s="92"/>
      <c r="AS226" s="90"/>
      <c r="AT226" s="91"/>
      <c r="AU226" s="91"/>
      <c r="AV226" s="92"/>
      <c r="AW226" s="90"/>
      <c r="AX226" s="91"/>
      <c r="AY226" s="93"/>
      <c r="AZ226" s="91"/>
      <c r="BA226" s="92"/>
      <c r="BB226" s="90"/>
      <c r="BC226" s="91"/>
      <c r="BD226" s="93"/>
      <c r="BE226" s="91"/>
      <c r="BF226" s="92"/>
      <c r="BG226" s="33">
        <f t="shared" si="2"/>
        <v>0</v>
      </c>
      <c r="BH226" s="27"/>
      <c r="BI226" s="27"/>
      <c r="BJ226" s="27"/>
    </row>
    <row r="227" ht="15.75" customHeight="1" spans="1:62">
      <c r="A227" s="29"/>
      <c r="B227" s="29"/>
      <c r="C227" s="29"/>
      <c r="D227" s="33">
        <v>218</v>
      </c>
      <c r="E227" s="31"/>
      <c r="F227" s="31"/>
      <c r="G227" s="32"/>
      <c r="H227" s="32"/>
      <c r="I227" s="33"/>
      <c r="J227" s="27" t="str">
        <f t="shared" si="0"/>
        <v/>
      </c>
      <c r="K227" s="32"/>
      <c r="L227" s="32"/>
      <c r="M227" s="32"/>
      <c r="N227" s="32"/>
      <c r="O227" s="32"/>
      <c r="P227" s="32"/>
      <c r="Q227" s="34"/>
      <c r="R227" s="88" t="str">
        <f ca="1" t="shared" si="4"/>
        <v/>
      </c>
      <c r="S227" s="27"/>
      <c r="T227" s="27"/>
      <c r="U227" s="27"/>
      <c r="V227" s="35"/>
      <c r="W227" s="30"/>
      <c r="X227" s="33"/>
      <c r="Y227" s="36"/>
      <c r="Z227" s="37"/>
      <c r="AA227" s="27"/>
      <c r="AB227" s="27"/>
      <c r="AC227" s="27"/>
      <c r="AD227" s="27"/>
      <c r="AE227" s="27"/>
      <c r="AF227" s="27"/>
      <c r="AG227" s="90"/>
      <c r="AH227" s="91"/>
      <c r="AI227" s="91"/>
      <c r="AJ227" s="92"/>
      <c r="AK227" s="90"/>
      <c r="AL227" s="91"/>
      <c r="AM227" s="91"/>
      <c r="AN227" s="92"/>
      <c r="AO227" s="90"/>
      <c r="AP227" s="91"/>
      <c r="AQ227" s="91"/>
      <c r="AR227" s="92"/>
      <c r="AS227" s="90"/>
      <c r="AT227" s="91"/>
      <c r="AU227" s="91"/>
      <c r="AV227" s="92"/>
      <c r="AW227" s="90"/>
      <c r="AX227" s="91"/>
      <c r="AY227" s="93"/>
      <c r="AZ227" s="91"/>
      <c r="BA227" s="92"/>
      <c r="BB227" s="90"/>
      <c r="BC227" s="91"/>
      <c r="BD227" s="93"/>
      <c r="BE227" s="91"/>
      <c r="BF227" s="92"/>
      <c r="BG227" s="33">
        <f t="shared" si="2"/>
        <v>0</v>
      </c>
      <c r="BH227" s="27"/>
      <c r="BI227" s="27"/>
      <c r="BJ227" s="27"/>
    </row>
    <row r="228" ht="15.75" customHeight="1" spans="1:62">
      <c r="A228" s="29"/>
      <c r="B228" s="29"/>
      <c r="C228" s="29"/>
      <c r="D228" s="33">
        <v>219</v>
      </c>
      <c r="E228" s="31"/>
      <c r="F228" s="31"/>
      <c r="G228" s="32"/>
      <c r="H228" s="32"/>
      <c r="I228" s="33"/>
      <c r="J228" s="27" t="str">
        <f t="shared" si="0"/>
        <v/>
      </c>
      <c r="K228" s="32"/>
      <c r="L228" s="32"/>
      <c r="M228" s="32"/>
      <c r="N228" s="32"/>
      <c r="O228" s="32"/>
      <c r="P228" s="32"/>
      <c r="Q228" s="34"/>
      <c r="R228" s="88" t="str">
        <f ca="1" t="shared" si="4"/>
        <v/>
      </c>
      <c r="S228" s="27"/>
      <c r="T228" s="27"/>
      <c r="U228" s="27"/>
      <c r="V228" s="35"/>
      <c r="W228" s="30"/>
      <c r="X228" s="33"/>
      <c r="Y228" s="36"/>
      <c r="Z228" s="37"/>
      <c r="AA228" s="27"/>
      <c r="AB228" s="27"/>
      <c r="AC228" s="27"/>
      <c r="AD228" s="27"/>
      <c r="AE228" s="27"/>
      <c r="AF228" s="27"/>
      <c r="AG228" s="90"/>
      <c r="AH228" s="91"/>
      <c r="AI228" s="91"/>
      <c r="AJ228" s="92"/>
      <c r="AK228" s="90"/>
      <c r="AL228" s="91"/>
      <c r="AM228" s="91"/>
      <c r="AN228" s="92"/>
      <c r="AO228" s="90"/>
      <c r="AP228" s="91"/>
      <c r="AQ228" s="91"/>
      <c r="AR228" s="92"/>
      <c r="AS228" s="90"/>
      <c r="AT228" s="91"/>
      <c r="AU228" s="91"/>
      <c r="AV228" s="92"/>
      <c r="AW228" s="90"/>
      <c r="AX228" s="91"/>
      <c r="AY228" s="93"/>
      <c r="AZ228" s="91"/>
      <c r="BA228" s="92"/>
      <c r="BB228" s="90"/>
      <c r="BC228" s="91"/>
      <c r="BD228" s="93"/>
      <c r="BE228" s="91"/>
      <c r="BF228" s="92"/>
      <c r="BG228" s="33">
        <f t="shared" si="2"/>
        <v>0</v>
      </c>
      <c r="BH228" s="27"/>
      <c r="BI228" s="27"/>
      <c r="BJ228" s="27"/>
    </row>
    <row r="229" ht="15.75" customHeight="1" spans="1:62">
      <c r="A229" s="29"/>
      <c r="B229" s="29"/>
      <c r="C229" s="29"/>
      <c r="D229" s="33">
        <v>220</v>
      </c>
      <c r="E229" s="31"/>
      <c r="F229" s="31"/>
      <c r="G229" s="32"/>
      <c r="H229" s="32"/>
      <c r="I229" s="33"/>
      <c r="J229" s="27" t="str">
        <f t="shared" si="0"/>
        <v/>
      </c>
      <c r="K229" s="32"/>
      <c r="L229" s="32"/>
      <c r="M229" s="32"/>
      <c r="N229" s="32"/>
      <c r="O229" s="32"/>
      <c r="P229" s="32"/>
      <c r="Q229" s="34"/>
      <c r="R229" s="88" t="str">
        <f ca="1" t="shared" si="4"/>
        <v/>
      </c>
      <c r="S229" s="27"/>
      <c r="T229" s="27"/>
      <c r="U229" s="27"/>
      <c r="V229" s="35"/>
      <c r="W229" s="30"/>
      <c r="X229" s="33"/>
      <c r="Y229" s="36"/>
      <c r="Z229" s="37"/>
      <c r="AA229" s="27"/>
      <c r="AB229" s="27"/>
      <c r="AC229" s="27"/>
      <c r="AD229" s="27"/>
      <c r="AE229" s="27"/>
      <c r="AF229" s="27"/>
      <c r="AG229" s="90"/>
      <c r="AH229" s="91"/>
      <c r="AI229" s="91"/>
      <c r="AJ229" s="92"/>
      <c r="AK229" s="90"/>
      <c r="AL229" s="91"/>
      <c r="AM229" s="91"/>
      <c r="AN229" s="92"/>
      <c r="AO229" s="90"/>
      <c r="AP229" s="91"/>
      <c r="AQ229" s="91"/>
      <c r="AR229" s="92"/>
      <c r="AS229" s="90"/>
      <c r="AT229" s="91"/>
      <c r="AU229" s="91"/>
      <c r="AV229" s="92"/>
      <c r="AW229" s="90"/>
      <c r="AX229" s="91"/>
      <c r="AY229" s="93"/>
      <c r="AZ229" s="91"/>
      <c r="BA229" s="92"/>
      <c r="BB229" s="90"/>
      <c r="BC229" s="91"/>
      <c r="BD229" s="93"/>
      <c r="BE229" s="91"/>
      <c r="BF229" s="92"/>
      <c r="BG229" s="33">
        <f t="shared" si="2"/>
        <v>0</v>
      </c>
      <c r="BH229" s="27"/>
      <c r="BI229" s="27"/>
      <c r="BJ229" s="27"/>
    </row>
    <row r="230" ht="15.75" customHeight="1" spans="1:62">
      <c r="A230" s="29"/>
      <c r="B230" s="29"/>
      <c r="C230" s="29"/>
      <c r="D230" s="33">
        <v>221</v>
      </c>
      <c r="E230" s="31"/>
      <c r="F230" s="31"/>
      <c r="G230" s="32"/>
      <c r="H230" s="32"/>
      <c r="I230" s="33"/>
      <c r="J230" s="27" t="str">
        <f t="shared" si="0"/>
        <v/>
      </c>
      <c r="K230" s="32"/>
      <c r="L230" s="32"/>
      <c r="M230" s="32"/>
      <c r="N230" s="32"/>
      <c r="O230" s="32"/>
      <c r="P230" s="32"/>
      <c r="Q230" s="34"/>
      <c r="R230" s="88" t="str">
        <f ca="1" t="shared" si="4"/>
        <v/>
      </c>
      <c r="S230" s="27"/>
      <c r="T230" s="27"/>
      <c r="U230" s="27"/>
      <c r="V230" s="35"/>
      <c r="W230" s="30"/>
      <c r="X230" s="33"/>
      <c r="Y230" s="36"/>
      <c r="Z230" s="37"/>
      <c r="AA230" s="27"/>
      <c r="AB230" s="27"/>
      <c r="AC230" s="27"/>
      <c r="AD230" s="27"/>
      <c r="AE230" s="27"/>
      <c r="AF230" s="27"/>
      <c r="AG230" s="90"/>
      <c r="AH230" s="91"/>
      <c r="AI230" s="91"/>
      <c r="AJ230" s="92"/>
      <c r="AK230" s="90"/>
      <c r="AL230" s="91"/>
      <c r="AM230" s="91"/>
      <c r="AN230" s="92"/>
      <c r="AO230" s="90"/>
      <c r="AP230" s="91"/>
      <c r="AQ230" s="91"/>
      <c r="AR230" s="92"/>
      <c r="AS230" s="90"/>
      <c r="AT230" s="91"/>
      <c r="AU230" s="91"/>
      <c r="AV230" s="92"/>
      <c r="AW230" s="90"/>
      <c r="AX230" s="91"/>
      <c r="AY230" s="93"/>
      <c r="AZ230" s="91"/>
      <c r="BA230" s="92"/>
      <c r="BB230" s="90"/>
      <c r="BC230" s="91"/>
      <c r="BD230" s="93"/>
      <c r="BE230" s="91"/>
      <c r="BF230" s="92"/>
      <c r="BG230" s="33">
        <f t="shared" si="2"/>
        <v>0</v>
      </c>
      <c r="BH230" s="27"/>
      <c r="BI230" s="27"/>
      <c r="BJ230" s="27"/>
    </row>
    <row r="231" ht="15.75" customHeight="1" spans="1:62">
      <c r="A231" s="29"/>
      <c r="B231" s="29"/>
      <c r="C231" s="29"/>
      <c r="D231" s="33">
        <v>222</v>
      </c>
      <c r="E231" s="31"/>
      <c r="F231" s="31"/>
      <c r="G231" s="32"/>
      <c r="H231" s="32"/>
      <c r="I231" s="33"/>
      <c r="J231" s="27" t="str">
        <f t="shared" si="0"/>
        <v/>
      </c>
      <c r="K231" s="32"/>
      <c r="L231" s="32"/>
      <c r="M231" s="32"/>
      <c r="N231" s="32"/>
      <c r="O231" s="32"/>
      <c r="P231" s="32"/>
      <c r="Q231" s="34"/>
      <c r="R231" s="88" t="str">
        <f ca="1" t="shared" si="4"/>
        <v/>
      </c>
      <c r="S231" s="27"/>
      <c r="T231" s="27"/>
      <c r="U231" s="27"/>
      <c r="V231" s="35"/>
      <c r="W231" s="30"/>
      <c r="X231" s="33"/>
      <c r="Y231" s="36"/>
      <c r="Z231" s="37"/>
      <c r="AA231" s="27"/>
      <c r="AB231" s="27"/>
      <c r="AC231" s="27"/>
      <c r="AD231" s="27"/>
      <c r="AE231" s="27"/>
      <c r="AF231" s="27"/>
      <c r="AG231" s="90"/>
      <c r="AH231" s="91"/>
      <c r="AI231" s="91"/>
      <c r="AJ231" s="92"/>
      <c r="AK231" s="90"/>
      <c r="AL231" s="91"/>
      <c r="AM231" s="91"/>
      <c r="AN231" s="92"/>
      <c r="AO231" s="90"/>
      <c r="AP231" s="91"/>
      <c r="AQ231" s="91"/>
      <c r="AR231" s="92"/>
      <c r="AS231" s="90"/>
      <c r="AT231" s="91"/>
      <c r="AU231" s="91"/>
      <c r="AV231" s="92"/>
      <c r="AW231" s="90"/>
      <c r="AX231" s="91"/>
      <c r="AY231" s="93"/>
      <c r="AZ231" s="91"/>
      <c r="BA231" s="92"/>
      <c r="BB231" s="90"/>
      <c r="BC231" s="91"/>
      <c r="BD231" s="93"/>
      <c r="BE231" s="91"/>
      <c r="BF231" s="92"/>
      <c r="BG231" s="33">
        <f t="shared" si="2"/>
        <v>0</v>
      </c>
      <c r="BH231" s="27"/>
      <c r="BI231" s="27"/>
      <c r="BJ231" s="27"/>
    </row>
    <row r="232" ht="15.75" customHeight="1" spans="1:62">
      <c r="A232" s="29"/>
      <c r="B232" s="29"/>
      <c r="C232" s="29"/>
      <c r="D232" s="33">
        <v>223</v>
      </c>
      <c r="E232" s="31"/>
      <c r="F232" s="31"/>
      <c r="G232" s="32"/>
      <c r="H232" s="32"/>
      <c r="I232" s="33"/>
      <c r="J232" s="27" t="str">
        <f t="shared" si="0"/>
        <v/>
      </c>
      <c r="K232" s="32"/>
      <c r="L232" s="32"/>
      <c r="M232" s="32"/>
      <c r="N232" s="32"/>
      <c r="O232" s="32"/>
      <c r="P232" s="32"/>
      <c r="Q232" s="34"/>
      <c r="R232" s="88" t="str">
        <f ca="1" t="shared" si="4"/>
        <v/>
      </c>
      <c r="S232" s="27"/>
      <c r="T232" s="27"/>
      <c r="U232" s="27"/>
      <c r="V232" s="35"/>
      <c r="W232" s="30"/>
      <c r="X232" s="33"/>
      <c r="Y232" s="36"/>
      <c r="Z232" s="37"/>
      <c r="AA232" s="27"/>
      <c r="AB232" s="27"/>
      <c r="AC232" s="27"/>
      <c r="AD232" s="27"/>
      <c r="AE232" s="27"/>
      <c r="AF232" s="27"/>
      <c r="AG232" s="90"/>
      <c r="AH232" s="91"/>
      <c r="AI232" s="91"/>
      <c r="AJ232" s="92"/>
      <c r="AK232" s="90"/>
      <c r="AL232" s="91"/>
      <c r="AM232" s="91"/>
      <c r="AN232" s="92"/>
      <c r="AO232" s="90"/>
      <c r="AP232" s="91"/>
      <c r="AQ232" s="91"/>
      <c r="AR232" s="92"/>
      <c r="AS232" s="90"/>
      <c r="AT232" s="91"/>
      <c r="AU232" s="91"/>
      <c r="AV232" s="92"/>
      <c r="AW232" s="90"/>
      <c r="AX232" s="91"/>
      <c r="AY232" s="93"/>
      <c r="AZ232" s="91"/>
      <c r="BA232" s="92"/>
      <c r="BB232" s="90"/>
      <c r="BC232" s="91"/>
      <c r="BD232" s="93"/>
      <c r="BE232" s="91"/>
      <c r="BF232" s="92"/>
      <c r="BG232" s="33">
        <f t="shared" si="2"/>
        <v>0</v>
      </c>
      <c r="BH232" s="27"/>
      <c r="BI232" s="27"/>
      <c r="BJ232" s="27"/>
    </row>
    <row r="233" ht="15.75" customHeight="1" spans="1:62">
      <c r="A233" s="29"/>
      <c r="B233" s="29"/>
      <c r="C233" s="29"/>
      <c r="D233" s="33">
        <v>224</v>
      </c>
      <c r="E233" s="31"/>
      <c r="F233" s="31"/>
      <c r="G233" s="32"/>
      <c r="H233" s="32"/>
      <c r="I233" s="33"/>
      <c r="J233" s="27" t="str">
        <f t="shared" si="0"/>
        <v/>
      </c>
      <c r="K233" s="32"/>
      <c r="L233" s="32"/>
      <c r="M233" s="32"/>
      <c r="N233" s="32"/>
      <c r="O233" s="32"/>
      <c r="P233" s="32"/>
      <c r="Q233" s="34"/>
      <c r="R233" s="88" t="str">
        <f ca="1" t="shared" si="4"/>
        <v/>
      </c>
      <c r="S233" s="27"/>
      <c r="T233" s="27"/>
      <c r="U233" s="27"/>
      <c r="V233" s="35"/>
      <c r="W233" s="30"/>
      <c r="X233" s="33"/>
      <c r="Y233" s="36"/>
      <c r="Z233" s="37"/>
      <c r="AA233" s="27"/>
      <c r="AB233" s="27"/>
      <c r="AC233" s="27"/>
      <c r="AD233" s="27"/>
      <c r="AE233" s="27"/>
      <c r="AF233" s="27"/>
      <c r="AG233" s="90"/>
      <c r="AH233" s="91"/>
      <c r="AI233" s="91"/>
      <c r="AJ233" s="92"/>
      <c r="AK233" s="90"/>
      <c r="AL233" s="91"/>
      <c r="AM233" s="91"/>
      <c r="AN233" s="92"/>
      <c r="AO233" s="90"/>
      <c r="AP233" s="91"/>
      <c r="AQ233" s="91"/>
      <c r="AR233" s="92"/>
      <c r="AS233" s="90"/>
      <c r="AT233" s="91"/>
      <c r="AU233" s="91"/>
      <c r="AV233" s="92"/>
      <c r="AW233" s="90"/>
      <c r="AX233" s="91"/>
      <c r="AY233" s="93"/>
      <c r="AZ233" s="91"/>
      <c r="BA233" s="92"/>
      <c r="BB233" s="90"/>
      <c r="BC233" s="91"/>
      <c r="BD233" s="93"/>
      <c r="BE233" s="91"/>
      <c r="BF233" s="92"/>
      <c r="BG233" s="33">
        <f t="shared" si="2"/>
        <v>0</v>
      </c>
      <c r="BH233" s="27"/>
      <c r="BI233" s="27"/>
      <c r="BJ233" s="27"/>
    </row>
    <row r="234" ht="15.75" customHeight="1" spans="1:62">
      <c r="A234" s="29"/>
      <c r="B234" s="29"/>
      <c r="C234" s="29"/>
      <c r="D234" s="33">
        <v>225</v>
      </c>
      <c r="E234" s="31"/>
      <c r="F234" s="31"/>
      <c r="G234" s="32"/>
      <c r="H234" s="32"/>
      <c r="I234" s="33"/>
      <c r="J234" s="27" t="str">
        <f t="shared" si="0"/>
        <v/>
      </c>
      <c r="K234" s="32"/>
      <c r="L234" s="32"/>
      <c r="M234" s="32"/>
      <c r="N234" s="32"/>
      <c r="O234" s="32"/>
      <c r="P234" s="32"/>
      <c r="Q234" s="34"/>
      <c r="R234" s="88" t="str">
        <f ca="1" t="shared" si="4"/>
        <v/>
      </c>
      <c r="S234" s="27"/>
      <c r="T234" s="27"/>
      <c r="U234" s="27"/>
      <c r="V234" s="35"/>
      <c r="W234" s="30"/>
      <c r="X234" s="33"/>
      <c r="Y234" s="36"/>
      <c r="Z234" s="37"/>
      <c r="AA234" s="27"/>
      <c r="AB234" s="27"/>
      <c r="AC234" s="27"/>
      <c r="AD234" s="27"/>
      <c r="AE234" s="27"/>
      <c r="AF234" s="27"/>
      <c r="AG234" s="90"/>
      <c r="AH234" s="91"/>
      <c r="AI234" s="91"/>
      <c r="AJ234" s="92"/>
      <c r="AK234" s="90"/>
      <c r="AL234" s="91"/>
      <c r="AM234" s="91"/>
      <c r="AN234" s="92"/>
      <c r="AO234" s="90"/>
      <c r="AP234" s="91"/>
      <c r="AQ234" s="91"/>
      <c r="AR234" s="92"/>
      <c r="AS234" s="90"/>
      <c r="AT234" s="91"/>
      <c r="AU234" s="91"/>
      <c r="AV234" s="92"/>
      <c r="AW234" s="90"/>
      <c r="AX234" s="91"/>
      <c r="AY234" s="93"/>
      <c r="AZ234" s="91"/>
      <c r="BA234" s="92"/>
      <c r="BB234" s="90"/>
      <c r="BC234" s="91"/>
      <c r="BD234" s="93"/>
      <c r="BE234" s="91"/>
      <c r="BF234" s="92"/>
      <c r="BG234" s="33">
        <f t="shared" si="2"/>
        <v>0</v>
      </c>
      <c r="BH234" s="27"/>
      <c r="BI234" s="27"/>
      <c r="BJ234" s="27"/>
    </row>
    <row r="235" ht="15.75" customHeight="1" spans="1:62">
      <c r="A235" s="29"/>
      <c r="B235" s="29"/>
      <c r="C235" s="29"/>
      <c r="D235" s="33">
        <v>226</v>
      </c>
      <c r="E235" s="31"/>
      <c r="F235" s="31"/>
      <c r="G235" s="32"/>
      <c r="H235" s="32"/>
      <c r="I235" s="33"/>
      <c r="J235" s="27" t="str">
        <f t="shared" si="0"/>
        <v/>
      </c>
      <c r="K235" s="32"/>
      <c r="L235" s="32"/>
      <c r="M235" s="32"/>
      <c r="N235" s="32"/>
      <c r="O235" s="32"/>
      <c r="P235" s="32"/>
      <c r="Q235" s="34"/>
      <c r="R235" s="88" t="str">
        <f ca="1" t="shared" si="4"/>
        <v/>
      </c>
      <c r="S235" s="27"/>
      <c r="T235" s="27"/>
      <c r="U235" s="27"/>
      <c r="V235" s="35"/>
      <c r="W235" s="30"/>
      <c r="X235" s="33"/>
      <c r="Y235" s="36"/>
      <c r="Z235" s="37"/>
      <c r="AA235" s="27"/>
      <c r="AB235" s="27"/>
      <c r="AC235" s="27"/>
      <c r="AD235" s="27"/>
      <c r="AE235" s="27"/>
      <c r="AF235" s="27"/>
      <c r="AG235" s="90"/>
      <c r="AH235" s="91"/>
      <c r="AI235" s="91"/>
      <c r="AJ235" s="92"/>
      <c r="AK235" s="90"/>
      <c r="AL235" s="91"/>
      <c r="AM235" s="91"/>
      <c r="AN235" s="92"/>
      <c r="AO235" s="90"/>
      <c r="AP235" s="91"/>
      <c r="AQ235" s="91"/>
      <c r="AR235" s="92"/>
      <c r="AS235" s="90"/>
      <c r="AT235" s="91"/>
      <c r="AU235" s="91"/>
      <c r="AV235" s="92"/>
      <c r="AW235" s="90"/>
      <c r="AX235" s="91"/>
      <c r="AY235" s="93"/>
      <c r="AZ235" s="91"/>
      <c r="BA235" s="92"/>
      <c r="BB235" s="90"/>
      <c r="BC235" s="91"/>
      <c r="BD235" s="93"/>
      <c r="BE235" s="91"/>
      <c r="BF235" s="92"/>
      <c r="BG235" s="33">
        <f t="shared" si="2"/>
        <v>0</v>
      </c>
      <c r="BH235" s="27"/>
      <c r="BI235" s="27"/>
      <c r="BJ235" s="27"/>
    </row>
    <row r="236" ht="15.75" customHeight="1" spans="1:62">
      <c r="A236" s="29"/>
      <c r="B236" s="29"/>
      <c r="C236" s="29"/>
      <c r="D236" s="33">
        <v>227</v>
      </c>
      <c r="E236" s="31"/>
      <c r="F236" s="31"/>
      <c r="G236" s="32"/>
      <c r="H236" s="32"/>
      <c r="I236" s="33"/>
      <c r="J236" s="27" t="str">
        <f t="shared" si="0"/>
        <v/>
      </c>
      <c r="K236" s="32"/>
      <c r="L236" s="32"/>
      <c r="M236" s="32"/>
      <c r="N236" s="32"/>
      <c r="O236" s="32"/>
      <c r="P236" s="32"/>
      <c r="Q236" s="34"/>
      <c r="R236" s="88" t="str">
        <f ca="1" t="shared" si="4"/>
        <v/>
      </c>
      <c r="S236" s="27"/>
      <c r="T236" s="27"/>
      <c r="U236" s="27"/>
      <c r="V236" s="35"/>
      <c r="W236" s="30"/>
      <c r="X236" s="33"/>
      <c r="Y236" s="36"/>
      <c r="Z236" s="37"/>
      <c r="AA236" s="27"/>
      <c r="AB236" s="27"/>
      <c r="AC236" s="27"/>
      <c r="AD236" s="27"/>
      <c r="AE236" s="27"/>
      <c r="AF236" s="27"/>
      <c r="AG236" s="90"/>
      <c r="AH236" s="91"/>
      <c r="AI236" s="91"/>
      <c r="AJ236" s="92"/>
      <c r="AK236" s="90"/>
      <c r="AL236" s="91"/>
      <c r="AM236" s="91"/>
      <c r="AN236" s="92"/>
      <c r="AO236" s="90"/>
      <c r="AP236" s="91"/>
      <c r="AQ236" s="91"/>
      <c r="AR236" s="92"/>
      <c r="AS236" s="90"/>
      <c r="AT236" s="91"/>
      <c r="AU236" s="91"/>
      <c r="AV236" s="92"/>
      <c r="AW236" s="90"/>
      <c r="AX236" s="91"/>
      <c r="AY236" s="93"/>
      <c r="AZ236" s="91"/>
      <c r="BA236" s="92"/>
      <c r="BB236" s="90"/>
      <c r="BC236" s="91"/>
      <c r="BD236" s="93"/>
      <c r="BE236" s="91"/>
      <c r="BF236" s="92"/>
      <c r="BG236" s="33">
        <f t="shared" si="2"/>
        <v>0</v>
      </c>
      <c r="BH236" s="27"/>
      <c r="BI236" s="27"/>
      <c r="BJ236" s="27"/>
    </row>
    <row r="237" ht="15.75" customHeight="1" spans="1:62">
      <c r="A237" s="29"/>
      <c r="B237" s="29"/>
      <c r="C237" s="29"/>
      <c r="D237" s="33">
        <v>228</v>
      </c>
      <c r="E237" s="31"/>
      <c r="F237" s="31"/>
      <c r="G237" s="32"/>
      <c r="H237" s="32"/>
      <c r="I237" s="33"/>
      <c r="J237" s="27" t="str">
        <f t="shared" si="0"/>
        <v/>
      </c>
      <c r="K237" s="32"/>
      <c r="L237" s="32"/>
      <c r="M237" s="32"/>
      <c r="N237" s="32"/>
      <c r="O237" s="32"/>
      <c r="P237" s="32"/>
      <c r="Q237" s="34"/>
      <c r="R237" s="88" t="str">
        <f ca="1" t="shared" si="4"/>
        <v/>
      </c>
      <c r="S237" s="27"/>
      <c r="T237" s="27"/>
      <c r="U237" s="27"/>
      <c r="V237" s="35"/>
      <c r="W237" s="30"/>
      <c r="X237" s="33"/>
      <c r="Y237" s="36"/>
      <c r="Z237" s="37"/>
      <c r="AA237" s="27"/>
      <c r="AB237" s="27"/>
      <c r="AC237" s="27"/>
      <c r="AD237" s="27"/>
      <c r="AE237" s="27"/>
      <c r="AF237" s="27"/>
      <c r="AG237" s="90"/>
      <c r="AH237" s="91"/>
      <c r="AI237" s="91"/>
      <c r="AJ237" s="92"/>
      <c r="AK237" s="90"/>
      <c r="AL237" s="91"/>
      <c r="AM237" s="91"/>
      <c r="AN237" s="92"/>
      <c r="AO237" s="90"/>
      <c r="AP237" s="91"/>
      <c r="AQ237" s="91"/>
      <c r="AR237" s="92"/>
      <c r="AS237" s="90"/>
      <c r="AT237" s="91"/>
      <c r="AU237" s="91"/>
      <c r="AV237" s="92"/>
      <c r="AW237" s="90"/>
      <c r="AX237" s="91"/>
      <c r="AY237" s="93"/>
      <c r="AZ237" s="91"/>
      <c r="BA237" s="92"/>
      <c r="BB237" s="90"/>
      <c r="BC237" s="91"/>
      <c r="BD237" s="93"/>
      <c r="BE237" s="91"/>
      <c r="BF237" s="92"/>
      <c r="BG237" s="33">
        <f t="shared" si="2"/>
        <v>0</v>
      </c>
      <c r="BH237" s="27"/>
      <c r="BI237" s="27"/>
      <c r="BJ237" s="27"/>
    </row>
    <row r="238" ht="15.75" customHeight="1" spans="1:62">
      <c r="A238" s="29"/>
      <c r="B238" s="29"/>
      <c r="C238" s="29"/>
      <c r="D238" s="33">
        <v>229</v>
      </c>
      <c r="E238" s="31"/>
      <c r="F238" s="31"/>
      <c r="G238" s="32"/>
      <c r="H238" s="32"/>
      <c r="I238" s="33"/>
      <c r="J238" s="27" t="str">
        <f t="shared" si="0"/>
        <v/>
      </c>
      <c r="K238" s="32"/>
      <c r="L238" s="32"/>
      <c r="M238" s="32"/>
      <c r="N238" s="32"/>
      <c r="O238" s="32"/>
      <c r="P238" s="32"/>
      <c r="Q238" s="34"/>
      <c r="R238" s="88" t="str">
        <f ca="1" t="shared" si="4"/>
        <v/>
      </c>
      <c r="S238" s="27"/>
      <c r="T238" s="27"/>
      <c r="U238" s="27"/>
      <c r="V238" s="35"/>
      <c r="W238" s="30"/>
      <c r="X238" s="33"/>
      <c r="Y238" s="36"/>
      <c r="Z238" s="37"/>
      <c r="AA238" s="27"/>
      <c r="AB238" s="27"/>
      <c r="AC238" s="27"/>
      <c r="AD238" s="27"/>
      <c r="AE238" s="27"/>
      <c r="AF238" s="27"/>
      <c r="AG238" s="90"/>
      <c r="AH238" s="91"/>
      <c r="AI238" s="91"/>
      <c r="AJ238" s="92"/>
      <c r="AK238" s="90"/>
      <c r="AL238" s="91"/>
      <c r="AM238" s="91"/>
      <c r="AN238" s="92"/>
      <c r="AO238" s="90"/>
      <c r="AP238" s="91"/>
      <c r="AQ238" s="91"/>
      <c r="AR238" s="92"/>
      <c r="AS238" s="90"/>
      <c r="AT238" s="91"/>
      <c r="AU238" s="91"/>
      <c r="AV238" s="92"/>
      <c r="AW238" s="90"/>
      <c r="AX238" s="91"/>
      <c r="AY238" s="93"/>
      <c r="AZ238" s="91"/>
      <c r="BA238" s="92"/>
      <c r="BB238" s="90"/>
      <c r="BC238" s="91"/>
      <c r="BD238" s="93"/>
      <c r="BE238" s="91"/>
      <c r="BF238" s="92"/>
      <c r="BG238" s="33">
        <f t="shared" si="2"/>
        <v>0</v>
      </c>
      <c r="BH238" s="27"/>
      <c r="BI238" s="27"/>
      <c r="BJ238" s="27"/>
    </row>
    <row r="239" ht="15.75" customHeight="1" spans="1:62">
      <c r="A239" s="29"/>
      <c r="B239" s="29"/>
      <c r="C239" s="29"/>
      <c r="D239" s="33">
        <v>230</v>
      </c>
      <c r="E239" s="31"/>
      <c r="F239" s="31"/>
      <c r="G239" s="32"/>
      <c r="H239" s="32"/>
      <c r="I239" s="33"/>
      <c r="J239" s="27" t="str">
        <f t="shared" si="0"/>
        <v/>
      </c>
      <c r="K239" s="32"/>
      <c r="L239" s="32"/>
      <c r="M239" s="32"/>
      <c r="N239" s="32"/>
      <c r="O239" s="32"/>
      <c r="P239" s="32"/>
      <c r="Q239" s="34"/>
      <c r="R239" s="88" t="str">
        <f ca="1" t="shared" si="4"/>
        <v/>
      </c>
      <c r="S239" s="27"/>
      <c r="T239" s="27"/>
      <c r="U239" s="27"/>
      <c r="V239" s="35"/>
      <c r="W239" s="30"/>
      <c r="X239" s="33"/>
      <c r="Y239" s="36"/>
      <c r="Z239" s="37"/>
      <c r="AA239" s="27"/>
      <c r="AB239" s="27"/>
      <c r="AC239" s="27"/>
      <c r="AD239" s="27"/>
      <c r="AE239" s="27"/>
      <c r="AF239" s="27"/>
      <c r="AG239" s="90"/>
      <c r="AH239" s="91"/>
      <c r="AI239" s="91"/>
      <c r="AJ239" s="92"/>
      <c r="AK239" s="90"/>
      <c r="AL239" s="91"/>
      <c r="AM239" s="91"/>
      <c r="AN239" s="92"/>
      <c r="AO239" s="90"/>
      <c r="AP239" s="91"/>
      <c r="AQ239" s="91"/>
      <c r="AR239" s="92"/>
      <c r="AS239" s="90"/>
      <c r="AT239" s="91"/>
      <c r="AU239" s="91"/>
      <c r="AV239" s="92"/>
      <c r="AW239" s="90"/>
      <c r="AX239" s="91"/>
      <c r="AY239" s="93"/>
      <c r="AZ239" s="91"/>
      <c r="BA239" s="92"/>
      <c r="BB239" s="90"/>
      <c r="BC239" s="91"/>
      <c r="BD239" s="93"/>
      <c r="BE239" s="91"/>
      <c r="BF239" s="92"/>
      <c r="BG239" s="33">
        <f t="shared" si="2"/>
        <v>0</v>
      </c>
      <c r="BH239" s="27"/>
      <c r="BI239" s="27"/>
      <c r="BJ239" s="27"/>
    </row>
    <row r="240" ht="15.75" customHeight="1" spans="1:62">
      <c r="A240" s="29"/>
      <c r="B240" s="29"/>
      <c r="C240" s="29"/>
      <c r="D240" s="33">
        <v>231</v>
      </c>
      <c r="E240" s="31"/>
      <c r="F240" s="31"/>
      <c r="G240" s="32"/>
      <c r="H240" s="32"/>
      <c r="I240" s="33"/>
      <c r="J240" s="27" t="str">
        <f t="shared" si="0"/>
        <v/>
      </c>
      <c r="K240" s="32"/>
      <c r="L240" s="32"/>
      <c r="M240" s="32"/>
      <c r="N240" s="32"/>
      <c r="O240" s="32"/>
      <c r="P240" s="32"/>
      <c r="Q240" s="34"/>
      <c r="R240" s="88" t="str">
        <f ca="1" t="shared" si="4"/>
        <v/>
      </c>
      <c r="S240" s="27"/>
      <c r="T240" s="27"/>
      <c r="U240" s="27"/>
      <c r="V240" s="35"/>
      <c r="W240" s="30"/>
      <c r="X240" s="33"/>
      <c r="Y240" s="36"/>
      <c r="Z240" s="37"/>
      <c r="AA240" s="27"/>
      <c r="AB240" s="27"/>
      <c r="AC240" s="27"/>
      <c r="AD240" s="27"/>
      <c r="AE240" s="27"/>
      <c r="AF240" s="27"/>
      <c r="AG240" s="90"/>
      <c r="AH240" s="91"/>
      <c r="AI240" s="91"/>
      <c r="AJ240" s="92"/>
      <c r="AK240" s="90"/>
      <c r="AL240" s="91"/>
      <c r="AM240" s="91"/>
      <c r="AN240" s="92"/>
      <c r="AO240" s="90"/>
      <c r="AP240" s="91"/>
      <c r="AQ240" s="91"/>
      <c r="AR240" s="92"/>
      <c r="AS240" s="90"/>
      <c r="AT240" s="91"/>
      <c r="AU240" s="91"/>
      <c r="AV240" s="92"/>
      <c r="AW240" s="90"/>
      <c r="AX240" s="91"/>
      <c r="AY240" s="93"/>
      <c r="AZ240" s="91"/>
      <c r="BA240" s="92"/>
      <c r="BB240" s="90"/>
      <c r="BC240" s="91"/>
      <c r="BD240" s="93"/>
      <c r="BE240" s="91"/>
      <c r="BF240" s="92"/>
      <c r="BG240" s="33">
        <f t="shared" si="2"/>
        <v>0</v>
      </c>
      <c r="BH240" s="27"/>
      <c r="BI240" s="27"/>
      <c r="BJ240" s="27"/>
    </row>
    <row r="241" ht="15.75" customHeight="1" spans="1:62">
      <c r="A241" s="29"/>
      <c r="B241" s="29"/>
      <c r="C241" s="29"/>
      <c r="D241" s="33">
        <v>232</v>
      </c>
      <c r="E241" s="31"/>
      <c r="F241" s="31"/>
      <c r="G241" s="32"/>
      <c r="H241" s="32"/>
      <c r="I241" s="33"/>
      <c r="J241" s="27" t="str">
        <f t="shared" si="0"/>
        <v/>
      </c>
      <c r="K241" s="32"/>
      <c r="L241" s="32"/>
      <c r="M241" s="32"/>
      <c r="N241" s="32"/>
      <c r="O241" s="32"/>
      <c r="P241" s="32"/>
      <c r="Q241" s="34"/>
      <c r="R241" s="88" t="str">
        <f ca="1" t="shared" si="4"/>
        <v/>
      </c>
      <c r="S241" s="27"/>
      <c r="T241" s="27"/>
      <c r="U241" s="27"/>
      <c r="V241" s="35"/>
      <c r="W241" s="30"/>
      <c r="X241" s="33"/>
      <c r="Y241" s="36"/>
      <c r="Z241" s="37"/>
      <c r="AA241" s="27"/>
      <c r="AB241" s="27"/>
      <c r="AC241" s="27"/>
      <c r="AD241" s="27"/>
      <c r="AE241" s="27"/>
      <c r="AF241" s="27"/>
      <c r="AG241" s="90"/>
      <c r="AH241" s="91"/>
      <c r="AI241" s="91"/>
      <c r="AJ241" s="92"/>
      <c r="AK241" s="90"/>
      <c r="AL241" s="91"/>
      <c r="AM241" s="91"/>
      <c r="AN241" s="92"/>
      <c r="AO241" s="90"/>
      <c r="AP241" s="91"/>
      <c r="AQ241" s="91"/>
      <c r="AR241" s="92"/>
      <c r="AS241" s="90"/>
      <c r="AT241" s="91"/>
      <c r="AU241" s="91"/>
      <c r="AV241" s="92"/>
      <c r="AW241" s="90"/>
      <c r="AX241" s="91"/>
      <c r="AY241" s="93"/>
      <c r="AZ241" s="91"/>
      <c r="BA241" s="92"/>
      <c r="BB241" s="90"/>
      <c r="BC241" s="91"/>
      <c r="BD241" s="93"/>
      <c r="BE241" s="91"/>
      <c r="BF241" s="92"/>
      <c r="BG241" s="33">
        <f t="shared" si="2"/>
        <v>0</v>
      </c>
      <c r="BH241" s="27"/>
      <c r="BI241" s="27"/>
      <c r="BJ241" s="27"/>
    </row>
    <row r="242" ht="15.75" customHeight="1" spans="1:62">
      <c r="A242" s="29"/>
      <c r="B242" s="29"/>
      <c r="C242" s="29"/>
      <c r="D242" s="33">
        <v>233</v>
      </c>
      <c r="E242" s="31"/>
      <c r="F242" s="31"/>
      <c r="G242" s="32"/>
      <c r="H242" s="32"/>
      <c r="I242" s="33"/>
      <c r="J242" s="27" t="str">
        <f t="shared" si="0"/>
        <v/>
      </c>
      <c r="K242" s="32"/>
      <c r="L242" s="32"/>
      <c r="M242" s="32"/>
      <c r="N242" s="32"/>
      <c r="O242" s="32"/>
      <c r="P242" s="32"/>
      <c r="Q242" s="34"/>
      <c r="R242" s="88" t="str">
        <f ca="1" t="shared" si="4"/>
        <v/>
      </c>
      <c r="S242" s="27"/>
      <c r="T242" s="27"/>
      <c r="U242" s="27"/>
      <c r="V242" s="35"/>
      <c r="W242" s="30"/>
      <c r="X242" s="33"/>
      <c r="Y242" s="36"/>
      <c r="Z242" s="37"/>
      <c r="AA242" s="27"/>
      <c r="AB242" s="27"/>
      <c r="AC242" s="27"/>
      <c r="AD242" s="27"/>
      <c r="AE242" s="27"/>
      <c r="AF242" s="27"/>
      <c r="AG242" s="90"/>
      <c r="AH242" s="91"/>
      <c r="AI242" s="91"/>
      <c r="AJ242" s="92"/>
      <c r="AK242" s="90"/>
      <c r="AL242" s="91"/>
      <c r="AM242" s="91"/>
      <c r="AN242" s="92"/>
      <c r="AO242" s="90"/>
      <c r="AP242" s="91"/>
      <c r="AQ242" s="91"/>
      <c r="AR242" s="92"/>
      <c r="AS242" s="90"/>
      <c r="AT242" s="91"/>
      <c r="AU242" s="91"/>
      <c r="AV242" s="92"/>
      <c r="AW242" s="90"/>
      <c r="AX242" s="91"/>
      <c r="AY242" s="93"/>
      <c r="AZ242" s="91"/>
      <c r="BA242" s="92"/>
      <c r="BB242" s="90"/>
      <c r="BC242" s="91"/>
      <c r="BD242" s="93"/>
      <c r="BE242" s="91"/>
      <c r="BF242" s="92"/>
      <c r="BG242" s="33">
        <f t="shared" si="2"/>
        <v>0</v>
      </c>
      <c r="BH242" s="27"/>
      <c r="BI242" s="27"/>
      <c r="BJ242" s="27"/>
    </row>
    <row r="243" ht="15.75" customHeight="1" spans="1:62">
      <c r="A243" s="29"/>
      <c r="B243" s="29"/>
      <c r="C243" s="29"/>
      <c r="D243" s="33">
        <v>234</v>
      </c>
      <c r="E243" s="31"/>
      <c r="F243" s="31"/>
      <c r="G243" s="32"/>
      <c r="H243" s="32"/>
      <c r="I243" s="33"/>
      <c r="J243" s="27" t="str">
        <f t="shared" si="0"/>
        <v/>
      </c>
      <c r="K243" s="32"/>
      <c r="L243" s="32"/>
      <c r="M243" s="32"/>
      <c r="N243" s="32"/>
      <c r="O243" s="32"/>
      <c r="P243" s="32"/>
      <c r="Q243" s="34"/>
      <c r="R243" s="88" t="str">
        <f ca="1" t="shared" si="4"/>
        <v/>
      </c>
      <c r="S243" s="27"/>
      <c r="T243" s="27"/>
      <c r="U243" s="27"/>
      <c r="V243" s="35"/>
      <c r="W243" s="30"/>
      <c r="X243" s="33"/>
      <c r="Y243" s="36"/>
      <c r="Z243" s="37"/>
      <c r="AA243" s="27"/>
      <c r="AB243" s="27"/>
      <c r="AC243" s="27"/>
      <c r="AD243" s="27"/>
      <c r="AE243" s="27"/>
      <c r="AF243" s="27"/>
      <c r="AG243" s="90"/>
      <c r="AH243" s="91"/>
      <c r="AI243" s="91"/>
      <c r="AJ243" s="92"/>
      <c r="AK243" s="90"/>
      <c r="AL243" s="91"/>
      <c r="AM243" s="91"/>
      <c r="AN243" s="92"/>
      <c r="AO243" s="90"/>
      <c r="AP243" s="91"/>
      <c r="AQ243" s="91"/>
      <c r="AR243" s="92"/>
      <c r="AS243" s="90"/>
      <c r="AT243" s="91"/>
      <c r="AU243" s="91"/>
      <c r="AV243" s="92"/>
      <c r="AW243" s="90"/>
      <c r="AX243" s="91"/>
      <c r="AY243" s="93"/>
      <c r="AZ243" s="91"/>
      <c r="BA243" s="92"/>
      <c r="BB243" s="90"/>
      <c r="BC243" s="91"/>
      <c r="BD243" s="93"/>
      <c r="BE243" s="91"/>
      <c r="BF243" s="92"/>
      <c r="BG243" s="33">
        <f t="shared" si="2"/>
        <v>0</v>
      </c>
      <c r="BH243" s="27"/>
      <c r="BI243" s="27"/>
      <c r="BJ243" s="27"/>
    </row>
    <row r="244" ht="15.75" customHeight="1" spans="1:62">
      <c r="A244" s="29"/>
      <c r="B244" s="29"/>
      <c r="C244" s="29"/>
      <c r="D244" s="33">
        <v>235</v>
      </c>
      <c r="E244" s="31"/>
      <c r="F244" s="31"/>
      <c r="G244" s="32"/>
      <c r="H244" s="32"/>
      <c r="I244" s="33"/>
      <c r="J244" s="27" t="str">
        <f t="shared" si="0"/>
        <v/>
      </c>
      <c r="K244" s="32"/>
      <c r="L244" s="32"/>
      <c r="M244" s="32"/>
      <c r="N244" s="32"/>
      <c r="O244" s="32"/>
      <c r="P244" s="32"/>
      <c r="Q244" s="34"/>
      <c r="R244" s="88" t="str">
        <f ca="1" t="shared" si="4"/>
        <v/>
      </c>
      <c r="S244" s="27"/>
      <c r="T244" s="27"/>
      <c r="U244" s="27"/>
      <c r="V244" s="35"/>
      <c r="W244" s="30"/>
      <c r="X244" s="33"/>
      <c r="Y244" s="36"/>
      <c r="Z244" s="37"/>
      <c r="AA244" s="27"/>
      <c r="AB244" s="27"/>
      <c r="AC244" s="27"/>
      <c r="AD244" s="27"/>
      <c r="AE244" s="27"/>
      <c r="AF244" s="27"/>
      <c r="AG244" s="90"/>
      <c r="AH244" s="91"/>
      <c r="AI244" s="91"/>
      <c r="AJ244" s="92"/>
      <c r="AK244" s="90"/>
      <c r="AL244" s="91"/>
      <c r="AM244" s="91"/>
      <c r="AN244" s="92"/>
      <c r="AO244" s="90"/>
      <c r="AP244" s="91"/>
      <c r="AQ244" s="91"/>
      <c r="AR244" s="92"/>
      <c r="AS244" s="90"/>
      <c r="AT244" s="91"/>
      <c r="AU244" s="91"/>
      <c r="AV244" s="92"/>
      <c r="AW244" s="90"/>
      <c r="AX244" s="91"/>
      <c r="AY244" s="93"/>
      <c r="AZ244" s="91"/>
      <c r="BA244" s="92"/>
      <c r="BB244" s="90"/>
      <c r="BC244" s="91"/>
      <c r="BD244" s="93"/>
      <c r="BE244" s="91"/>
      <c r="BF244" s="92"/>
      <c r="BG244" s="33">
        <f t="shared" si="2"/>
        <v>0</v>
      </c>
      <c r="BH244" s="27"/>
      <c r="BI244" s="27"/>
      <c r="BJ244" s="27"/>
    </row>
    <row r="245" ht="15.75" customHeight="1" spans="1:62">
      <c r="A245" s="29"/>
      <c r="B245" s="29"/>
      <c r="C245" s="29"/>
      <c r="D245" s="33">
        <v>236</v>
      </c>
      <c r="E245" s="31"/>
      <c r="F245" s="31"/>
      <c r="G245" s="32"/>
      <c r="H245" s="32"/>
      <c r="I245" s="33"/>
      <c r="J245" s="27" t="str">
        <f t="shared" si="0"/>
        <v/>
      </c>
      <c r="K245" s="32"/>
      <c r="L245" s="32"/>
      <c r="M245" s="32"/>
      <c r="N245" s="32"/>
      <c r="O245" s="32"/>
      <c r="P245" s="32"/>
      <c r="Q245" s="34"/>
      <c r="R245" s="88" t="str">
        <f ca="1" t="shared" si="4"/>
        <v/>
      </c>
      <c r="S245" s="27"/>
      <c r="T245" s="27"/>
      <c r="U245" s="27"/>
      <c r="V245" s="35"/>
      <c r="W245" s="30"/>
      <c r="X245" s="33"/>
      <c r="Y245" s="36"/>
      <c r="Z245" s="37"/>
      <c r="AA245" s="27"/>
      <c r="AB245" s="27"/>
      <c r="AC245" s="27"/>
      <c r="AD245" s="27"/>
      <c r="AE245" s="27"/>
      <c r="AF245" s="27"/>
      <c r="AG245" s="90"/>
      <c r="AH245" s="91"/>
      <c r="AI245" s="91"/>
      <c r="AJ245" s="92"/>
      <c r="AK245" s="90"/>
      <c r="AL245" s="91"/>
      <c r="AM245" s="91"/>
      <c r="AN245" s="92"/>
      <c r="AO245" s="90"/>
      <c r="AP245" s="91"/>
      <c r="AQ245" s="91"/>
      <c r="AR245" s="92"/>
      <c r="AS245" s="90"/>
      <c r="AT245" s="91"/>
      <c r="AU245" s="91"/>
      <c r="AV245" s="92"/>
      <c r="AW245" s="90"/>
      <c r="AX245" s="91"/>
      <c r="AY245" s="93"/>
      <c r="AZ245" s="91"/>
      <c r="BA245" s="92"/>
      <c r="BB245" s="90"/>
      <c r="BC245" s="91"/>
      <c r="BD245" s="93"/>
      <c r="BE245" s="91"/>
      <c r="BF245" s="92"/>
      <c r="BG245" s="33">
        <f t="shared" si="2"/>
        <v>0</v>
      </c>
      <c r="BH245" s="27"/>
      <c r="BI245" s="27"/>
      <c r="BJ245" s="27"/>
    </row>
    <row r="246" ht="15.75" customHeight="1" spans="1:62">
      <c r="A246" s="29"/>
      <c r="B246" s="29"/>
      <c r="C246" s="29"/>
      <c r="D246" s="33">
        <v>237</v>
      </c>
      <c r="E246" s="31"/>
      <c r="F246" s="31"/>
      <c r="G246" s="32"/>
      <c r="H246" s="32"/>
      <c r="I246" s="33"/>
      <c r="J246" s="27" t="str">
        <f t="shared" si="0"/>
        <v/>
      </c>
      <c r="K246" s="32"/>
      <c r="L246" s="32"/>
      <c r="M246" s="32"/>
      <c r="N246" s="32"/>
      <c r="O246" s="32"/>
      <c r="P246" s="32"/>
      <c r="Q246" s="34"/>
      <c r="R246" s="88" t="str">
        <f ca="1" t="shared" si="4"/>
        <v/>
      </c>
      <c r="S246" s="27"/>
      <c r="T246" s="27"/>
      <c r="U246" s="27"/>
      <c r="V246" s="35"/>
      <c r="W246" s="30"/>
      <c r="X246" s="33"/>
      <c r="Y246" s="36"/>
      <c r="Z246" s="37"/>
      <c r="AA246" s="27"/>
      <c r="AB246" s="27"/>
      <c r="AC246" s="27"/>
      <c r="AD246" s="27"/>
      <c r="AE246" s="27"/>
      <c r="AF246" s="27"/>
      <c r="AG246" s="90"/>
      <c r="AH246" s="91"/>
      <c r="AI246" s="91"/>
      <c r="AJ246" s="92"/>
      <c r="AK246" s="90"/>
      <c r="AL246" s="91"/>
      <c r="AM246" s="91"/>
      <c r="AN246" s="92"/>
      <c r="AO246" s="90"/>
      <c r="AP246" s="91"/>
      <c r="AQ246" s="91"/>
      <c r="AR246" s="92"/>
      <c r="AS246" s="90"/>
      <c r="AT246" s="91"/>
      <c r="AU246" s="91"/>
      <c r="AV246" s="92"/>
      <c r="AW246" s="90"/>
      <c r="AX246" s="91"/>
      <c r="AY246" s="93"/>
      <c r="AZ246" s="91"/>
      <c r="BA246" s="92"/>
      <c r="BB246" s="90"/>
      <c r="BC246" s="91"/>
      <c r="BD246" s="93"/>
      <c r="BE246" s="91"/>
      <c r="BF246" s="92"/>
      <c r="BG246" s="33">
        <f t="shared" si="2"/>
        <v>0</v>
      </c>
      <c r="BH246" s="27"/>
      <c r="BI246" s="27"/>
      <c r="BJ246" s="27"/>
    </row>
    <row r="247" ht="15.75" customHeight="1" spans="1:62">
      <c r="A247" s="29"/>
      <c r="B247" s="29"/>
      <c r="C247" s="29"/>
      <c r="D247" s="33">
        <v>238</v>
      </c>
      <c r="E247" s="31"/>
      <c r="F247" s="31"/>
      <c r="G247" s="32"/>
      <c r="H247" s="32"/>
      <c r="I247" s="33"/>
      <c r="J247" s="27" t="str">
        <f t="shared" si="0"/>
        <v/>
      </c>
      <c r="K247" s="32"/>
      <c r="L247" s="32"/>
      <c r="M247" s="32"/>
      <c r="N247" s="32"/>
      <c r="O247" s="32"/>
      <c r="P247" s="32"/>
      <c r="Q247" s="34"/>
      <c r="R247" s="88" t="str">
        <f ca="1" t="shared" si="4"/>
        <v/>
      </c>
      <c r="S247" s="27"/>
      <c r="T247" s="27"/>
      <c r="U247" s="27"/>
      <c r="V247" s="35"/>
      <c r="W247" s="30"/>
      <c r="X247" s="33"/>
      <c r="Y247" s="36"/>
      <c r="Z247" s="37"/>
      <c r="AA247" s="27"/>
      <c r="AB247" s="27"/>
      <c r="AC247" s="27"/>
      <c r="AD247" s="27"/>
      <c r="AE247" s="27"/>
      <c r="AF247" s="27"/>
      <c r="AG247" s="90"/>
      <c r="AH247" s="91"/>
      <c r="AI247" s="91"/>
      <c r="AJ247" s="92"/>
      <c r="AK247" s="90"/>
      <c r="AL247" s="91"/>
      <c r="AM247" s="91"/>
      <c r="AN247" s="92"/>
      <c r="AO247" s="90"/>
      <c r="AP247" s="91"/>
      <c r="AQ247" s="91"/>
      <c r="AR247" s="92"/>
      <c r="AS247" s="90"/>
      <c r="AT247" s="91"/>
      <c r="AU247" s="91"/>
      <c r="AV247" s="92"/>
      <c r="AW247" s="90"/>
      <c r="AX247" s="91"/>
      <c r="AY247" s="93"/>
      <c r="AZ247" s="91"/>
      <c r="BA247" s="92"/>
      <c r="BB247" s="90"/>
      <c r="BC247" s="91"/>
      <c r="BD247" s="93"/>
      <c r="BE247" s="91"/>
      <c r="BF247" s="92"/>
      <c r="BG247" s="33">
        <f t="shared" si="2"/>
        <v>0</v>
      </c>
      <c r="BH247" s="27"/>
      <c r="BI247" s="27"/>
      <c r="BJ247" s="27"/>
    </row>
    <row r="248" ht="15.75" customHeight="1" spans="1:62">
      <c r="A248" s="29"/>
      <c r="B248" s="29"/>
      <c r="C248" s="29"/>
      <c r="D248" s="33">
        <v>239</v>
      </c>
      <c r="E248" s="31"/>
      <c r="F248" s="31"/>
      <c r="G248" s="32"/>
      <c r="H248" s="32"/>
      <c r="I248" s="33"/>
      <c r="J248" s="27" t="str">
        <f t="shared" si="0"/>
        <v/>
      </c>
      <c r="K248" s="32"/>
      <c r="L248" s="32"/>
      <c r="M248" s="32"/>
      <c r="N248" s="32"/>
      <c r="O248" s="32"/>
      <c r="P248" s="32"/>
      <c r="Q248" s="34"/>
      <c r="R248" s="88" t="str">
        <f ca="1" t="shared" si="4"/>
        <v/>
      </c>
      <c r="S248" s="27"/>
      <c r="T248" s="27"/>
      <c r="U248" s="27"/>
      <c r="V248" s="35"/>
      <c r="W248" s="30"/>
      <c r="X248" s="33"/>
      <c r="Y248" s="36"/>
      <c r="Z248" s="37"/>
      <c r="AA248" s="27"/>
      <c r="AB248" s="27"/>
      <c r="AC248" s="27"/>
      <c r="AD248" s="27"/>
      <c r="AE248" s="27"/>
      <c r="AF248" s="27"/>
      <c r="AG248" s="90"/>
      <c r="AH248" s="91"/>
      <c r="AI248" s="91"/>
      <c r="AJ248" s="92"/>
      <c r="AK248" s="90"/>
      <c r="AL248" s="91"/>
      <c r="AM248" s="91"/>
      <c r="AN248" s="92"/>
      <c r="AO248" s="90"/>
      <c r="AP248" s="91"/>
      <c r="AQ248" s="91"/>
      <c r="AR248" s="92"/>
      <c r="AS248" s="90"/>
      <c r="AT248" s="91"/>
      <c r="AU248" s="91"/>
      <c r="AV248" s="92"/>
      <c r="AW248" s="90"/>
      <c r="AX248" s="91"/>
      <c r="AY248" s="93"/>
      <c r="AZ248" s="91"/>
      <c r="BA248" s="92"/>
      <c r="BB248" s="90"/>
      <c r="BC248" s="91"/>
      <c r="BD248" s="93"/>
      <c r="BE248" s="91"/>
      <c r="BF248" s="92"/>
      <c r="BG248" s="33">
        <f t="shared" si="2"/>
        <v>0</v>
      </c>
      <c r="BH248" s="27"/>
      <c r="BI248" s="27"/>
      <c r="BJ248" s="27"/>
    </row>
    <row r="249" ht="15.75" customHeight="1" spans="1:62">
      <c r="A249" s="29"/>
      <c r="B249" s="29"/>
      <c r="C249" s="29"/>
      <c r="D249" s="33">
        <v>240</v>
      </c>
      <c r="E249" s="31"/>
      <c r="F249" s="31"/>
      <c r="G249" s="32"/>
      <c r="H249" s="32"/>
      <c r="I249" s="33"/>
      <c r="J249" s="27" t="str">
        <f t="shared" si="0"/>
        <v/>
      </c>
      <c r="K249" s="32"/>
      <c r="L249" s="32"/>
      <c r="M249" s="32"/>
      <c r="N249" s="32"/>
      <c r="O249" s="32"/>
      <c r="P249" s="32"/>
      <c r="Q249" s="34"/>
      <c r="R249" s="88" t="str">
        <f ca="1" t="shared" si="4"/>
        <v/>
      </c>
      <c r="S249" s="27"/>
      <c r="T249" s="27"/>
      <c r="U249" s="27"/>
      <c r="V249" s="35"/>
      <c r="W249" s="30"/>
      <c r="X249" s="33"/>
      <c r="Y249" s="36"/>
      <c r="Z249" s="37"/>
      <c r="AA249" s="27"/>
      <c r="AB249" s="27"/>
      <c r="AC249" s="27"/>
      <c r="AD249" s="27"/>
      <c r="AE249" s="27"/>
      <c r="AF249" s="27"/>
      <c r="AG249" s="90"/>
      <c r="AH249" s="91"/>
      <c r="AI249" s="91"/>
      <c r="AJ249" s="92"/>
      <c r="AK249" s="90"/>
      <c r="AL249" s="91"/>
      <c r="AM249" s="91"/>
      <c r="AN249" s="92"/>
      <c r="AO249" s="90"/>
      <c r="AP249" s="91"/>
      <c r="AQ249" s="91"/>
      <c r="AR249" s="92"/>
      <c r="AS249" s="90"/>
      <c r="AT249" s="91"/>
      <c r="AU249" s="91"/>
      <c r="AV249" s="92"/>
      <c r="AW249" s="90"/>
      <c r="AX249" s="91"/>
      <c r="AY249" s="93"/>
      <c r="AZ249" s="91"/>
      <c r="BA249" s="92"/>
      <c r="BB249" s="90"/>
      <c r="BC249" s="91"/>
      <c r="BD249" s="93"/>
      <c r="BE249" s="91"/>
      <c r="BF249" s="92"/>
      <c r="BG249" s="33">
        <f t="shared" si="2"/>
        <v>0</v>
      </c>
      <c r="BH249" s="27"/>
      <c r="BI249" s="27"/>
      <c r="BJ249" s="27"/>
    </row>
    <row r="250" ht="15.75" customHeight="1" spans="1:62">
      <c r="A250" s="29"/>
      <c r="B250" s="29"/>
      <c r="C250" s="29"/>
      <c r="D250" s="33">
        <v>241</v>
      </c>
      <c r="E250" s="31"/>
      <c r="F250" s="31"/>
      <c r="G250" s="32"/>
      <c r="H250" s="32"/>
      <c r="I250" s="33"/>
      <c r="J250" s="27" t="str">
        <f t="shared" si="0"/>
        <v/>
      </c>
      <c r="K250" s="32"/>
      <c r="L250" s="32"/>
      <c r="M250" s="32"/>
      <c r="N250" s="32"/>
      <c r="O250" s="32"/>
      <c r="P250" s="32"/>
      <c r="Q250" s="34"/>
      <c r="R250" s="88" t="str">
        <f ca="1" t="shared" si="4"/>
        <v/>
      </c>
      <c r="S250" s="27"/>
      <c r="T250" s="27"/>
      <c r="U250" s="27"/>
      <c r="V250" s="35"/>
      <c r="W250" s="30"/>
      <c r="X250" s="33"/>
      <c r="Y250" s="36"/>
      <c r="Z250" s="37"/>
      <c r="AA250" s="27"/>
      <c r="AB250" s="27"/>
      <c r="AC250" s="27"/>
      <c r="AD250" s="27"/>
      <c r="AE250" s="27"/>
      <c r="AF250" s="27"/>
      <c r="AG250" s="90"/>
      <c r="AH250" s="91"/>
      <c r="AI250" s="91"/>
      <c r="AJ250" s="92"/>
      <c r="AK250" s="90"/>
      <c r="AL250" s="91"/>
      <c r="AM250" s="91"/>
      <c r="AN250" s="92"/>
      <c r="AO250" s="90"/>
      <c r="AP250" s="91"/>
      <c r="AQ250" s="91"/>
      <c r="AR250" s="92"/>
      <c r="AS250" s="90"/>
      <c r="AT250" s="91"/>
      <c r="AU250" s="91"/>
      <c r="AV250" s="92"/>
      <c r="AW250" s="90"/>
      <c r="AX250" s="91"/>
      <c r="AY250" s="93"/>
      <c r="AZ250" s="91"/>
      <c r="BA250" s="92"/>
      <c r="BB250" s="90"/>
      <c r="BC250" s="91"/>
      <c r="BD250" s="93"/>
      <c r="BE250" s="91"/>
      <c r="BF250" s="92"/>
      <c r="BG250" s="33">
        <f t="shared" si="2"/>
        <v>0</v>
      </c>
      <c r="BH250" s="27"/>
      <c r="BI250" s="27"/>
      <c r="BJ250" s="27"/>
    </row>
    <row r="251" ht="15.75" customHeight="1" spans="1:62">
      <c r="A251" s="29"/>
      <c r="B251" s="29"/>
      <c r="C251" s="29"/>
      <c r="D251" s="33">
        <v>242</v>
      </c>
      <c r="E251" s="31"/>
      <c r="F251" s="31"/>
      <c r="G251" s="32"/>
      <c r="H251" s="32"/>
      <c r="I251" s="33"/>
      <c r="J251" s="27" t="str">
        <f t="shared" si="0"/>
        <v/>
      </c>
      <c r="K251" s="32"/>
      <c r="L251" s="32"/>
      <c r="M251" s="32"/>
      <c r="N251" s="32"/>
      <c r="O251" s="32"/>
      <c r="P251" s="32"/>
      <c r="Q251" s="34"/>
      <c r="R251" s="88" t="str">
        <f ca="1" t="shared" si="4"/>
        <v/>
      </c>
      <c r="S251" s="27"/>
      <c r="T251" s="27"/>
      <c r="U251" s="27"/>
      <c r="V251" s="35"/>
      <c r="W251" s="30"/>
      <c r="X251" s="33"/>
      <c r="Y251" s="36"/>
      <c r="Z251" s="37"/>
      <c r="AA251" s="27"/>
      <c r="AB251" s="27"/>
      <c r="AC251" s="27"/>
      <c r="AD251" s="27"/>
      <c r="AE251" s="27"/>
      <c r="AF251" s="27"/>
      <c r="AG251" s="90"/>
      <c r="AH251" s="91"/>
      <c r="AI251" s="91"/>
      <c r="AJ251" s="92"/>
      <c r="AK251" s="90"/>
      <c r="AL251" s="91"/>
      <c r="AM251" s="91"/>
      <c r="AN251" s="92"/>
      <c r="AO251" s="90"/>
      <c r="AP251" s="91"/>
      <c r="AQ251" s="91"/>
      <c r="AR251" s="92"/>
      <c r="AS251" s="90"/>
      <c r="AT251" s="91"/>
      <c r="AU251" s="91"/>
      <c r="AV251" s="92"/>
      <c r="AW251" s="90"/>
      <c r="AX251" s="91"/>
      <c r="AY251" s="93"/>
      <c r="AZ251" s="91"/>
      <c r="BA251" s="92"/>
      <c r="BB251" s="90"/>
      <c r="BC251" s="91"/>
      <c r="BD251" s="93"/>
      <c r="BE251" s="91"/>
      <c r="BF251" s="92"/>
      <c r="BG251" s="33">
        <f t="shared" si="2"/>
        <v>0</v>
      </c>
      <c r="BH251" s="27"/>
      <c r="BI251" s="27"/>
      <c r="BJ251" s="27"/>
    </row>
    <row r="252" ht="15.75" customHeight="1" spans="1:62">
      <c r="A252" s="29"/>
      <c r="B252" s="29"/>
      <c r="C252" s="29"/>
      <c r="D252" s="33">
        <v>243</v>
      </c>
      <c r="E252" s="31"/>
      <c r="F252" s="31"/>
      <c r="G252" s="32"/>
      <c r="H252" s="32"/>
      <c r="I252" s="33"/>
      <c r="J252" s="27" t="str">
        <f t="shared" si="0"/>
        <v/>
      </c>
      <c r="K252" s="32"/>
      <c r="L252" s="32"/>
      <c r="M252" s="32"/>
      <c r="N252" s="32"/>
      <c r="O252" s="32"/>
      <c r="P252" s="32"/>
      <c r="Q252" s="34"/>
      <c r="R252" s="88" t="str">
        <f ca="1" t="shared" si="4"/>
        <v/>
      </c>
      <c r="S252" s="27"/>
      <c r="T252" s="27"/>
      <c r="U252" s="27"/>
      <c r="V252" s="35"/>
      <c r="W252" s="30"/>
      <c r="X252" s="33"/>
      <c r="Y252" s="36"/>
      <c r="Z252" s="37"/>
      <c r="AA252" s="27"/>
      <c r="AB252" s="27"/>
      <c r="AC252" s="27"/>
      <c r="AD252" s="27"/>
      <c r="AE252" s="27"/>
      <c r="AF252" s="27"/>
      <c r="AG252" s="90"/>
      <c r="AH252" s="91"/>
      <c r="AI252" s="91"/>
      <c r="AJ252" s="92"/>
      <c r="AK252" s="90"/>
      <c r="AL252" s="91"/>
      <c r="AM252" s="91"/>
      <c r="AN252" s="92"/>
      <c r="AO252" s="90"/>
      <c r="AP252" s="91"/>
      <c r="AQ252" s="91"/>
      <c r="AR252" s="92"/>
      <c r="AS252" s="90"/>
      <c r="AT252" s="91"/>
      <c r="AU252" s="91"/>
      <c r="AV252" s="92"/>
      <c r="AW252" s="90"/>
      <c r="AX252" s="91"/>
      <c r="AY252" s="93"/>
      <c r="AZ252" s="91"/>
      <c r="BA252" s="92"/>
      <c r="BB252" s="90"/>
      <c r="BC252" s="91"/>
      <c r="BD252" s="93"/>
      <c r="BE252" s="91"/>
      <c r="BF252" s="92"/>
      <c r="BG252" s="33">
        <f t="shared" si="2"/>
        <v>0</v>
      </c>
      <c r="BH252" s="27"/>
      <c r="BI252" s="27"/>
      <c r="BJ252" s="27"/>
    </row>
    <row r="253" ht="15.75" customHeight="1" spans="1:62">
      <c r="A253" s="29"/>
      <c r="B253" s="29"/>
      <c r="C253" s="29"/>
      <c r="D253" s="33">
        <v>244</v>
      </c>
      <c r="E253" s="31"/>
      <c r="F253" s="31"/>
      <c r="G253" s="32"/>
      <c r="H253" s="32"/>
      <c r="I253" s="33"/>
      <c r="J253" s="27" t="str">
        <f t="shared" si="0"/>
        <v/>
      </c>
      <c r="K253" s="32"/>
      <c r="L253" s="32"/>
      <c r="M253" s="32"/>
      <c r="N253" s="32"/>
      <c r="O253" s="32"/>
      <c r="P253" s="32"/>
      <c r="Q253" s="34"/>
      <c r="R253" s="88" t="str">
        <f ca="1" t="shared" si="4"/>
        <v/>
      </c>
      <c r="S253" s="27"/>
      <c r="T253" s="27"/>
      <c r="U253" s="27"/>
      <c r="V253" s="35"/>
      <c r="W253" s="30"/>
      <c r="X253" s="33"/>
      <c r="Y253" s="36"/>
      <c r="Z253" s="37"/>
      <c r="AA253" s="27"/>
      <c r="AB253" s="27"/>
      <c r="AC253" s="27"/>
      <c r="AD253" s="27"/>
      <c r="AE253" s="27"/>
      <c r="AF253" s="27"/>
      <c r="AG253" s="90"/>
      <c r="AH253" s="91"/>
      <c r="AI253" s="91"/>
      <c r="AJ253" s="92"/>
      <c r="AK253" s="90"/>
      <c r="AL253" s="91"/>
      <c r="AM253" s="91"/>
      <c r="AN253" s="92"/>
      <c r="AO253" s="90"/>
      <c r="AP253" s="91"/>
      <c r="AQ253" s="91"/>
      <c r="AR253" s="92"/>
      <c r="AS253" s="90"/>
      <c r="AT253" s="91"/>
      <c r="AU253" s="91"/>
      <c r="AV253" s="92"/>
      <c r="AW253" s="90"/>
      <c r="AX253" s="91"/>
      <c r="AY253" s="93"/>
      <c r="AZ253" s="91"/>
      <c r="BA253" s="92"/>
      <c r="BB253" s="90"/>
      <c r="BC253" s="91"/>
      <c r="BD253" s="93"/>
      <c r="BE253" s="91"/>
      <c r="BF253" s="92"/>
      <c r="BG253" s="33">
        <f t="shared" si="2"/>
        <v>0</v>
      </c>
      <c r="BH253" s="27"/>
      <c r="BI253" s="27"/>
      <c r="BJ253" s="27"/>
    </row>
    <row r="254" ht="15.75" customHeight="1" spans="1:62">
      <c r="A254" s="29"/>
      <c r="B254" s="29"/>
      <c r="C254" s="29"/>
      <c r="D254" s="33">
        <v>245</v>
      </c>
      <c r="E254" s="31"/>
      <c r="F254" s="31"/>
      <c r="G254" s="32"/>
      <c r="H254" s="32"/>
      <c r="I254" s="33"/>
      <c r="J254" s="27" t="str">
        <f t="shared" si="0"/>
        <v/>
      </c>
      <c r="K254" s="32"/>
      <c r="L254" s="32"/>
      <c r="M254" s="32"/>
      <c r="N254" s="32"/>
      <c r="O254" s="32"/>
      <c r="P254" s="32"/>
      <c r="Q254" s="34"/>
      <c r="R254" s="88" t="str">
        <f ca="1" t="shared" si="4"/>
        <v/>
      </c>
      <c r="S254" s="27"/>
      <c r="T254" s="27"/>
      <c r="U254" s="27"/>
      <c r="V254" s="35"/>
      <c r="W254" s="30"/>
      <c r="X254" s="33"/>
      <c r="Y254" s="36"/>
      <c r="Z254" s="37"/>
      <c r="AA254" s="27"/>
      <c r="AB254" s="27"/>
      <c r="AC254" s="27"/>
      <c r="AD254" s="27"/>
      <c r="AE254" s="27"/>
      <c r="AF254" s="27"/>
      <c r="AG254" s="90"/>
      <c r="AH254" s="91"/>
      <c r="AI254" s="91"/>
      <c r="AJ254" s="92"/>
      <c r="AK254" s="90"/>
      <c r="AL254" s="91"/>
      <c r="AM254" s="91"/>
      <c r="AN254" s="92"/>
      <c r="AO254" s="90"/>
      <c r="AP254" s="91"/>
      <c r="AQ254" s="91"/>
      <c r="AR254" s="92"/>
      <c r="AS254" s="90"/>
      <c r="AT254" s="91"/>
      <c r="AU254" s="91"/>
      <c r="AV254" s="92"/>
      <c r="AW254" s="90"/>
      <c r="AX254" s="91"/>
      <c r="AY254" s="93"/>
      <c r="AZ254" s="91"/>
      <c r="BA254" s="92"/>
      <c r="BB254" s="90"/>
      <c r="BC254" s="91"/>
      <c r="BD254" s="93"/>
      <c r="BE254" s="91"/>
      <c r="BF254" s="92"/>
      <c r="BG254" s="33">
        <f t="shared" si="2"/>
        <v>0</v>
      </c>
      <c r="BH254" s="27"/>
      <c r="BI254" s="27"/>
      <c r="BJ254" s="27"/>
    </row>
    <row r="255" ht="15.75" customHeight="1" spans="1:62">
      <c r="A255" s="29"/>
      <c r="B255" s="29"/>
      <c r="C255" s="29"/>
      <c r="D255" s="33">
        <v>246</v>
      </c>
      <c r="E255" s="31"/>
      <c r="F255" s="31"/>
      <c r="G255" s="32"/>
      <c r="H255" s="32"/>
      <c r="I255" s="33"/>
      <c r="J255" s="27" t="str">
        <f t="shared" si="0"/>
        <v/>
      </c>
      <c r="K255" s="32"/>
      <c r="L255" s="32"/>
      <c r="M255" s="32"/>
      <c r="N255" s="32"/>
      <c r="O255" s="32"/>
      <c r="P255" s="32"/>
      <c r="Q255" s="34"/>
      <c r="R255" s="88" t="str">
        <f ca="1" t="shared" si="4"/>
        <v/>
      </c>
      <c r="S255" s="27"/>
      <c r="T255" s="27"/>
      <c r="U255" s="27"/>
      <c r="V255" s="35"/>
      <c r="W255" s="30"/>
      <c r="X255" s="33"/>
      <c r="Y255" s="36"/>
      <c r="Z255" s="37"/>
      <c r="AA255" s="27"/>
      <c r="AB255" s="27"/>
      <c r="AC255" s="27"/>
      <c r="AD255" s="27"/>
      <c r="AE255" s="27"/>
      <c r="AF255" s="27"/>
      <c r="AG255" s="90"/>
      <c r="AH255" s="91"/>
      <c r="AI255" s="91"/>
      <c r="AJ255" s="92"/>
      <c r="AK255" s="90"/>
      <c r="AL255" s="91"/>
      <c r="AM255" s="91"/>
      <c r="AN255" s="92"/>
      <c r="AO255" s="90"/>
      <c r="AP255" s="91"/>
      <c r="AQ255" s="91"/>
      <c r="AR255" s="92"/>
      <c r="AS255" s="90"/>
      <c r="AT255" s="91"/>
      <c r="AU255" s="91"/>
      <c r="AV255" s="92"/>
      <c r="AW255" s="90"/>
      <c r="AX255" s="91"/>
      <c r="AY255" s="93"/>
      <c r="AZ255" s="91"/>
      <c r="BA255" s="92"/>
      <c r="BB255" s="90"/>
      <c r="BC255" s="91"/>
      <c r="BD255" s="93"/>
      <c r="BE255" s="91"/>
      <c r="BF255" s="92"/>
      <c r="BG255" s="33">
        <f t="shared" si="2"/>
        <v>0</v>
      </c>
      <c r="BH255" s="27"/>
      <c r="BI255" s="27"/>
      <c r="BJ255" s="27"/>
    </row>
    <row r="256" ht="15.75" customHeight="1" spans="1:62">
      <c r="A256" s="29"/>
      <c r="B256" s="29"/>
      <c r="C256" s="29"/>
      <c r="D256" s="33">
        <v>247</v>
      </c>
      <c r="E256" s="31"/>
      <c r="F256" s="31"/>
      <c r="G256" s="32"/>
      <c r="H256" s="32"/>
      <c r="I256" s="33"/>
      <c r="J256" s="27" t="str">
        <f t="shared" si="0"/>
        <v/>
      </c>
      <c r="K256" s="32"/>
      <c r="L256" s="32"/>
      <c r="M256" s="32"/>
      <c r="N256" s="32"/>
      <c r="O256" s="32"/>
      <c r="P256" s="32"/>
      <c r="Q256" s="34"/>
      <c r="R256" s="88" t="str">
        <f ca="1" t="shared" si="4"/>
        <v/>
      </c>
      <c r="S256" s="27"/>
      <c r="T256" s="27"/>
      <c r="U256" s="27"/>
      <c r="V256" s="35"/>
      <c r="W256" s="30"/>
      <c r="X256" s="33"/>
      <c r="Y256" s="36"/>
      <c r="Z256" s="37"/>
      <c r="AA256" s="27"/>
      <c r="AB256" s="27"/>
      <c r="AC256" s="27"/>
      <c r="AD256" s="27"/>
      <c r="AE256" s="27"/>
      <c r="AF256" s="27"/>
      <c r="AG256" s="90"/>
      <c r="AH256" s="91"/>
      <c r="AI256" s="91"/>
      <c r="AJ256" s="92"/>
      <c r="AK256" s="90"/>
      <c r="AL256" s="91"/>
      <c r="AM256" s="91"/>
      <c r="AN256" s="92"/>
      <c r="AO256" s="90"/>
      <c r="AP256" s="91"/>
      <c r="AQ256" s="91"/>
      <c r="AR256" s="92"/>
      <c r="AS256" s="90"/>
      <c r="AT256" s="91"/>
      <c r="AU256" s="91"/>
      <c r="AV256" s="92"/>
      <c r="AW256" s="90"/>
      <c r="AX256" s="91"/>
      <c r="AY256" s="93"/>
      <c r="AZ256" s="91"/>
      <c r="BA256" s="92"/>
      <c r="BB256" s="90"/>
      <c r="BC256" s="91"/>
      <c r="BD256" s="93"/>
      <c r="BE256" s="91"/>
      <c r="BF256" s="92"/>
      <c r="BG256" s="33">
        <f t="shared" si="2"/>
        <v>0</v>
      </c>
      <c r="BH256" s="27"/>
      <c r="BI256" s="27"/>
      <c r="BJ256" s="27"/>
    </row>
    <row r="257" ht="15.75" customHeight="1" spans="1:62">
      <c r="A257" s="29"/>
      <c r="B257" s="29"/>
      <c r="C257" s="29"/>
      <c r="D257" s="33">
        <v>248</v>
      </c>
      <c r="E257" s="31"/>
      <c r="F257" s="31"/>
      <c r="G257" s="32"/>
      <c r="H257" s="32"/>
      <c r="I257" s="33"/>
      <c r="J257" s="27" t="str">
        <f t="shared" si="0"/>
        <v/>
      </c>
      <c r="K257" s="32"/>
      <c r="L257" s="32"/>
      <c r="M257" s="32"/>
      <c r="N257" s="32"/>
      <c r="O257" s="32"/>
      <c r="P257" s="32"/>
      <c r="Q257" s="34"/>
      <c r="R257" s="88" t="str">
        <f ca="1" t="shared" si="4"/>
        <v/>
      </c>
      <c r="S257" s="27"/>
      <c r="T257" s="27"/>
      <c r="U257" s="27"/>
      <c r="V257" s="35"/>
      <c r="W257" s="30"/>
      <c r="X257" s="33"/>
      <c r="Y257" s="36"/>
      <c r="Z257" s="37"/>
      <c r="AA257" s="27"/>
      <c r="AB257" s="27"/>
      <c r="AC257" s="27"/>
      <c r="AD257" s="27"/>
      <c r="AE257" s="27"/>
      <c r="AF257" s="27"/>
      <c r="AG257" s="90"/>
      <c r="AH257" s="91"/>
      <c r="AI257" s="91"/>
      <c r="AJ257" s="92"/>
      <c r="AK257" s="90"/>
      <c r="AL257" s="91"/>
      <c r="AM257" s="91"/>
      <c r="AN257" s="92"/>
      <c r="AO257" s="90"/>
      <c r="AP257" s="91"/>
      <c r="AQ257" s="91"/>
      <c r="AR257" s="92"/>
      <c r="AS257" s="90"/>
      <c r="AT257" s="91"/>
      <c r="AU257" s="91"/>
      <c r="AV257" s="92"/>
      <c r="AW257" s="90"/>
      <c r="AX257" s="91"/>
      <c r="AY257" s="93"/>
      <c r="AZ257" s="91"/>
      <c r="BA257" s="92"/>
      <c r="BB257" s="90"/>
      <c r="BC257" s="91"/>
      <c r="BD257" s="93"/>
      <c r="BE257" s="91"/>
      <c r="BF257" s="92"/>
      <c r="BG257" s="33">
        <f t="shared" si="2"/>
        <v>0</v>
      </c>
      <c r="BH257" s="27"/>
      <c r="BI257" s="27"/>
      <c r="BJ257" s="27"/>
    </row>
    <row r="258" ht="15.75" customHeight="1" spans="1:62">
      <c r="A258" s="29"/>
      <c r="B258" s="29"/>
      <c r="C258" s="29"/>
      <c r="D258" s="33">
        <v>249</v>
      </c>
      <c r="E258" s="31"/>
      <c r="F258" s="31"/>
      <c r="G258" s="32"/>
      <c r="H258" s="32"/>
      <c r="I258" s="33"/>
      <c r="J258" s="27" t="str">
        <f t="shared" si="0"/>
        <v/>
      </c>
      <c r="K258" s="32"/>
      <c r="L258" s="32"/>
      <c r="M258" s="32"/>
      <c r="N258" s="32"/>
      <c r="O258" s="32"/>
      <c r="P258" s="32"/>
      <c r="Q258" s="34"/>
      <c r="R258" s="88" t="str">
        <f ca="1" t="shared" si="4"/>
        <v/>
      </c>
      <c r="S258" s="27"/>
      <c r="T258" s="27"/>
      <c r="U258" s="27"/>
      <c r="V258" s="35"/>
      <c r="W258" s="30"/>
      <c r="X258" s="33"/>
      <c r="Y258" s="36"/>
      <c r="Z258" s="37"/>
      <c r="AA258" s="27"/>
      <c r="AB258" s="27"/>
      <c r="AC258" s="27"/>
      <c r="AD258" s="27"/>
      <c r="AE258" s="27"/>
      <c r="AF258" s="27"/>
      <c r="AG258" s="90"/>
      <c r="AH258" s="91"/>
      <c r="AI258" s="91"/>
      <c r="AJ258" s="92"/>
      <c r="AK258" s="90"/>
      <c r="AL258" s="91"/>
      <c r="AM258" s="91"/>
      <c r="AN258" s="92"/>
      <c r="AO258" s="90"/>
      <c r="AP258" s="91"/>
      <c r="AQ258" s="91"/>
      <c r="AR258" s="92"/>
      <c r="AS258" s="90"/>
      <c r="AT258" s="91"/>
      <c r="AU258" s="91"/>
      <c r="AV258" s="92"/>
      <c r="AW258" s="90"/>
      <c r="AX258" s="91"/>
      <c r="AY258" s="93"/>
      <c r="AZ258" s="91"/>
      <c r="BA258" s="92"/>
      <c r="BB258" s="90"/>
      <c r="BC258" s="91"/>
      <c r="BD258" s="93"/>
      <c r="BE258" s="91"/>
      <c r="BF258" s="92"/>
      <c r="BG258" s="33">
        <f t="shared" si="2"/>
        <v>0</v>
      </c>
      <c r="BH258" s="27"/>
      <c r="BI258" s="27"/>
      <c r="BJ258" s="27"/>
    </row>
    <row r="259" ht="15.75" customHeight="1" spans="1:62">
      <c r="A259" s="29"/>
      <c r="B259" s="29"/>
      <c r="C259" s="29"/>
      <c r="D259" s="33">
        <v>250</v>
      </c>
      <c r="E259" s="31"/>
      <c r="F259" s="31"/>
      <c r="G259" s="32"/>
      <c r="H259" s="32"/>
      <c r="I259" s="33"/>
      <c r="J259" s="27" t="str">
        <f t="shared" si="0"/>
        <v/>
      </c>
      <c r="K259" s="32"/>
      <c r="L259" s="32"/>
      <c r="M259" s="32"/>
      <c r="N259" s="32"/>
      <c r="O259" s="32"/>
      <c r="P259" s="32"/>
      <c r="Q259" s="34"/>
      <c r="R259" s="88" t="str">
        <f ca="1" t="shared" si="4"/>
        <v/>
      </c>
      <c r="S259" s="27"/>
      <c r="T259" s="27"/>
      <c r="U259" s="27"/>
      <c r="V259" s="35"/>
      <c r="W259" s="30"/>
      <c r="X259" s="33"/>
      <c r="Y259" s="36"/>
      <c r="Z259" s="37"/>
      <c r="AA259" s="27"/>
      <c r="AB259" s="27"/>
      <c r="AC259" s="27"/>
      <c r="AD259" s="27"/>
      <c r="AE259" s="27"/>
      <c r="AF259" s="27"/>
      <c r="AG259" s="90"/>
      <c r="AH259" s="91"/>
      <c r="AI259" s="91"/>
      <c r="AJ259" s="92"/>
      <c r="AK259" s="90"/>
      <c r="AL259" s="91"/>
      <c r="AM259" s="91"/>
      <c r="AN259" s="92"/>
      <c r="AO259" s="90"/>
      <c r="AP259" s="91"/>
      <c r="AQ259" s="91"/>
      <c r="AR259" s="92"/>
      <c r="AS259" s="90"/>
      <c r="AT259" s="91"/>
      <c r="AU259" s="91"/>
      <c r="AV259" s="92"/>
      <c r="AW259" s="90"/>
      <c r="AX259" s="91"/>
      <c r="AY259" s="93"/>
      <c r="AZ259" s="91"/>
      <c r="BA259" s="92"/>
      <c r="BB259" s="90"/>
      <c r="BC259" s="91"/>
      <c r="BD259" s="93"/>
      <c r="BE259" s="91"/>
      <c r="BF259" s="92"/>
      <c r="BG259" s="33">
        <f t="shared" si="2"/>
        <v>0</v>
      </c>
      <c r="BH259" s="27"/>
      <c r="BI259" s="27"/>
      <c r="BJ259" s="27"/>
    </row>
    <row r="260" ht="15.75" customHeight="1" spans="1:62">
      <c r="A260" s="29"/>
      <c r="B260" s="29"/>
      <c r="C260" s="29"/>
      <c r="D260" s="33">
        <v>251</v>
      </c>
      <c r="E260" s="31"/>
      <c r="F260" s="31"/>
      <c r="G260" s="32"/>
      <c r="H260" s="32"/>
      <c r="I260" s="33"/>
      <c r="J260" s="27" t="str">
        <f t="shared" si="0"/>
        <v/>
      </c>
      <c r="K260" s="32"/>
      <c r="L260" s="32"/>
      <c r="M260" s="32"/>
      <c r="N260" s="32"/>
      <c r="O260" s="32"/>
      <c r="P260" s="32"/>
      <c r="Q260" s="34"/>
      <c r="R260" s="88" t="str">
        <f ca="1" t="shared" si="4"/>
        <v/>
      </c>
      <c r="S260" s="27"/>
      <c r="T260" s="27"/>
      <c r="U260" s="27"/>
      <c r="V260" s="35"/>
      <c r="W260" s="30"/>
      <c r="X260" s="33"/>
      <c r="Y260" s="36"/>
      <c r="Z260" s="37"/>
      <c r="AA260" s="27"/>
      <c r="AB260" s="27"/>
      <c r="AC260" s="27"/>
      <c r="AD260" s="27"/>
      <c r="AE260" s="27"/>
      <c r="AF260" s="27"/>
      <c r="AG260" s="90"/>
      <c r="AH260" s="91"/>
      <c r="AI260" s="91"/>
      <c r="AJ260" s="92"/>
      <c r="AK260" s="90"/>
      <c r="AL260" s="91"/>
      <c r="AM260" s="91"/>
      <c r="AN260" s="92"/>
      <c r="AO260" s="90"/>
      <c r="AP260" s="91"/>
      <c r="AQ260" s="91"/>
      <c r="AR260" s="92"/>
      <c r="AS260" s="90"/>
      <c r="AT260" s="91"/>
      <c r="AU260" s="91"/>
      <c r="AV260" s="92"/>
      <c r="AW260" s="90"/>
      <c r="AX260" s="91"/>
      <c r="AY260" s="93"/>
      <c r="AZ260" s="91"/>
      <c r="BA260" s="92"/>
      <c r="BB260" s="90"/>
      <c r="BC260" s="91"/>
      <c r="BD260" s="93"/>
      <c r="BE260" s="91"/>
      <c r="BF260" s="92"/>
      <c r="BG260" s="33">
        <f t="shared" si="2"/>
        <v>0</v>
      </c>
      <c r="BH260" s="27"/>
      <c r="BI260" s="27"/>
      <c r="BJ260" s="27"/>
    </row>
    <row r="261" ht="15.75" customHeight="1" spans="1:62">
      <c r="A261" s="29"/>
      <c r="B261" s="29"/>
      <c r="C261" s="29"/>
      <c r="D261" s="33">
        <v>252</v>
      </c>
      <c r="E261" s="31"/>
      <c r="F261" s="31"/>
      <c r="G261" s="32"/>
      <c r="H261" s="32"/>
      <c r="I261" s="33"/>
      <c r="J261" s="27" t="str">
        <f t="shared" si="0"/>
        <v/>
      </c>
      <c r="K261" s="32"/>
      <c r="L261" s="32"/>
      <c r="M261" s="32"/>
      <c r="N261" s="32"/>
      <c r="O261" s="32"/>
      <c r="P261" s="32"/>
      <c r="Q261" s="34"/>
      <c r="R261" s="88" t="str">
        <f ca="1" t="shared" si="4"/>
        <v/>
      </c>
      <c r="S261" s="27"/>
      <c r="T261" s="27"/>
      <c r="U261" s="27"/>
      <c r="V261" s="35"/>
      <c r="W261" s="30"/>
      <c r="X261" s="33"/>
      <c r="Y261" s="36"/>
      <c r="Z261" s="37"/>
      <c r="AA261" s="27"/>
      <c r="AB261" s="27"/>
      <c r="AC261" s="27"/>
      <c r="AD261" s="27"/>
      <c r="AE261" s="27"/>
      <c r="AF261" s="27"/>
      <c r="AG261" s="90"/>
      <c r="AH261" s="91"/>
      <c r="AI261" s="91"/>
      <c r="AJ261" s="92"/>
      <c r="AK261" s="90"/>
      <c r="AL261" s="91"/>
      <c r="AM261" s="91"/>
      <c r="AN261" s="92"/>
      <c r="AO261" s="90"/>
      <c r="AP261" s="91"/>
      <c r="AQ261" s="91"/>
      <c r="AR261" s="92"/>
      <c r="AS261" s="90"/>
      <c r="AT261" s="91"/>
      <c r="AU261" s="91"/>
      <c r="AV261" s="92"/>
      <c r="AW261" s="90"/>
      <c r="AX261" s="91"/>
      <c r="AY261" s="93"/>
      <c r="AZ261" s="91"/>
      <c r="BA261" s="92"/>
      <c r="BB261" s="90"/>
      <c r="BC261" s="91"/>
      <c r="BD261" s="93"/>
      <c r="BE261" s="91"/>
      <c r="BF261" s="92"/>
      <c r="BG261" s="33">
        <f t="shared" si="2"/>
        <v>0</v>
      </c>
      <c r="BH261" s="27"/>
      <c r="BI261" s="27"/>
      <c r="BJ261" s="27"/>
    </row>
    <row r="262" ht="15.75" customHeight="1" spans="1:62">
      <c r="A262" s="29"/>
      <c r="B262" s="29"/>
      <c r="C262" s="29"/>
      <c r="D262" s="33">
        <v>253</v>
      </c>
      <c r="E262" s="31"/>
      <c r="F262" s="31"/>
      <c r="G262" s="32"/>
      <c r="H262" s="32"/>
      <c r="I262" s="33"/>
      <c r="J262" s="27" t="str">
        <f t="shared" si="0"/>
        <v/>
      </c>
      <c r="K262" s="32"/>
      <c r="L262" s="32"/>
      <c r="M262" s="32"/>
      <c r="N262" s="32"/>
      <c r="O262" s="32"/>
      <c r="P262" s="32"/>
      <c r="Q262" s="34"/>
      <c r="R262" s="88" t="str">
        <f ca="1" t="shared" si="4"/>
        <v/>
      </c>
      <c r="S262" s="27"/>
      <c r="T262" s="27"/>
      <c r="U262" s="27"/>
      <c r="V262" s="35"/>
      <c r="W262" s="30"/>
      <c r="X262" s="33"/>
      <c r="Y262" s="36"/>
      <c r="Z262" s="37"/>
      <c r="AA262" s="27"/>
      <c r="AB262" s="27"/>
      <c r="AC262" s="27"/>
      <c r="AD262" s="27"/>
      <c r="AE262" s="27"/>
      <c r="AF262" s="27"/>
      <c r="AG262" s="90"/>
      <c r="AH262" s="91"/>
      <c r="AI262" s="91"/>
      <c r="AJ262" s="92"/>
      <c r="AK262" s="90"/>
      <c r="AL262" s="91"/>
      <c r="AM262" s="91"/>
      <c r="AN262" s="92"/>
      <c r="AO262" s="90"/>
      <c r="AP262" s="91"/>
      <c r="AQ262" s="91"/>
      <c r="AR262" s="92"/>
      <c r="AS262" s="90"/>
      <c r="AT262" s="91"/>
      <c r="AU262" s="91"/>
      <c r="AV262" s="92"/>
      <c r="AW262" s="90"/>
      <c r="AX262" s="91"/>
      <c r="AY262" s="93"/>
      <c r="AZ262" s="91"/>
      <c r="BA262" s="92"/>
      <c r="BB262" s="90"/>
      <c r="BC262" s="91"/>
      <c r="BD262" s="93"/>
      <c r="BE262" s="91"/>
      <c r="BF262" s="92"/>
      <c r="BG262" s="33">
        <f t="shared" si="2"/>
        <v>0</v>
      </c>
      <c r="BH262" s="27"/>
      <c r="BI262" s="27"/>
      <c r="BJ262" s="27"/>
    </row>
    <row r="263" ht="15.75" customHeight="1" spans="1:62">
      <c r="A263" s="29"/>
      <c r="B263" s="29"/>
      <c r="C263" s="29"/>
      <c r="D263" s="33">
        <v>254</v>
      </c>
      <c r="E263" s="31"/>
      <c r="F263" s="31"/>
      <c r="G263" s="32"/>
      <c r="H263" s="32"/>
      <c r="I263" s="33"/>
      <c r="J263" s="27" t="str">
        <f t="shared" si="0"/>
        <v/>
      </c>
      <c r="K263" s="32"/>
      <c r="L263" s="32"/>
      <c r="M263" s="32"/>
      <c r="N263" s="32"/>
      <c r="O263" s="32"/>
      <c r="P263" s="32"/>
      <c r="Q263" s="34"/>
      <c r="R263" s="88" t="str">
        <f ca="1" t="shared" si="4"/>
        <v/>
      </c>
      <c r="S263" s="27"/>
      <c r="T263" s="27"/>
      <c r="U263" s="27"/>
      <c r="V263" s="35"/>
      <c r="W263" s="30"/>
      <c r="X263" s="33"/>
      <c r="Y263" s="36"/>
      <c r="Z263" s="37"/>
      <c r="AA263" s="27"/>
      <c r="AB263" s="27"/>
      <c r="AC263" s="27"/>
      <c r="AD263" s="27"/>
      <c r="AE263" s="27"/>
      <c r="AF263" s="27"/>
      <c r="AG263" s="90"/>
      <c r="AH263" s="91"/>
      <c r="AI263" s="91"/>
      <c r="AJ263" s="92"/>
      <c r="AK263" s="90"/>
      <c r="AL263" s="91"/>
      <c r="AM263" s="91"/>
      <c r="AN263" s="92"/>
      <c r="AO263" s="90"/>
      <c r="AP263" s="91"/>
      <c r="AQ263" s="91"/>
      <c r="AR263" s="92"/>
      <c r="AS263" s="90"/>
      <c r="AT263" s="91"/>
      <c r="AU263" s="91"/>
      <c r="AV263" s="92"/>
      <c r="AW263" s="90"/>
      <c r="AX263" s="91"/>
      <c r="AY263" s="93"/>
      <c r="AZ263" s="91"/>
      <c r="BA263" s="92"/>
      <c r="BB263" s="90"/>
      <c r="BC263" s="91"/>
      <c r="BD263" s="93"/>
      <c r="BE263" s="91"/>
      <c r="BF263" s="92"/>
      <c r="BG263" s="33">
        <f t="shared" si="2"/>
        <v>0</v>
      </c>
      <c r="BH263" s="27"/>
      <c r="BI263" s="27"/>
      <c r="BJ263" s="27"/>
    </row>
    <row r="264" ht="15.75" customHeight="1" spans="1:62">
      <c r="A264" s="29"/>
      <c r="B264" s="29"/>
      <c r="C264" s="29"/>
      <c r="D264" s="33">
        <v>255</v>
      </c>
      <c r="E264" s="31"/>
      <c r="F264" s="31"/>
      <c r="G264" s="32"/>
      <c r="H264" s="32"/>
      <c r="I264" s="33"/>
      <c r="J264" s="27" t="str">
        <f t="shared" si="0"/>
        <v/>
      </c>
      <c r="K264" s="32"/>
      <c r="L264" s="32"/>
      <c r="M264" s="32"/>
      <c r="N264" s="32"/>
      <c r="O264" s="32"/>
      <c r="P264" s="32"/>
      <c r="Q264" s="34"/>
      <c r="R264" s="88" t="str">
        <f ca="1" t="shared" si="4"/>
        <v/>
      </c>
      <c r="S264" s="27"/>
      <c r="T264" s="27"/>
      <c r="U264" s="27"/>
      <c r="V264" s="35"/>
      <c r="W264" s="30"/>
      <c r="X264" s="33"/>
      <c r="Y264" s="36"/>
      <c r="Z264" s="37"/>
      <c r="AA264" s="27"/>
      <c r="AB264" s="27"/>
      <c r="AC264" s="27"/>
      <c r="AD264" s="27"/>
      <c r="AE264" s="27"/>
      <c r="AF264" s="27"/>
      <c r="AG264" s="90"/>
      <c r="AH264" s="91"/>
      <c r="AI264" s="91"/>
      <c r="AJ264" s="92"/>
      <c r="AK264" s="90"/>
      <c r="AL264" s="91"/>
      <c r="AM264" s="91"/>
      <c r="AN264" s="92"/>
      <c r="AO264" s="90"/>
      <c r="AP264" s="91"/>
      <c r="AQ264" s="91"/>
      <c r="AR264" s="92"/>
      <c r="AS264" s="90"/>
      <c r="AT264" s="91"/>
      <c r="AU264" s="91"/>
      <c r="AV264" s="92"/>
      <c r="AW264" s="90"/>
      <c r="AX264" s="91"/>
      <c r="AY264" s="93"/>
      <c r="AZ264" s="91"/>
      <c r="BA264" s="92"/>
      <c r="BB264" s="90"/>
      <c r="BC264" s="91"/>
      <c r="BD264" s="93"/>
      <c r="BE264" s="91"/>
      <c r="BF264" s="92"/>
      <c r="BG264" s="33">
        <f t="shared" si="2"/>
        <v>0</v>
      </c>
      <c r="BH264" s="27"/>
      <c r="BI264" s="27"/>
      <c r="BJ264" s="27"/>
    </row>
    <row r="265" ht="15.75" customHeight="1" spans="1:62">
      <c r="A265" s="29"/>
      <c r="B265" s="29"/>
      <c r="C265" s="29"/>
      <c r="D265" s="33">
        <v>256</v>
      </c>
      <c r="E265" s="31"/>
      <c r="F265" s="31"/>
      <c r="G265" s="32"/>
      <c r="H265" s="32"/>
      <c r="I265" s="33"/>
      <c r="J265" s="27" t="str">
        <f t="shared" si="0"/>
        <v/>
      </c>
      <c r="K265" s="32"/>
      <c r="L265" s="32"/>
      <c r="M265" s="32"/>
      <c r="N265" s="32"/>
      <c r="O265" s="32"/>
      <c r="P265" s="32"/>
      <c r="Q265" s="34"/>
      <c r="R265" s="88" t="str">
        <f ca="1" t="shared" si="4"/>
        <v/>
      </c>
      <c r="S265" s="27"/>
      <c r="T265" s="27"/>
      <c r="U265" s="27"/>
      <c r="V265" s="35"/>
      <c r="W265" s="30"/>
      <c r="X265" s="33"/>
      <c r="Y265" s="36"/>
      <c r="Z265" s="37"/>
      <c r="AA265" s="27"/>
      <c r="AB265" s="27"/>
      <c r="AC265" s="27"/>
      <c r="AD265" s="27"/>
      <c r="AE265" s="27"/>
      <c r="AF265" s="27"/>
      <c r="AG265" s="90"/>
      <c r="AH265" s="91"/>
      <c r="AI265" s="91"/>
      <c r="AJ265" s="92"/>
      <c r="AK265" s="90"/>
      <c r="AL265" s="91"/>
      <c r="AM265" s="91"/>
      <c r="AN265" s="92"/>
      <c r="AO265" s="90"/>
      <c r="AP265" s="91"/>
      <c r="AQ265" s="91"/>
      <c r="AR265" s="92"/>
      <c r="AS265" s="90"/>
      <c r="AT265" s="91"/>
      <c r="AU265" s="91"/>
      <c r="AV265" s="92"/>
      <c r="AW265" s="90"/>
      <c r="AX265" s="91"/>
      <c r="AY265" s="93"/>
      <c r="AZ265" s="91"/>
      <c r="BA265" s="92"/>
      <c r="BB265" s="90"/>
      <c r="BC265" s="91"/>
      <c r="BD265" s="93"/>
      <c r="BE265" s="91"/>
      <c r="BF265" s="92"/>
      <c r="BG265" s="33">
        <f t="shared" si="2"/>
        <v>0</v>
      </c>
      <c r="BH265" s="27"/>
      <c r="BI265" s="27"/>
      <c r="BJ265" s="27"/>
    </row>
    <row r="266" ht="15.75" customHeight="1" spans="1:62">
      <c r="A266" s="29"/>
      <c r="B266" s="29"/>
      <c r="C266" s="29"/>
      <c r="D266" s="33">
        <v>257</v>
      </c>
      <c r="E266" s="31"/>
      <c r="F266" s="31"/>
      <c r="G266" s="32"/>
      <c r="H266" s="32"/>
      <c r="I266" s="33"/>
      <c r="J266" s="27" t="str">
        <f t="shared" si="0"/>
        <v/>
      </c>
      <c r="K266" s="32"/>
      <c r="L266" s="32"/>
      <c r="M266" s="32"/>
      <c r="N266" s="32"/>
      <c r="O266" s="32"/>
      <c r="P266" s="32"/>
      <c r="Q266" s="34"/>
      <c r="R266" s="88" t="str">
        <f ca="1" t="shared" si="4"/>
        <v/>
      </c>
      <c r="S266" s="27"/>
      <c r="T266" s="27"/>
      <c r="U266" s="27"/>
      <c r="V266" s="35"/>
      <c r="W266" s="30"/>
      <c r="X266" s="33"/>
      <c r="Y266" s="36"/>
      <c r="Z266" s="37"/>
      <c r="AA266" s="27"/>
      <c r="AB266" s="27"/>
      <c r="AC266" s="27"/>
      <c r="AD266" s="27"/>
      <c r="AE266" s="27"/>
      <c r="AF266" s="27"/>
      <c r="AG266" s="90"/>
      <c r="AH266" s="91"/>
      <c r="AI266" s="91"/>
      <c r="AJ266" s="92"/>
      <c r="AK266" s="90"/>
      <c r="AL266" s="91"/>
      <c r="AM266" s="91"/>
      <c r="AN266" s="92"/>
      <c r="AO266" s="90"/>
      <c r="AP266" s="91"/>
      <c r="AQ266" s="91"/>
      <c r="AR266" s="92"/>
      <c r="AS266" s="90"/>
      <c r="AT266" s="91"/>
      <c r="AU266" s="91"/>
      <c r="AV266" s="92"/>
      <c r="AW266" s="90"/>
      <c r="AX266" s="91"/>
      <c r="AY266" s="93"/>
      <c r="AZ266" s="91"/>
      <c r="BA266" s="92"/>
      <c r="BB266" s="90"/>
      <c r="BC266" s="91"/>
      <c r="BD266" s="93"/>
      <c r="BE266" s="91"/>
      <c r="BF266" s="92"/>
      <c r="BG266" s="33">
        <f t="shared" si="2"/>
        <v>0</v>
      </c>
      <c r="BH266" s="27"/>
      <c r="BI266" s="27"/>
      <c r="BJ266" s="27"/>
    </row>
    <row r="267" ht="15.75" customHeight="1" spans="1:62">
      <c r="A267" s="29"/>
      <c r="B267" s="29"/>
      <c r="C267" s="29"/>
      <c r="D267" s="33">
        <v>258</v>
      </c>
      <c r="E267" s="31"/>
      <c r="F267" s="31"/>
      <c r="G267" s="32"/>
      <c r="H267" s="32"/>
      <c r="I267" s="33"/>
      <c r="J267" s="27" t="str">
        <f t="shared" si="0"/>
        <v/>
      </c>
      <c r="K267" s="32"/>
      <c r="L267" s="32"/>
      <c r="M267" s="32"/>
      <c r="N267" s="32"/>
      <c r="O267" s="32"/>
      <c r="P267" s="32"/>
      <c r="Q267" s="34"/>
      <c r="R267" s="88" t="str">
        <f ca="1" t="shared" si="4"/>
        <v/>
      </c>
      <c r="S267" s="27"/>
      <c r="T267" s="27"/>
      <c r="U267" s="27"/>
      <c r="V267" s="35"/>
      <c r="W267" s="30"/>
      <c r="X267" s="33"/>
      <c r="Y267" s="36"/>
      <c r="Z267" s="37"/>
      <c r="AA267" s="27"/>
      <c r="AB267" s="27"/>
      <c r="AC267" s="27"/>
      <c r="AD267" s="27"/>
      <c r="AE267" s="27"/>
      <c r="AF267" s="27"/>
      <c r="AG267" s="90"/>
      <c r="AH267" s="91"/>
      <c r="AI267" s="91"/>
      <c r="AJ267" s="92"/>
      <c r="AK267" s="90"/>
      <c r="AL267" s="91"/>
      <c r="AM267" s="91"/>
      <c r="AN267" s="92"/>
      <c r="AO267" s="90"/>
      <c r="AP267" s="91"/>
      <c r="AQ267" s="91"/>
      <c r="AR267" s="92"/>
      <c r="AS267" s="90"/>
      <c r="AT267" s="91"/>
      <c r="AU267" s="91"/>
      <c r="AV267" s="92"/>
      <c r="AW267" s="90"/>
      <c r="AX267" s="91"/>
      <c r="AY267" s="93"/>
      <c r="AZ267" s="91"/>
      <c r="BA267" s="92"/>
      <c r="BB267" s="90"/>
      <c r="BC267" s="91"/>
      <c r="BD267" s="93"/>
      <c r="BE267" s="91"/>
      <c r="BF267" s="92"/>
      <c r="BG267" s="33">
        <f t="shared" si="2"/>
        <v>0</v>
      </c>
      <c r="BH267" s="27"/>
      <c r="BI267" s="27"/>
      <c r="BJ267" s="27"/>
    </row>
    <row r="268" ht="15.75" customHeight="1" spans="1:62">
      <c r="A268" s="29"/>
      <c r="B268" s="29"/>
      <c r="C268" s="29"/>
      <c r="D268" s="33">
        <v>259</v>
      </c>
      <c r="E268" s="31"/>
      <c r="F268" s="31"/>
      <c r="G268" s="32"/>
      <c r="H268" s="32"/>
      <c r="I268" s="33"/>
      <c r="J268" s="27" t="str">
        <f t="shared" si="0"/>
        <v/>
      </c>
      <c r="K268" s="32"/>
      <c r="L268" s="32"/>
      <c r="M268" s="32"/>
      <c r="N268" s="32"/>
      <c r="O268" s="32"/>
      <c r="P268" s="32"/>
      <c r="Q268" s="34"/>
      <c r="R268" s="88" t="str">
        <f ca="1" t="shared" si="4"/>
        <v/>
      </c>
      <c r="S268" s="27"/>
      <c r="T268" s="27"/>
      <c r="U268" s="27"/>
      <c r="V268" s="35"/>
      <c r="W268" s="30"/>
      <c r="X268" s="33"/>
      <c r="Y268" s="36"/>
      <c r="Z268" s="37"/>
      <c r="AA268" s="27"/>
      <c r="AB268" s="27"/>
      <c r="AC268" s="27"/>
      <c r="AD268" s="27"/>
      <c r="AE268" s="27"/>
      <c r="AF268" s="27"/>
      <c r="AG268" s="90"/>
      <c r="AH268" s="91"/>
      <c r="AI268" s="91"/>
      <c r="AJ268" s="92"/>
      <c r="AK268" s="90"/>
      <c r="AL268" s="91"/>
      <c r="AM268" s="91"/>
      <c r="AN268" s="92"/>
      <c r="AO268" s="90"/>
      <c r="AP268" s="91"/>
      <c r="AQ268" s="91"/>
      <c r="AR268" s="92"/>
      <c r="AS268" s="90"/>
      <c r="AT268" s="91"/>
      <c r="AU268" s="91"/>
      <c r="AV268" s="92"/>
      <c r="AW268" s="90"/>
      <c r="AX268" s="91"/>
      <c r="AY268" s="93"/>
      <c r="AZ268" s="91"/>
      <c r="BA268" s="92"/>
      <c r="BB268" s="90"/>
      <c r="BC268" s="91"/>
      <c r="BD268" s="93"/>
      <c r="BE268" s="91"/>
      <c r="BF268" s="92"/>
      <c r="BG268" s="33">
        <f t="shared" si="2"/>
        <v>0</v>
      </c>
      <c r="BH268" s="27"/>
      <c r="BI268" s="27"/>
      <c r="BJ268" s="27"/>
    </row>
    <row r="269" ht="15.75" customHeight="1" spans="1:62">
      <c r="A269" s="29"/>
      <c r="B269" s="29"/>
      <c r="C269" s="29"/>
      <c r="D269" s="33">
        <v>260</v>
      </c>
      <c r="E269" s="31"/>
      <c r="F269" s="31"/>
      <c r="G269" s="32"/>
      <c r="H269" s="32"/>
      <c r="I269" s="33"/>
      <c r="J269" s="27" t="str">
        <f t="shared" si="0"/>
        <v/>
      </c>
      <c r="K269" s="32"/>
      <c r="L269" s="32"/>
      <c r="M269" s="32"/>
      <c r="N269" s="32"/>
      <c r="O269" s="32"/>
      <c r="P269" s="32"/>
      <c r="Q269" s="34"/>
      <c r="R269" s="88" t="str">
        <f ca="1" t="shared" si="4"/>
        <v/>
      </c>
      <c r="S269" s="27"/>
      <c r="T269" s="27"/>
      <c r="U269" s="27"/>
      <c r="V269" s="35"/>
      <c r="W269" s="30"/>
      <c r="X269" s="33"/>
      <c r="Y269" s="36"/>
      <c r="Z269" s="37"/>
      <c r="AA269" s="27"/>
      <c r="AB269" s="27"/>
      <c r="AC269" s="27"/>
      <c r="AD269" s="27"/>
      <c r="AE269" s="27"/>
      <c r="AF269" s="27"/>
      <c r="AG269" s="90"/>
      <c r="AH269" s="91"/>
      <c r="AI269" s="91"/>
      <c r="AJ269" s="92"/>
      <c r="AK269" s="90"/>
      <c r="AL269" s="91"/>
      <c r="AM269" s="91"/>
      <c r="AN269" s="92"/>
      <c r="AO269" s="90"/>
      <c r="AP269" s="91"/>
      <c r="AQ269" s="91"/>
      <c r="AR269" s="92"/>
      <c r="AS269" s="90"/>
      <c r="AT269" s="91"/>
      <c r="AU269" s="91"/>
      <c r="AV269" s="92"/>
      <c r="AW269" s="90"/>
      <c r="AX269" s="91"/>
      <c r="AY269" s="93"/>
      <c r="AZ269" s="91"/>
      <c r="BA269" s="92"/>
      <c r="BB269" s="90"/>
      <c r="BC269" s="91"/>
      <c r="BD269" s="93"/>
      <c r="BE269" s="91"/>
      <c r="BF269" s="92"/>
      <c r="BG269" s="33">
        <f t="shared" si="2"/>
        <v>0</v>
      </c>
      <c r="BH269" s="27"/>
      <c r="BI269" s="27"/>
      <c r="BJ269" s="27"/>
    </row>
    <row r="270" ht="15.75" customHeight="1" spans="1:62">
      <c r="A270" s="29"/>
      <c r="B270" s="29"/>
      <c r="C270" s="29"/>
      <c r="D270" s="33">
        <v>261</v>
      </c>
      <c r="E270" s="31"/>
      <c r="F270" s="31"/>
      <c r="G270" s="32"/>
      <c r="H270" s="32"/>
      <c r="I270" s="33"/>
      <c r="J270" s="27" t="str">
        <f t="shared" si="0"/>
        <v/>
      </c>
      <c r="K270" s="32"/>
      <c r="L270" s="32"/>
      <c r="M270" s="32"/>
      <c r="N270" s="32"/>
      <c r="O270" s="32"/>
      <c r="P270" s="32"/>
      <c r="Q270" s="34"/>
      <c r="R270" s="88" t="str">
        <f ca="1" t="shared" si="4"/>
        <v/>
      </c>
      <c r="S270" s="27"/>
      <c r="T270" s="27"/>
      <c r="U270" s="27"/>
      <c r="V270" s="35"/>
      <c r="W270" s="30"/>
      <c r="X270" s="33"/>
      <c r="Y270" s="36"/>
      <c r="Z270" s="37"/>
      <c r="AA270" s="27"/>
      <c r="AB270" s="27"/>
      <c r="AC270" s="27"/>
      <c r="AD270" s="27"/>
      <c r="AE270" s="27"/>
      <c r="AF270" s="27"/>
      <c r="AG270" s="90"/>
      <c r="AH270" s="91"/>
      <c r="AI270" s="91"/>
      <c r="AJ270" s="92"/>
      <c r="AK270" s="90"/>
      <c r="AL270" s="91"/>
      <c r="AM270" s="91"/>
      <c r="AN270" s="92"/>
      <c r="AO270" s="90"/>
      <c r="AP270" s="91"/>
      <c r="AQ270" s="91"/>
      <c r="AR270" s="92"/>
      <c r="AS270" s="90"/>
      <c r="AT270" s="91"/>
      <c r="AU270" s="91"/>
      <c r="AV270" s="92"/>
      <c r="AW270" s="90"/>
      <c r="AX270" s="91"/>
      <c r="AY270" s="93"/>
      <c r="AZ270" s="91"/>
      <c r="BA270" s="92"/>
      <c r="BB270" s="90"/>
      <c r="BC270" s="91"/>
      <c r="BD270" s="93"/>
      <c r="BE270" s="91"/>
      <c r="BF270" s="92"/>
      <c r="BG270" s="33">
        <f t="shared" si="2"/>
        <v>0</v>
      </c>
      <c r="BH270" s="27"/>
      <c r="BI270" s="27"/>
      <c r="BJ270" s="27"/>
    </row>
    <row r="271" ht="15.75" customHeight="1" spans="1:62">
      <c r="A271" s="29"/>
      <c r="B271" s="29"/>
      <c r="C271" s="29"/>
      <c r="D271" s="33">
        <v>262</v>
      </c>
      <c r="E271" s="31"/>
      <c r="F271" s="31"/>
      <c r="G271" s="32"/>
      <c r="H271" s="32"/>
      <c r="I271" s="33"/>
      <c r="J271" s="27" t="str">
        <f t="shared" si="0"/>
        <v/>
      </c>
      <c r="K271" s="32"/>
      <c r="L271" s="32"/>
      <c r="M271" s="32"/>
      <c r="N271" s="32"/>
      <c r="O271" s="32"/>
      <c r="P271" s="32"/>
      <c r="Q271" s="34"/>
      <c r="R271" s="88" t="str">
        <f ca="1" t="shared" si="4"/>
        <v/>
      </c>
      <c r="S271" s="27"/>
      <c r="T271" s="27"/>
      <c r="U271" s="27"/>
      <c r="V271" s="35"/>
      <c r="W271" s="30"/>
      <c r="X271" s="33"/>
      <c r="Y271" s="36"/>
      <c r="Z271" s="37"/>
      <c r="AA271" s="27"/>
      <c r="AB271" s="27"/>
      <c r="AC271" s="27"/>
      <c r="AD271" s="27"/>
      <c r="AE271" s="27"/>
      <c r="AF271" s="27"/>
      <c r="AG271" s="90"/>
      <c r="AH271" s="91"/>
      <c r="AI271" s="91"/>
      <c r="AJ271" s="92"/>
      <c r="AK271" s="90"/>
      <c r="AL271" s="91"/>
      <c r="AM271" s="91"/>
      <c r="AN271" s="92"/>
      <c r="AO271" s="90"/>
      <c r="AP271" s="91"/>
      <c r="AQ271" s="91"/>
      <c r="AR271" s="92"/>
      <c r="AS271" s="90"/>
      <c r="AT271" s="91"/>
      <c r="AU271" s="91"/>
      <c r="AV271" s="92"/>
      <c r="AW271" s="90"/>
      <c r="AX271" s="91"/>
      <c r="AY271" s="93"/>
      <c r="AZ271" s="91"/>
      <c r="BA271" s="92"/>
      <c r="BB271" s="90"/>
      <c r="BC271" s="91"/>
      <c r="BD271" s="93"/>
      <c r="BE271" s="91"/>
      <c r="BF271" s="92"/>
      <c r="BG271" s="33">
        <f t="shared" si="2"/>
        <v>0</v>
      </c>
      <c r="BH271" s="27"/>
      <c r="BI271" s="27"/>
      <c r="BJ271" s="27"/>
    </row>
    <row r="272" ht="15.75" customHeight="1" spans="1:62">
      <c r="A272" s="29"/>
      <c r="B272" s="29"/>
      <c r="C272" s="29"/>
      <c r="D272" s="33">
        <v>263</v>
      </c>
      <c r="E272" s="31"/>
      <c r="F272" s="31"/>
      <c r="G272" s="32"/>
      <c r="H272" s="32"/>
      <c r="I272" s="33"/>
      <c r="J272" s="27" t="str">
        <f t="shared" si="0"/>
        <v/>
      </c>
      <c r="K272" s="32"/>
      <c r="L272" s="32"/>
      <c r="M272" s="32"/>
      <c r="N272" s="32"/>
      <c r="O272" s="32"/>
      <c r="P272" s="32"/>
      <c r="Q272" s="34"/>
      <c r="R272" s="88" t="str">
        <f ca="1" t="shared" si="4"/>
        <v/>
      </c>
      <c r="S272" s="27"/>
      <c r="T272" s="27"/>
      <c r="U272" s="27"/>
      <c r="V272" s="35"/>
      <c r="W272" s="30"/>
      <c r="X272" s="33"/>
      <c r="Y272" s="36"/>
      <c r="Z272" s="37"/>
      <c r="AA272" s="27"/>
      <c r="AB272" s="27"/>
      <c r="AC272" s="27"/>
      <c r="AD272" s="27"/>
      <c r="AE272" s="27"/>
      <c r="AF272" s="27"/>
      <c r="AG272" s="90"/>
      <c r="AH272" s="91"/>
      <c r="AI272" s="91"/>
      <c r="AJ272" s="92"/>
      <c r="AK272" s="90"/>
      <c r="AL272" s="91"/>
      <c r="AM272" s="91"/>
      <c r="AN272" s="92"/>
      <c r="AO272" s="90"/>
      <c r="AP272" s="91"/>
      <c r="AQ272" s="91"/>
      <c r="AR272" s="92"/>
      <c r="AS272" s="90"/>
      <c r="AT272" s="91"/>
      <c r="AU272" s="91"/>
      <c r="AV272" s="92"/>
      <c r="AW272" s="90"/>
      <c r="AX272" s="91"/>
      <c r="AY272" s="93"/>
      <c r="AZ272" s="91"/>
      <c r="BA272" s="92"/>
      <c r="BB272" s="90"/>
      <c r="BC272" s="91"/>
      <c r="BD272" s="93"/>
      <c r="BE272" s="91"/>
      <c r="BF272" s="92"/>
      <c r="BG272" s="33">
        <f t="shared" si="2"/>
        <v>0</v>
      </c>
      <c r="BH272" s="27"/>
      <c r="BI272" s="27"/>
      <c r="BJ272" s="27"/>
    </row>
    <row r="273" ht="15.75" customHeight="1" spans="1:62">
      <c r="A273" s="29"/>
      <c r="B273" s="29"/>
      <c r="C273" s="29"/>
      <c r="D273" s="33">
        <v>264</v>
      </c>
      <c r="E273" s="31"/>
      <c r="F273" s="31"/>
      <c r="G273" s="32"/>
      <c r="H273" s="32"/>
      <c r="I273" s="33"/>
      <c r="J273" s="27" t="str">
        <f t="shared" si="0"/>
        <v/>
      </c>
      <c r="K273" s="32"/>
      <c r="L273" s="32"/>
      <c r="M273" s="32"/>
      <c r="N273" s="32"/>
      <c r="O273" s="32"/>
      <c r="P273" s="32"/>
      <c r="Q273" s="34"/>
      <c r="R273" s="88" t="str">
        <f ca="1" t="shared" si="4"/>
        <v/>
      </c>
      <c r="S273" s="27"/>
      <c r="T273" s="27"/>
      <c r="U273" s="27"/>
      <c r="V273" s="35"/>
      <c r="W273" s="30"/>
      <c r="X273" s="33"/>
      <c r="Y273" s="36"/>
      <c r="Z273" s="37"/>
      <c r="AA273" s="27"/>
      <c r="AB273" s="27"/>
      <c r="AC273" s="27"/>
      <c r="AD273" s="27"/>
      <c r="AE273" s="27"/>
      <c r="AF273" s="27"/>
      <c r="AG273" s="90"/>
      <c r="AH273" s="91"/>
      <c r="AI273" s="91"/>
      <c r="AJ273" s="92"/>
      <c r="AK273" s="90"/>
      <c r="AL273" s="91"/>
      <c r="AM273" s="91"/>
      <c r="AN273" s="92"/>
      <c r="AO273" s="90"/>
      <c r="AP273" s="91"/>
      <c r="AQ273" s="91"/>
      <c r="AR273" s="92"/>
      <c r="AS273" s="90"/>
      <c r="AT273" s="91"/>
      <c r="AU273" s="91"/>
      <c r="AV273" s="92"/>
      <c r="AW273" s="90"/>
      <c r="AX273" s="91"/>
      <c r="AY273" s="93"/>
      <c r="AZ273" s="91"/>
      <c r="BA273" s="92"/>
      <c r="BB273" s="90"/>
      <c r="BC273" s="91"/>
      <c r="BD273" s="93"/>
      <c r="BE273" s="91"/>
      <c r="BF273" s="92"/>
      <c r="BG273" s="33">
        <f t="shared" si="2"/>
        <v>0</v>
      </c>
      <c r="BH273" s="27"/>
      <c r="BI273" s="27"/>
      <c r="BJ273" s="27"/>
    </row>
    <row r="274" ht="15.75" customHeight="1" spans="1:62">
      <c r="A274" s="29"/>
      <c r="B274" s="29"/>
      <c r="C274" s="29"/>
      <c r="D274" s="33">
        <v>265</v>
      </c>
      <c r="E274" s="31"/>
      <c r="F274" s="31"/>
      <c r="G274" s="32"/>
      <c r="H274" s="32"/>
      <c r="I274" s="33"/>
      <c r="J274" s="27" t="str">
        <f t="shared" si="0"/>
        <v/>
      </c>
      <c r="K274" s="32"/>
      <c r="L274" s="32"/>
      <c r="M274" s="32"/>
      <c r="N274" s="32"/>
      <c r="O274" s="32"/>
      <c r="P274" s="32"/>
      <c r="Q274" s="34"/>
      <c r="R274" s="88" t="str">
        <f ca="1" t="shared" si="4"/>
        <v/>
      </c>
      <c r="S274" s="27"/>
      <c r="T274" s="27"/>
      <c r="U274" s="27"/>
      <c r="V274" s="35"/>
      <c r="W274" s="30"/>
      <c r="X274" s="33"/>
      <c r="Y274" s="36"/>
      <c r="Z274" s="37"/>
      <c r="AA274" s="27"/>
      <c r="AB274" s="27"/>
      <c r="AC274" s="27"/>
      <c r="AD274" s="27"/>
      <c r="AE274" s="27"/>
      <c r="AF274" s="27"/>
      <c r="AG274" s="90"/>
      <c r="AH274" s="91"/>
      <c r="AI274" s="91"/>
      <c r="AJ274" s="92"/>
      <c r="AK274" s="90"/>
      <c r="AL274" s="91"/>
      <c r="AM274" s="91"/>
      <c r="AN274" s="92"/>
      <c r="AO274" s="90"/>
      <c r="AP274" s="91"/>
      <c r="AQ274" s="91"/>
      <c r="AR274" s="92"/>
      <c r="AS274" s="90"/>
      <c r="AT274" s="91"/>
      <c r="AU274" s="91"/>
      <c r="AV274" s="92"/>
      <c r="AW274" s="90"/>
      <c r="AX274" s="91"/>
      <c r="AY274" s="93"/>
      <c r="AZ274" s="91"/>
      <c r="BA274" s="92"/>
      <c r="BB274" s="90"/>
      <c r="BC274" s="91"/>
      <c r="BD274" s="93"/>
      <c r="BE274" s="91"/>
      <c r="BF274" s="92"/>
      <c r="BG274" s="33">
        <f t="shared" si="2"/>
        <v>0</v>
      </c>
      <c r="BH274" s="27"/>
      <c r="BI274" s="27"/>
      <c r="BJ274" s="27"/>
    </row>
    <row r="275" ht="15.75" customHeight="1" spans="1:62">
      <c r="A275" s="29"/>
      <c r="B275" s="29"/>
      <c r="C275" s="29"/>
      <c r="D275" s="33">
        <v>266</v>
      </c>
      <c r="E275" s="31"/>
      <c r="F275" s="31"/>
      <c r="G275" s="32"/>
      <c r="H275" s="32"/>
      <c r="I275" s="33"/>
      <c r="J275" s="27" t="str">
        <f t="shared" si="0"/>
        <v/>
      </c>
      <c r="K275" s="32"/>
      <c r="L275" s="32"/>
      <c r="M275" s="32"/>
      <c r="N275" s="32"/>
      <c r="O275" s="32"/>
      <c r="P275" s="32"/>
      <c r="Q275" s="34"/>
      <c r="R275" s="88" t="str">
        <f ca="1" t="shared" si="4"/>
        <v/>
      </c>
      <c r="S275" s="27"/>
      <c r="T275" s="27"/>
      <c r="U275" s="27"/>
      <c r="V275" s="35"/>
      <c r="W275" s="30"/>
      <c r="X275" s="33"/>
      <c r="Y275" s="36"/>
      <c r="Z275" s="37"/>
      <c r="AA275" s="27"/>
      <c r="AB275" s="27"/>
      <c r="AC275" s="27"/>
      <c r="AD275" s="27"/>
      <c r="AE275" s="27"/>
      <c r="AF275" s="27"/>
      <c r="AG275" s="90"/>
      <c r="AH275" s="91"/>
      <c r="AI275" s="91"/>
      <c r="AJ275" s="92"/>
      <c r="AK275" s="90"/>
      <c r="AL275" s="91"/>
      <c r="AM275" s="91"/>
      <c r="AN275" s="92"/>
      <c r="AO275" s="90"/>
      <c r="AP275" s="91"/>
      <c r="AQ275" s="91"/>
      <c r="AR275" s="92"/>
      <c r="AS275" s="90"/>
      <c r="AT275" s="91"/>
      <c r="AU275" s="91"/>
      <c r="AV275" s="92"/>
      <c r="AW275" s="90"/>
      <c r="AX275" s="91"/>
      <c r="AY275" s="93"/>
      <c r="AZ275" s="91"/>
      <c r="BA275" s="92"/>
      <c r="BB275" s="90"/>
      <c r="BC275" s="91"/>
      <c r="BD275" s="93"/>
      <c r="BE275" s="91"/>
      <c r="BF275" s="92"/>
      <c r="BG275" s="33">
        <f t="shared" si="2"/>
        <v>0</v>
      </c>
      <c r="BH275" s="27"/>
      <c r="BI275" s="27"/>
      <c r="BJ275" s="27"/>
    </row>
    <row r="276" ht="15.75" customHeight="1" spans="1:62">
      <c r="A276" s="29"/>
      <c r="B276" s="29"/>
      <c r="C276" s="29"/>
      <c r="D276" s="33">
        <v>267</v>
      </c>
      <c r="E276" s="31"/>
      <c r="F276" s="31"/>
      <c r="G276" s="32"/>
      <c r="H276" s="32"/>
      <c r="I276" s="33"/>
      <c r="J276" s="27" t="str">
        <f t="shared" si="0"/>
        <v/>
      </c>
      <c r="K276" s="32"/>
      <c r="L276" s="32"/>
      <c r="M276" s="32"/>
      <c r="N276" s="32"/>
      <c r="O276" s="32"/>
      <c r="P276" s="32"/>
      <c r="Q276" s="34"/>
      <c r="R276" s="88" t="str">
        <f ca="1" t="shared" si="4"/>
        <v/>
      </c>
      <c r="S276" s="27"/>
      <c r="T276" s="27"/>
      <c r="U276" s="27"/>
      <c r="V276" s="35"/>
      <c r="W276" s="30"/>
      <c r="X276" s="33"/>
      <c r="Y276" s="36"/>
      <c r="Z276" s="37"/>
      <c r="AA276" s="27"/>
      <c r="AB276" s="27"/>
      <c r="AC276" s="27"/>
      <c r="AD276" s="27"/>
      <c r="AE276" s="27"/>
      <c r="AF276" s="27"/>
      <c r="AG276" s="90"/>
      <c r="AH276" s="91"/>
      <c r="AI276" s="91"/>
      <c r="AJ276" s="92"/>
      <c r="AK276" s="90"/>
      <c r="AL276" s="91"/>
      <c r="AM276" s="91"/>
      <c r="AN276" s="92"/>
      <c r="AO276" s="90"/>
      <c r="AP276" s="91"/>
      <c r="AQ276" s="91"/>
      <c r="AR276" s="92"/>
      <c r="AS276" s="90"/>
      <c r="AT276" s="91"/>
      <c r="AU276" s="91"/>
      <c r="AV276" s="92"/>
      <c r="AW276" s="90"/>
      <c r="AX276" s="91"/>
      <c r="AY276" s="93"/>
      <c r="AZ276" s="91"/>
      <c r="BA276" s="92"/>
      <c r="BB276" s="90"/>
      <c r="BC276" s="91"/>
      <c r="BD276" s="93"/>
      <c r="BE276" s="91"/>
      <c r="BF276" s="92"/>
      <c r="BG276" s="33">
        <f t="shared" si="2"/>
        <v>0</v>
      </c>
      <c r="BH276" s="27"/>
      <c r="BI276" s="27"/>
      <c r="BJ276" s="27"/>
    </row>
    <row r="277" ht="15.75" customHeight="1" spans="1:62">
      <c r="A277" s="29"/>
      <c r="B277" s="29"/>
      <c r="C277" s="29"/>
      <c r="D277" s="33">
        <v>268</v>
      </c>
      <c r="E277" s="31"/>
      <c r="F277" s="31"/>
      <c r="G277" s="32"/>
      <c r="H277" s="32"/>
      <c r="I277" s="33"/>
      <c r="J277" s="27" t="str">
        <f t="shared" si="0"/>
        <v/>
      </c>
      <c r="K277" s="32"/>
      <c r="L277" s="32"/>
      <c r="M277" s="32"/>
      <c r="N277" s="32"/>
      <c r="O277" s="32"/>
      <c r="P277" s="32"/>
      <c r="Q277" s="34"/>
      <c r="R277" s="88" t="str">
        <f ca="1" t="shared" si="4"/>
        <v/>
      </c>
      <c r="S277" s="27"/>
      <c r="T277" s="27"/>
      <c r="U277" s="27"/>
      <c r="V277" s="35"/>
      <c r="W277" s="30"/>
      <c r="X277" s="33"/>
      <c r="Y277" s="36"/>
      <c r="Z277" s="37"/>
      <c r="AA277" s="27"/>
      <c r="AB277" s="27"/>
      <c r="AC277" s="27"/>
      <c r="AD277" s="27"/>
      <c r="AE277" s="27"/>
      <c r="AF277" s="27"/>
      <c r="AG277" s="90"/>
      <c r="AH277" s="91"/>
      <c r="AI277" s="91"/>
      <c r="AJ277" s="92"/>
      <c r="AK277" s="90"/>
      <c r="AL277" s="91"/>
      <c r="AM277" s="91"/>
      <c r="AN277" s="92"/>
      <c r="AO277" s="90"/>
      <c r="AP277" s="91"/>
      <c r="AQ277" s="91"/>
      <c r="AR277" s="92"/>
      <c r="AS277" s="90"/>
      <c r="AT277" s="91"/>
      <c r="AU277" s="91"/>
      <c r="AV277" s="92"/>
      <c r="AW277" s="90"/>
      <c r="AX277" s="91"/>
      <c r="AY277" s="93"/>
      <c r="AZ277" s="91"/>
      <c r="BA277" s="92"/>
      <c r="BB277" s="90"/>
      <c r="BC277" s="91"/>
      <c r="BD277" s="93"/>
      <c r="BE277" s="91"/>
      <c r="BF277" s="92"/>
      <c r="BG277" s="33">
        <f t="shared" si="2"/>
        <v>0</v>
      </c>
      <c r="BH277" s="27"/>
      <c r="BI277" s="27"/>
      <c r="BJ277" s="27"/>
    </row>
    <row r="278" ht="15.75" customHeight="1" spans="1:62">
      <c r="A278" s="29"/>
      <c r="B278" s="29"/>
      <c r="C278" s="29"/>
      <c r="D278" s="33">
        <v>269</v>
      </c>
      <c r="E278" s="31"/>
      <c r="F278" s="31"/>
      <c r="G278" s="32"/>
      <c r="H278" s="32"/>
      <c r="I278" s="33"/>
      <c r="J278" s="27" t="str">
        <f t="shared" si="0"/>
        <v/>
      </c>
      <c r="K278" s="32"/>
      <c r="L278" s="32"/>
      <c r="M278" s="32"/>
      <c r="N278" s="32"/>
      <c r="O278" s="32"/>
      <c r="P278" s="32"/>
      <c r="Q278" s="34"/>
      <c r="R278" s="88" t="str">
        <f ca="1" t="shared" si="4"/>
        <v/>
      </c>
      <c r="S278" s="27"/>
      <c r="T278" s="27"/>
      <c r="U278" s="27"/>
      <c r="V278" s="35"/>
      <c r="W278" s="30"/>
      <c r="X278" s="33"/>
      <c r="Y278" s="36"/>
      <c r="Z278" s="37"/>
      <c r="AA278" s="27"/>
      <c r="AB278" s="27"/>
      <c r="AC278" s="27"/>
      <c r="AD278" s="27"/>
      <c r="AE278" s="27"/>
      <c r="AF278" s="27"/>
      <c r="AG278" s="90"/>
      <c r="AH278" s="91"/>
      <c r="AI278" s="91"/>
      <c r="AJ278" s="92"/>
      <c r="AK278" s="90"/>
      <c r="AL278" s="91"/>
      <c r="AM278" s="91"/>
      <c r="AN278" s="92"/>
      <c r="AO278" s="90"/>
      <c r="AP278" s="91"/>
      <c r="AQ278" s="91"/>
      <c r="AR278" s="92"/>
      <c r="AS278" s="90"/>
      <c r="AT278" s="91"/>
      <c r="AU278" s="91"/>
      <c r="AV278" s="92"/>
      <c r="AW278" s="90"/>
      <c r="AX278" s="91"/>
      <c r="AY278" s="93"/>
      <c r="AZ278" s="91"/>
      <c r="BA278" s="92"/>
      <c r="BB278" s="90"/>
      <c r="BC278" s="91"/>
      <c r="BD278" s="93"/>
      <c r="BE278" s="91"/>
      <c r="BF278" s="92"/>
      <c r="BG278" s="33">
        <f t="shared" si="2"/>
        <v>0</v>
      </c>
      <c r="BH278" s="27"/>
      <c r="BI278" s="27"/>
      <c r="BJ278" s="27"/>
    </row>
    <row r="279" ht="15.75" customHeight="1" spans="1:62">
      <c r="A279" s="29"/>
      <c r="B279" s="29"/>
      <c r="C279" s="29"/>
      <c r="D279" s="33">
        <v>270</v>
      </c>
      <c r="E279" s="31"/>
      <c r="F279" s="31"/>
      <c r="G279" s="32"/>
      <c r="H279" s="32"/>
      <c r="I279" s="33"/>
      <c r="J279" s="27" t="str">
        <f t="shared" si="0"/>
        <v/>
      </c>
      <c r="K279" s="32"/>
      <c r="L279" s="32"/>
      <c r="M279" s="32"/>
      <c r="N279" s="32"/>
      <c r="O279" s="32"/>
      <c r="P279" s="32"/>
      <c r="Q279" s="34"/>
      <c r="R279" s="88" t="str">
        <f ca="1" t="shared" si="4"/>
        <v/>
      </c>
      <c r="S279" s="27"/>
      <c r="T279" s="27"/>
      <c r="U279" s="27"/>
      <c r="V279" s="35"/>
      <c r="W279" s="30"/>
      <c r="X279" s="33"/>
      <c r="Y279" s="36"/>
      <c r="Z279" s="37"/>
      <c r="AA279" s="27"/>
      <c r="AB279" s="27"/>
      <c r="AC279" s="27"/>
      <c r="AD279" s="27"/>
      <c r="AE279" s="27"/>
      <c r="AF279" s="27"/>
      <c r="AG279" s="90"/>
      <c r="AH279" s="91"/>
      <c r="AI279" s="91"/>
      <c r="AJ279" s="92"/>
      <c r="AK279" s="90"/>
      <c r="AL279" s="91"/>
      <c r="AM279" s="91"/>
      <c r="AN279" s="92"/>
      <c r="AO279" s="90"/>
      <c r="AP279" s="91"/>
      <c r="AQ279" s="91"/>
      <c r="AR279" s="92"/>
      <c r="AS279" s="90"/>
      <c r="AT279" s="91"/>
      <c r="AU279" s="91"/>
      <c r="AV279" s="92"/>
      <c r="AW279" s="90"/>
      <c r="AX279" s="91"/>
      <c r="AY279" s="93"/>
      <c r="AZ279" s="91"/>
      <c r="BA279" s="92"/>
      <c r="BB279" s="90"/>
      <c r="BC279" s="91"/>
      <c r="BD279" s="93"/>
      <c r="BE279" s="91"/>
      <c r="BF279" s="92"/>
      <c r="BG279" s="33">
        <f t="shared" si="2"/>
        <v>0</v>
      </c>
      <c r="BH279" s="27"/>
      <c r="BI279" s="27"/>
      <c r="BJ279" s="27"/>
    </row>
    <row r="280" ht="15.75" customHeight="1" spans="1:62">
      <c r="A280" s="29"/>
      <c r="B280" s="29"/>
      <c r="C280" s="29"/>
      <c r="D280" s="33">
        <v>271</v>
      </c>
      <c r="E280" s="31"/>
      <c r="F280" s="31"/>
      <c r="G280" s="32"/>
      <c r="H280" s="32"/>
      <c r="I280" s="33"/>
      <c r="J280" s="27" t="str">
        <f t="shared" si="0"/>
        <v/>
      </c>
      <c r="K280" s="32"/>
      <c r="L280" s="32"/>
      <c r="M280" s="32"/>
      <c r="N280" s="32"/>
      <c r="O280" s="32"/>
      <c r="P280" s="32"/>
      <c r="Q280" s="34"/>
      <c r="R280" s="88" t="str">
        <f ca="1" t="shared" si="4"/>
        <v/>
      </c>
      <c r="S280" s="27"/>
      <c r="T280" s="27"/>
      <c r="U280" s="27"/>
      <c r="V280" s="35"/>
      <c r="W280" s="30"/>
      <c r="X280" s="33"/>
      <c r="Y280" s="36"/>
      <c r="Z280" s="37"/>
      <c r="AA280" s="27"/>
      <c r="AB280" s="27"/>
      <c r="AC280" s="27"/>
      <c r="AD280" s="27"/>
      <c r="AE280" s="27"/>
      <c r="AF280" s="27"/>
      <c r="AG280" s="90"/>
      <c r="AH280" s="91"/>
      <c r="AI280" s="91"/>
      <c r="AJ280" s="92"/>
      <c r="AK280" s="90"/>
      <c r="AL280" s="91"/>
      <c r="AM280" s="91"/>
      <c r="AN280" s="92"/>
      <c r="AO280" s="90"/>
      <c r="AP280" s="91"/>
      <c r="AQ280" s="91"/>
      <c r="AR280" s="92"/>
      <c r="AS280" s="90"/>
      <c r="AT280" s="91"/>
      <c r="AU280" s="91"/>
      <c r="AV280" s="92"/>
      <c r="AW280" s="90"/>
      <c r="AX280" s="91"/>
      <c r="AY280" s="93"/>
      <c r="AZ280" s="91"/>
      <c r="BA280" s="92"/>
      <c r="BB280" s="90"/>
      <c r="BC280" s="91"/>
      <c r="BD280" s="93"/>
      <c r="BE280" s="91"/>
      <c r="BF280" s="92"/>
      <c r="BG280" s="33">
        <f t="shared" si="2"/>
        <v>0</v>
      </c>
      <c r="BH280" s="27"/>
      <c r="BI280" s="27"/>
      <c r="BJ280" s="27"/>
    </row>
    <row r="281" ht="15.75" customHeight="1" spans="1:62">
      <c r="A281" s="29"/>
      <c r="B281" s="29"/>
      <c r="C281" s="29"/>
      <c r="D281" s="33">
        <v>272</v>
      </c>
      <c r="E281" s="31"/>
      <c r="F281" s="31"/>
      <c r="G281" s="32"/>
      <c r="H281" s="32"/>
      <c r="I281" s="33"/>
      <c r="J281" s="27" t="str">
        <f t="shared" si="0"/>
        <v/>
      </c>
      <c r="K281" s="32"/>
      <c r="L281" s="32"/>
      <c r="M281" s="32"/>
      <c r="N281" s="32"/>
      <c r="O281" s="32"/>
      <c r="P281" s="32"/>
      <c r="Q281" s="34"/>
      <c r="R281" s="88" t="str">
        <f ca="1" t="shared" si="4"/>
        <v/>
      </c>
      <c r="S281" s="27"/>
      <c r="T281" s="27"/>
      <c r="U281" s="27"/>
      <c r="V281" s="35"/>
      <c r="W281" s="30"/>
      <c r="X281" s="33"/>
      <c r="Y281" s="36"/>
      <c r="Z281" s="37"/>
      <c r="AA281" s="27"/>
      <c r="AB281" s="27"/>
      <c r="AC281" s="27"/>
      <c r="AD281" s="27"/>
      <c r="AE281" s="27"/>
      <c r="AF281" s="27"/>
      <c r="AG281" s="90"/>
      <c r="AH281" s="91"/>
      <c r="AI281" s="91"/>
      <c r="AJ281" s="92"/>
      <c r="AK281" s="90"/>
      <c r="AL281" s="91"/>
      <c r="AM281" s="91"/>
      <c r="AN281" s="92"/>
      <c r="AO281" s="90"/>
      <c r="AP281" s="91"/>
      <c r="AQ281" s="91"/>
      <c r="AR281" s="92"/>
      <c r="AS281" s="90"/>
      <c r="AT281" s="91"/>
      <c r="AU281" s="91"/>
      <c r="AV281" s="92"/>
      <c r="AW281" s="90"/>
      <c r="AX281" s="91"/>
      <c r="AY281" s="93"/>
      <c r="AZ281" s="91"/>
      <c r="BA281" s="92"/>
      <c r="BB281" s="90"/>
      <c r="BC281" s="91"/>
      <c r="BD281" s="93"/>
      <c r="BE281" s="91"/>
      <c r="BF281" s="92"/>
      <c r="BG281" s="33">
        <f t="shared" si="2"/>
        <v>0</v>
      </c>
      <c r="BH281" s="27"/>
      <c r="BI281" s="27"/>
      <c r="BJ281" s="27"/>
    </row>
    <row r="282" ht="15.75" customHeight="1" spans="1:62">
      <c r="A282" s="29"/>
      <c r="B282" s="29"/>
      <c r="C282" s="29"/>
      <c r="D282" s="33">
        <v>273</v>
      </c>
      <c r="E282" s="31"/>
      <c r="F282" s="31"/>
      <c r="G282" s="32"/>
      <c r="H282" s="32"/>
      <c r="I282" s="33"/>
      <c r="J282" s="27" t="str">
        <f t="shared" si="0"/>
        <v/>
      </c>
      <c r="K282" s="32"/>
      <c r="L282" s="32"/>
      <c r="M282" s="32"/>
      <c r="N282" s="32"/>
      <c r="O282" s="32"/>
      <c r="P282" s="32"/>
      <c r="Q282" s="34"/>
      <c r="R282" s="88" t="str">
        <f ca="1" t="shared" si="4"/>
        <v/>
      </c>
      <c r="S282" s="27"/>
      <c r="T282" s="27"/>
      <c r="U282" s="27"/>
      <c r="V282" s="35"/>
      <c r="W282" s="30"/>
      <c r="X282" s="33"/>
      <c r="Y282" s="36"/>
      <c r="Z282" s="37"/>
      <c r="AA282" s="27"/>
      <c r="AB282" s="27"/>
      <c r="AC282" s="27"/>
      <c r="AD282" s="27"/>
      <c r="AE282" s="27"/>
      <c r="AF282" s="27"/>
      <c r="AG282" s="90"/>
      <c r="AH282" s="91"/>
      <c r="AI282" s="91"/>
      <c r="AJ282" s="92"/>
      <c r="AK282" s="90"/>
      <c r="AL282" s="91"/>
      <c r="AM282" s="91"/>
      <c r="AN282" s="92"/>
      <c r="AO282" s="90"/>
      <c r="AP282" s="91"/>
      <c r="AQ282" s="91"/>
      <c r="AR282" s="92"/>
      <c r="AS282" s="90"/>
      <c r="AT282" s="91"/>
      <c r="AU282" s="91"/>
      <c r="AV282" s="92"/>
      <c r="AW282" s="90"/>
      <c r="AX282" s="91"/>
      <c r="AY282" s="93"/>
      <c r="AZ282" s="91"/>
      <c r="BA282" s="92"/>
      <c r="BB282" s="90"/>
      <c r="BC282" s="91"/>
      <c r="BD282" s="93"/>
      <c r="BE282" s="91"/>
      <c r="BF282" s="92"/>
      <c r="BG282" s="33">
        <f t="shared" si="2"/>
        <v>0</v>
      </c>
      <c r="BH282" s="27"/>
      <c r="BI282" s="27"/>
      <c r="BJ282" s="27"/>
    </row>
    <row r="283" ht="15.75" customHeight="1" spans="1:62">
      <c r="A283" s="29"/>
      <c r="B283" s="29"/>
      <c r="C283" s="29"/>
      <c r="D283" s="33">
        <v>274</v>
      </c>
      <c r="E283" s="31"/>
      <c r="F283" s="31"/>
      <c r="G283" s="32"/>
      <c r="H283" s="32"/>
      <c r="I283" s="33"/>
      <c r="J283" s="27" t="str">
        <f t="shared" si="0"/>
        <v/>
      </c>
      <c r="K283" s="32"/>
      <c r="L283" s="32"/>
      <c r="M283" s="32"/>
      <c r="N283" s="32"/>
      <c r="O283" s="32"/>
      <c r="P283" s="32"/>
      <c r="Q283" s="34"/>
      <c r="R283" s="88" t="str">
        <f ca="1" t="shared" si="4"/>
        <v/>
      </c>
      <c r="S283" s="27"/>
      <c r="T283" s="27"/>
      <c r="U283" s="27"/>
      <c r="V283" s="35"/>
      <c r="W283" s="30"/>
      <c r="X283" s="33"/>
      <c r="Y283" s="36"/>
      <c r="Z283" s="37"/>
      <c r="AA283" s="27"/>
      <c r="AB283" s="27"/>
      <c r="AC283" s="27"/>
      <c r="AD283" s="27"/>
      <c r="AE283" s="27"/>
      <c r="AF283" s="27"/>
      <c r="AG283" s="90"/>
      <c r="AH283" s="91"/>
      <c r="AI283" s="91"/>
      <c r="AJ283" s="92"/>
      <c r="AK283" s="90"/>
      <c r="AL283" s="91"/>
      <c r="AM283" s="91"/>
      <c r="AN283" s="92"/>
      <c r="AO283" s="90"/>
      <c r="AP283" s="91"/>
      <c r="AQ283" s="91"/>
      <c r="AR283" s="92"/>
      <c r="AS283" s="90"/>
      <c r="AT283" s="91"/>
      <c r="AU283" s="91"/>
      <c r="AV283" s="92"/>
      <c r="AW283" s="90"/>
      <c r="AX283" s="91"/>
      <c r="AY283" s="93"/>
      <c r="AZ283" s="91"/>
      <c r="BA283" s="92"/>
      <c r="BB283" s="90"/>
      <c r="BC283" s="91"/>
      <c r="BD283" s="93"/>
      <c r="BE283" s="91"/>
      <c r="BF283" s="92"/>
      <c r="BG283" s="33">
        <f t="shared" si="2"/>
        <v>0</v>
      </c>
      <c r="BH283" s="27"/>
      <c r="BI283" s="27"/>
      <c r="BJ283" s="27"/>
    </row>
    <row r="284" ht="15.75" customHeight="1" spans="1:62">
      <c r="A284" s="29"/>
      <c r="B284" s="29"/>
      <c r="C284" s="29"/>
      <c r="D284" s="33">
        <v>275</v>
      </c>
      <c r="E284" s="31"/>
      <c r="F284" s="31"/>
      <c r="G284" s="32"/>
      <c r="H284" s="32"/>
      <c r="I284" s="33"/>
      <c r="J284" s="27" t="str">
        <f t="shared" si="0"/>
        <v/>
      </c>
      <c r="K284" s="32"/>
      <c r="L284" s="32"/>
      <c r="M284" s="32"/>
      <c r="N284" s="32"/>
      <c r="O284" s="32"/>
      <c r="P284" s="32"/>
      <c r="Q284" s="34"/>
      <c r="R284" s="88" t="str">
        <f ca="1" t="shared" si="4"/>
        <v/>
      </c>
      <c r="S284" s="27"/>
      <c r="T284" s="27"/>
      <c r="U284" s="27"/>
      <c r="V284" s="35"/>
      <c r="W284" s="30"/>
      <c r="X284" s="33"/>
      <c r="Y284" s="36"/>
      <c r="Z284" s="37"/>
      <c r="AA284" s="27"/>
      <c r="AB284" s="27"/>
      <c r="AC284" s="27"/>
      <c r="AD284" s="27"/>
      <c r="AE284" s="27"/>
      <c r="AF284" s="27"/>
      <c r="AG284" s="90"/>
      <c r="AH284" s="91"/>
      <c r="AI284" s="91"/>
      <c r="AJ284" s="92"/>
      <c r="AK284" s="90"/>
      <c r="AL284" s="91"/>
      <c r="AM284" s="91"/>
      <c r="AN284" s="92"/>
      <c r="AO284" s="90"/>
      <c r="AP284" s="91"/>
      <c r="AQ284" s="91"/>
      <c r="AR284" s="92"/>
      <c r="AS284" s="90"/>
      <c r="AT284" s="91"/>
      <c r="AU284" s="91"/>
      <c r="AV284" s="92"/>
      <c r="AW284" s="90"/>
      <c r="AX284" s="91"/>
      <c r="AY284" s="93"/>
      <c r="AZ284" s="91"/>
      <c r="BA284" s="92"/>
      <c r="BB284" s="90"/>
      <c r="BC284" s="91"/>
      <c r="BD284" s="93"/>
      <c r="BE284" s="91"/>
      <c r="BF284" s="92"/>
      <c r="BG284" s="33">
        <f t="shared" si="2"/>
        <v>0</v>
      </c>
      <c r="BH284" s="27"/>
      <c r="BI284" s="27"/>
      <c r="BJ284" s="27"/>
    </row>
    <row r="285" ht="15.75" customHeight="1" spans="1:62">
      <c r="A285" s="29"/>
      <c r="B285" s="29"/>
      <c r="C285" s="29"/>
      <c r="D285" s="33">
        <v>276</v>
      </c>
      <c r="E285" s="31"/>
      <c r="F285" s="31"/>
      <c r="G285" s="32"/>
      <c r="H285" s="32"/>
      <c r="I285" s="33"/>
      <c r="J285" s="27" t="str">
        <f t="shared" si="0"/>
        <v/>
      </c>
      <c r="K285" s="32"/>
      <c r="L285" s="32"/>
      <c r="M285" s="32"/>
      <c r="N285" s="32"/>
      <c r="O285" s="32"/>
      <c r="P285" s="32"/>
      <c r="Q285" s="34"/>
      <c r="R285" s="88" t="str">
        <f ca="1" t="shared" si="4"/>
        <v/>
      </c>
      <c r="S285" s="27"/>
      <c r="T285" s="27"/>
      <c r="U285" s="27"/>
      <c r="V285" s="35"/>
      <c r="W285" s="30"/>
      <c r="X285" s="33"/>
      <c r="Y285" s="36"/>
      <c r="Z285" s="37"/>
      <c r="AA285" s="27"/>
      <c r="AB285" s="27"/>
      <c r="AC285" s="27"/>
      <c r="AD285" s="27"/>
      <c r="AE285" s="27"/>
      <c r="AF285" s="27"/>
      <c r="AG285" s="90"/>
      <c r="AH285" s="91"/>
      <c r="AI285" s="91"/>
      <c r="AJ285" s="92"/>
      <c r="AK285" s="90"/>
      <c r="AL285" s="91"/>
      <c r="AM285" s="91"/>
      <c r="AN285" s="92"/>
      <c r="AO285" s="90"/>
      <c r="AP285" s="91"/>
      <c r="AQ285" s="91"/>
      <c r="AR285" s="92"/>
      <c r="AS285" s="90"/>
      <c r="AT285" s="91"/>
      <c r="AU285" s="91"/>
      <c r="AV285" s="92"/>
      <c r="AW285" s="90"/>
      <c r="AX285" s="91"/>
      <c r="AY285" s="93"/>
      <c r="AZ285" s="91"/>
      <c r="BA285" s="92"/>
      <c r="BB285" s="90"/>
      <c r="BC285" s="91"/>
      <c r="BD285" s="93"/>
      <c r="BE285" s="91"/>
      <c r="BF285" s="92"/>
      <c r="BG285" s="33">
        <f t="shared" si="2"/>
        <v>0</v>
      </c>
      <c r="BH285" s="27"/>
      <c r="BI285" s="27"/>
      <c r="BJ285" s="27"/>
    </row>
    <row r="286" ht="15.75" customHeight="1" spans="1:62">
      <c r="A286" s="29"/>
      <c r="B286" s="29"/>
      <c r="C286" s="29"/>
      <c r="D286" s="33">
        <v>277</v>
      </c>
      <c r="E286" s="31"/>
      <c r="F286" s="31"/>
      <c r="G286" s="32"/>
      <c r="H286" s="32"/>
      <c r="I286" s="33"/>
      <c r="J286" s="27" t="str">
        <f t="shared" si="0"/>
        <v/>
      </c>
      <c r="K286" s="32"/>
      <c r="L286" s="32"/>
      <c r="M286" s="32"/>
      <c r="N286" s="32"/>
      <c r="O286" s="32"/>
      <c r="P286" s="32"/>
      <c r="Q286" s="34"/>
      <c r="R286" s="88" t="str">
        <f ca="1" t="shared" si="4"/>
        <v/>
      </c>
      <c r="S286" s="27"/>
      <c r="T286" s="27"/>
      <c r="U286" s="27"/>
      <c r="V286" s="35"/>
      <c r="W286" s="30"/>
      <c r="X286" s="33"/>
      <c r="Y286" s="36"/>
      <c r="Z286" s="37"/>
      <c r="AA286" s="27"/>
      <c r="AB286" s="27"/>
      <c r="AC286" s="27"/>
      <c r="AD286" s="27"/>
      <c r="AE286" s="27"/>
      <c r="AF286" s="27"/>
      <c r="AG286" s="90"/>
      <c r="AH286" s="91"/>
      <c r="AI286" s="91"/>
      <c r="AJ286" s="92"/>
      <c r="AK286" s="90"/>
      <c r="AL286" s="91"/>
      <c r="AM286" s="91"/>
      <c r="AN286" s="92"/>
      <c r="AO286" s="90"/>
      <c r="AP286" s="91"/>
      <c r="AQ286" s="91"/>
      <c r="AR286" s="92"/>
      <c r="AS286" s="90"/>
      <c r="AT286" s="91"/>
      <c r="AU286" s="91"/>
      <c r="AV286" s="92"/>
      <c r="AW286" s="90"/>
      <c r="AX286" s="91"/>
      <c r="AY286" s="93"/>
      <c r="AZ286" s="91"/>
      <c r="BA286" s="92"/>
      <c r="BB286" s="90"/>
      <c r="BC286" s="91"/>
      <c r="BD286" s="93"/>
      <c r="BE286" s="91"/>
      <c r="BF286" s="92"/>
      <c r="BG286" s="33">
        <f t="shared" si="2"/>
        <v>0</v>
      </c>
      <c r="BH286" s="27"/>
      <c r="BI286" s="27"/>
      <c r="BJ286" s="27"/>
    </row>
    <row r="287" ht="15.75" customHeight="1" spans="1:62">
      <c r="A287" s="29"/>
      <c r="B287" s="29"/>
      <c r="C287" s="29"/>
      <c r="D287" s="33">
        <v>278</v>
      </c>
      <c r="E287" s="31"/>
      <c r="F287" s="31"/>
      <c r="G287" s="32"/>
      <c r="H287" s="32"/>
      <c r="I287" s="33"/>
      <c r="J287" s="27" t="str">
        <f t="shared" si="0"/>
        <v/>
      </c>
      <c r="K287" s="32"/>
      <c r="L287" s="32"/>
      <c r="M287" s="32"/>
      <c r="N287" s="32"/>
      <c r="O287" s="32"/>
      <c r="P287" s="32"/>
      <c r="Q287" s="34"/>
      <c r="R287" s="88" t="str">
        <f ca="1" t="shared" si="4"/>
        <v/>
      </c>
      <c r="S287" s="27"/>
      <c r="T287" s="27"/>
      <c r="U287" s="27"/>
      <c r="V287" s="35"/>
      <c r="W287" s="30"/>
      <c r="X287" s="33"/>
      <c r="Y287" s="36"/>
      <c r="Z287" s="37"/>
      <c r="AA287" s="27"/>
      <c r="AB287" s="27"/>
      <c r="AC287" s="27"/>
      <c r="AD287" s="27"/>
      <c r="AE287" s="27"/>
      <c r="AF287" s="27"/>
      <c r="AG287" s="90"/>
      <c r="AH287" s="91"/>
      <c r="AI287" s="91"/>
      <c r="AJ287" s="92"/>
      <c r="AK287" s="90"/>
      <c r="AL287" s="91"/>
      <c r="AM287" s="91"/>
      <c r="AN287" s="92"/>
      <c r="AO287" s="90"/>
      <c r="AP287" s="91"/>
      <c r="AQ287" s="91"/>
      <c r="AR287" s="92"/>
      <c r="AS287" s="90"/>
      <c r="AT287" s="91"/>
      <c r="AU287" s="91"/>
      <c r="AV287" s="92"/>
      <c r="AW287" s="90"/>
      <c r="AX287" s="91"/>
      <c r="AY287" s="93"/>
      <c r="AZ287" s="91"/>
      <c r="BA287" s="92"/>
      <c r="BB287" s="90"/>
      <c r="BC287" s="91"/>
      <c r="BD287" s="93"/>
      <c r="BE287" s="91"/>
      <c r="BF287" s="92"/>
      <c r="BG287" s="33">
        <f t="shared" si="2"/>
        <v>0</v>
      </c>
      <c r="BH287" s="27"/>
      <c r="BI287" s="27"/>
      <c r="BJ287" s="27"/>
    </row>
    <row r="288" ht="15.75" customHeight="1" spans="1:62">
      <c r="A288" s="29"/>
      <c r="B288" s="29"/>
      <c r="C288" s="29"/>
      <c r="D288" s="33">
        <v>279</v>
      </c>
      <c r="E288" s="31"/>
      <c r="F288" s="31"/>
      <c r="G288" s="32"/>
      <c r="H288" s="32"/>
      <c r="I288" s="33"/>
      <c r="J288" s="27" t="str">
        <f t="shared" si="0"/>
        <v/>
      </c>
      <c r="K288" s="32"/>
      <c r="L288" s="32"/>
      <c r="M288" s="32"/>
      <c r="N288" s="32"/>
      <c r="O288" s="32"/>
      <c r="P288" s="32"/>
      <c r="Q288" s="34"/>
      <c r="R288" s="88" t="str">
        <f ca="1" t="shared" si="4"/>
        <v/>
      </c>
      <c r="S288" s="27"/>
      <c r="T288" s="27"/>
      <c r="U288" s="27"/>
      <c r="V288" s="35"/>
      <c r="W288" s="30"/>
      <c r="X288" s="33"/>
      <c r="Y288" s="36"/>
      <c r="Z288" s="37"/>
      <c r="AA288" s="27"/>
      <c r="AB288" s="27"/>
      <c r="AC288" s="27"/>
      <c r="AD288" s="27"/>
      <c r="AE288" s="27"/>
      <c r="AF288" s="27"/>
      <c r="AG288" s="90"/>
      <c r="AH288" s="91"/>
      <c r="AI288" s="91"/>
      <c r="AJ288" s="92"/>
      <c r="AK288" s="90"/>
      <c r="AL288" s="91"/>
      <c r="AM288" s="91"/>
      <c r="AN288" s="92"/>
      <c r="AO288" s="90"/>
      <c r="AP288" s="91"/>
      <c r="AQ288" s="91"/>
      <c r="AR288" s="92"/>
      <c r="AS288" s="90"/>
      <c r="AT288" s="91"/>
      <c r="AU288" s="91"/>
      <c r="AV288" s="92"/>
      <c r="AW288" s="90"/>
      <c r="AX288" s="91"/>
      <c r="AY288" s="93"/>
      <c r="AZ288" s="91"/>
      <c r="BA288" s="92"/>
      <c r="BB288" s="90"/>
      <c r="BC288" s="91"/>
      <c r="BD288" s="93"/>
      <c r="BE288" s="91"/>
      <c r="BF288" s="92"/>
      <c r="BG288" s="33">
        <f t="shared" si="2"/>
        <v>0</v>
      </c>
      <c r="BH288" s="27"/>
      <c r="BI288" s="27"/>
      <c r="BJ288" s="27"/>
    </row>
    <row r="289" ht="15.75" customHeight="1" spans="1:62">
      <c r="A289" s="29"/>
      <c r="B289" s="29"/>
      <c r="C289" s="29"/>
      <c r="D289" s="33">
        <v>280</v>
      </c>
      <c r="E289" s="31"/>
      <c r="F289" s="31"/>
      <c r="G289" s="32"/>
      <c r="H289" s="32"/>
      <c r="I289" s="33"/>
      <c r="J289" s="27" t="str">
        <f t="shared" si="0"/>
        <v/>
      </c>
      <c r="K289" s="32"/>
      <c r="L289" s="32"/>
      <c r="M289" s="32"/>
      <c r="N289" s="32"/>
      <c r="O289" s="32"/>
      <c r="P289" s="32"/>
      <c r="Q289" s="34"/>
      <c r="R289" s="88" t="str">
        <f ca="1" t="shared" si="4"/>
        <v/>
      </c>
      <c r="S289" s="27"/>
      <c r="T289" s="27"/>
      <c r="U289" s="27"/>
      <c r="V289" s="35"/>
      <c r="W289" s="30"/>
      <c r="X289" s="33"/>
      <c r="Y289" s="36"/>
      <c r="Z289" s="37"/>
      <c r="AA289" s="27"/>
      <c r="AB289" s="27"/>
      <c r="AC289" s="27"/>
      <c r="AD289" s="27"/>
      <c r="AE289" s="27"/>
      <c r="AF289" s="27"/>
      <c r="AG289" s="90"/>
      <c r="AH289" s="91"/>
      <c r="AI289" s="91"/>
      <c r="AJ289" s="92"/>
      <c r="AK289" s="90"/>
      <c r="AL289" s="91"/>
      <c r="AM289" s="91"/>
      <c r="AN289" s="92"/>
      <c r="AO289" s="90"/>
      <c r="AP289" s="91"/>
      <c r="AQ289" s="91"/>
      <c r="AR289" s="92"/>
      <c r="AS289" s="90"/>
      <c r="AT289" s="91"/>
      <c r="AU289" s="91"/>
      <c r="AV289" s="92"/>
      <c r="AW289" s="90"/>
      <c r="AX289" s="91"/>
      <c r="AY289" s="93"/>
      <c r="AZ289" s="91"/>
      <c r="BA289" s="92"/>
      <c r="BB289" s="90"/>
      <c r="BC289" s="91"/>
      <c r="BD289" s="93"/>
      <c r="BE289" s="91"/>
      <c r="BF289" s="92"/>
      <c r="BG289" s="33">
        <f t="shared" si="2"/>
        <v>0</v>
      </c>
      <c r="BH289" s="27"/>
      <c r="BI289" s="27"/>
      <c r="BJ289" s="27"/>
    </row>
    <row r="290" ht="15.75" customHeight="1" spans="1:62">
      <c r="A290" s="29"/>
      <c r="B290" s="29"/>
      <c r="C290" s="29"/>
      <c r="D290" s="33">
        <v>281</v>
      </c>
      <c r="E290" s="31"/>
      <c r="F290" s="31"/>
      <c r="G290" s="32"/>
      <c r="H290" s="32"/>
      <c r="I290" s="33"/>
      <c r="J290" s="27" t="str">
        <f t="shared" si="0"/>
        <v/>
      </c>
      <c r="K290" s="32"/>
      <c r="L290" s="32"/>
      <c r="M290" s="32"/>
      <c r="N290" s="32"/>
      <c r="O290" s="32"/>
      <c r="P290" s="32"/>
      <c r="Q290" s="34"/>
      <c r="R290" s="88" t="str">
        <f ca="1" t="shared" si="4"/>
        <v/>
      </c>
      <c r="S290" s="27"/>
      <c r="T290" s="27"/>
      <c r="U290" s="27"/>
      <c r="V290" s="35"/>
      <c r="W290" s="30"/>
      <c r="X290" s="33"/>
      <c r="Y290" s="36"/>
      <c r="Z290" s="37"/>
      <c r="AA290" s="27"/>
      <c r="AB290" s="27"/>
      <c r="AC290" s="27"/>
      <c r="AD290" s="27"/>
      <c r="AE290" s="27"/>
      <c r="AF290" s="27"/>
      <c r="AG290" s="90"/>
      <c r="AH290" s="91"/>
      <c r="AI290" s="91"/>
      <c r="AJ290" s="92"/>
      <c r="AK290" s="90"/>
      <c r="AL290" s="91"/>
      <c r="AM290" s="91"/>
      <c r="AN290" s="92"/>
      <c r="AO290" s="90"/>
      <c r="AP290" s="91"/>
      <c r="AQ290" s="91"/>
      <c r="AR290" s="92"/>
      <c r="AS290" s="90"/>
      <c r="AT290" s="91"/>
      <c r="AU290" s="91"/>
      <c r="AV290" s="92"/>
      <c r="AW290" s="90"/>
      <c r="AX290" s="91"/>
      <c r="AY290" s="93"/>
      <c r="AZ290" s="91"/>
      <c r="BA290" s="92"/>
      <c r="BB290" s="90"/>
      <c r="BC290" s="91"/>
      <c r="BD290" s="93"/>
      <c r="BE290" s="91"/>
      <c r="BF290" s="92"/>
      <c r="BG290" s="33">
        <f t="shared" si="2"/>
        <v>0</v>
      </c>
      <c r="BH290" s="27"/>
      <c r="BI290" s="27"/>
      <c r="BJ290" s="27"/>
    </row>
    <row r="291" ht="15.75" customHeight="1" spans="1:62">
      <c r="A291" s="29"/>
      <c r="B291" s="29"/>
      <c r="C291" s="29"/>
      <c r="D291" s="33">
        <v>282</v>
      </c>
      <c r="E291" s="31"/>
      <c r="F291" s="31"/>
      <c r="G291" s="32"/>
      <c r="H291" s="32"/>
      <c r="I291" s="33"/>
      <c r="J291" s="27" t="str">
        <f t="shared" si="0"/>
        <v/>
      </c>
      <c r="K291" s="32"/>
      <c r="L291" s="32"/>
      <c r="M291" s="32"/>
      <c r="N291" s="32"/>
      <c r="O291" s="32"/>
      <c r="P291" s="32"/>
      <c r="Q291" s="34"/>
      <c r="R291" s="88" t="str">
        <f ca="1" t="shared" si="4"/>
        <v/>
      </c>
      <c r="S291" s="27"/>
      <c r="T291" s="27"/>
      <c r="U291" s="27"/>
      <c r="V291" s="35"/>
      <c r="W291" s="30"/>
      <c r="X291" s="33"/>
      <c r="Y291" s="36"/>
      <c r="Z291" s="37"/>
      <c r="AA291" s="27"/>
      <c r="AB291" s="27"/>
      <c r="AC291" s="27"/>
      <c r="AD291" s="27"/>
      <c r="AE291" s="27"/>
      <c r="AF291" s="27"/>
      <c r="AG291" s="90"/>
      <c r="AH291" s="91"/>
      <c r="AI291" s="91"/>
      <c r="AJ291" s="92"/>
      <c r="AK291" s="90"/>
      <c r="AL291" s="91"/>
      <c r="AM291" s="91"/>
      <c r="AN291" s="92"/>
      <c r="AO291" s="90"/>
      <c r="AP291" s="91"/>
      <c r="AQ291" s="91"/>
      <c r="AR291" s="92"/>
      <c r="AS291" s="90"/>
      <c r="AT291" s="91"/>
      <c r="AU291" s="91"/>
      <c r="AV291" s="92"/>
      <c r="AW291" s="90"/>
      <c r="AX291" s="91"/>
      <c r="AY291" s="93"/>
      <c r="AZ291" s="91"/>
      <c r="BA291" s="92"/>
      <c r="BB291" s="90"/>
      <c r="BC291" s="91"/>
      <c r="BD291" s="93"/>
      <c r="BE291" s="91"/>
      <c r="BF291" s="92"/>
      <c r="BG291" s="33">
        <f t="shared" si="2"/>
        <v>0</v>
      </c>
      <c r="BH291" s="27"/>
      <c r="BI291" s="27"/>
      <c r="BJ291" s="27"/>
    </row>
    <row r="292" ht="15.75" customHeight="1" spans="1:62">
      <c r="A292" s="29"/>
      <c r="B292" s="29"/>
      <c r="C292" s="29"/>
      <c r="D292" s="33">
        <v>283</v>
      </c>
      <c r="E292" s="31"/>
      <c r="F292" s="31"/>
      <c r="G292" s="32"/>
      <c r="H292" s="32"/>
      <c r="I292" s="33"/>
      <c r="J292" s="27" t="str">
        <f t="shared" si="0"/>
        <v/>
      </c>
      <c r="K292" s="32"/>
      <c r="L292" s="32"/>
      <c r="M292" s="32"/>
      <c r="N292" s="32"/>
      <c r="O292" s="32"/>
      <c r="P292" s="32"/>
      <c r="Q292" s="34"/>
      <c r="R292" s="88" t="str">
        <f ca="1" t="shared" si="4"/>
        <v/>
      </c>
      <c r="S292" s="27"/>
      <c r="T292" s="27"/>
      <c r="U292" s="27"/>
      <c r="V292" s="35"/>
      <c r="W292" s="30"/>
      <c r="X292" s="33"/>
      <c r="Y292" s="36"/>
      <c r="Z292" s="37"/>
      <c r="AA292" s="27"/>
      <c r="AB292" s="27"/>
      <c r="AC292" s="27"/>
      <c r="AD292" s="27"/>
      <c r="AE292" s="27"/>
      <c r="AF292" s="27"/>
      <c r="AG292" s="90"/>
      <c r="AH292" s="91"/>
      <c r="AI292" s="91"/>
      <c r="AJ292" s="92"/>
      <c r="AK292" s="90"/>
      <c r="AL292" s="91"/>
      <c r="AM292" s="91"/>
      <c r="AN292" s="92"/>
      <c r="AO292" s="90"/>
      <c r="AP292" s="91"/>
      <c r="AQ292" s="91"/>
      <c r="AR292" s="92"/>
      <c r="AS292" s="90"/>
      <c r="AT292" s="91"/>
      <c r="AU292" s="91"/>
      <c r="AV292" s="92"/>
      <c r="AW292" s="90"/>
      <c r="AX292" s="91"/>
      <c r="AY292" s="93"/>
      <c r="AZ292" s="91"/>
      <c r="BA292" s="92"/>
      <c r="BB292" s="90"/>
      <c r="BC292" s="91"/>
      <c r="BD292" s="93"/>
      <c r="BE292" s="91"/>
      <c r="BF292" s="92"/>
      <c r="BG292" s="33">
        <f t="shared" si="2"/>
        <v>0</v>
      </c>
      <c r="BH292" s="27"/>
      <c r="BI292" s="27"/>
      <c r="BJ292" s="27"/>
    </row>
    <row r="293" ht="15.75" customHeight="1" spans="1:62">
      <c r="A293" s="29"/>
      <c r="B293" s="29"/>
      <c r="C293" s="29"/>
      <c r="D293" s="33">
        <v>284</v>
      </c>
      <c r="E293" s="31"/>
      <c r="F293" s="31"/>
      <c r="G293" s="32"/>
      <c r="H293" s="32"/>
      <c r="I293" s="33"/>
      <c r="J293" s="27" t="str">
        <f t="shared" si="0"/>
        <v/>
      </c>
      <c r="K293" s="32"/>
      <c r="L293" s="32"/>
      <c r="M293" s="32"/>
      <c r="N293" s="32"/>
      <c r="O293" s="32"/>
      <c r="P293" s="32"/>
      <c r="Q293" s="34"/>
      <c r="R293" s="88" t="str">
        <f ca="1" t="shared" si="4"/>
        <v/>
      </c>
      <c r="S293" s="27"/>
      <c r="T293" s="27"/>
      <c r="U293" s="27"/>
      <c r="V293" s="35"/>
      <c r="W293" s="30"/>
      <c r="X293" s="33"/>
      <c r="Y293" s="36"/>
      <c r="Z293" s="37"/>
      <c r="AA293" s="27"/>
      <c r="AB293" s="27"/>
      <c r="AC293" s="27"/>
      <c r="AD293" s="27"/>
      <c r="AE293" s="27"/>
      <c r="AF293" s="27"/>
      <c r="AG293" s="90"/>
      <c r="AH293" s="91"/>
      <c r="AI293" s="91"/>
      <c r="AJ293" s="92"/>
      <c r="AK293" s="90"/>
      <c r="AL293" s="91"/>
      <c r="AM293" s="91"/>
      <c r="AN293" s="92"/>
      <c r="AO293" s="90"/>
      <c r="AP293" s="91"/>
      <c r="AQ293" s="91"/>
      <c r="AR293" s="92"/>
      <c r="AS293" s="90"/>
      <c r="AT293" s="91"/>
      <c r="AU293" s="91"/>
      <c r="AV293" s="92"/>
      <c r="AW293" s="90"/>
      <c r="AX293" s="91"/>
      <c r="AY293" s="93"/>
      <c r="AZ293" s="91"/>
      <c r="BA293" s="92"/>
      <c r="BB293" s="90"/>
      <c r="BC293" s="91"/>
      <c r="BD293" s="93"/>
      <c r="BE293" s="91"/>
      <c r="BF293" s="92"/>
      <c r="BG293" s="33">
        <f t="shared" si="2"/>
        <v>0</v>
      </c>
      <c r="BH293" s="27"/>
      <c r="BI293" s="27"/>
      <c r="BJ293" s="27"/>
    </row>
    <row r="294" ht="15.75" customHeight="1" spans="1:62">
      <c r="A294" s="29"/>
      <c r="B294" s="29"/>
      <c r="C294" s="29"/>
      <c r="D294" s="33">
        <v>285</v>
      </c>
      <c r="E294" s="31"/>
      <c r="F294" s="31"/>
      <c r="G294" s="32"/>
      <c r="H294" s="32"/>
      <c r="I294" s="33"/>
      <c r="J294" s="27" t="str">
        <f t="shared" si="0"/>
        <v/>
      </c>
      <c r="K294" s="32"/>
      <c r="L294" s="32"/>
      <c r="M294" s="32"/>
      <c r="N294" s="32"/>
      <c r="O294" s="32"/>
      <c r="P294" s="32"/>
      <c r="Q294" s="34"/>
      <c r="R294" s="88" t="str">
        <f ca="1" t="shared" si="4"/>
        <v/>
      </c>
      <c r="S294" s="27"/>
      <c r="T294" s="27"/>
      <c r="U294" s="27"/>
      <c r="V294" s="35"/>
      <c r="W294" s="30"/>
      <c r="X294" s="33"/>
      <c r="Y294" s="36"/>
      <c r="Z294" s="37"/>
      <c r="AA294" s="27"/>
      <c r="AB294" s="27"/>
      <c r="AC294" s="27"/>
      <c r="AD294" s="27"/>
      <c r="AE294" s="27"/>
      <c r="AF294" s="27"/>
      <c r="AG294" s="90"/>
      <c r="AH294" s="91"/>
      <c r="AI294" s="91"/>
      <c r="AJ294" s="92"/>
      <c r="AK294" s="90"/>
      <c r="AL294" s="91"/>
      <c r="AM294" s="91"/>
      <c r="AN294" s="92"/>
      <c r="AO294" s="90"/>
      <c r="AP294" s="91"/>
      <c r="AQ294" s="91"/>
      <c r="AR294" s="92"/>
      <c r="AS294" s="90"/>
      <c r="AT294" s="91"/>
      <c r="AU294" s="91"/>
      <c r="AV294" s="92"/>
      <c r="AW294" s="90"/>
      <c r="AX294" s="91"/>
      <c r="AY294" s="93"/>
      <c r="AZ294" s="91"/>
      <c r="BA294" s="92"/>
      <c r="BB294" s="90"/>
      <c r="BC294" s="91"/>
      <c r="BD294" s="93"/>
      <c r="BE294" s="91"/>
      <c r="BF294" s="92"/>
      <c r="BG294" s="33">
        <f t="shared" si="2"/>
        <v>0</v>
      </c>
      <c r="BH294" s="27"/>
      <c r="BI294" s="27"/>
      <c r="BJ294" s="27"/>
    </row>
    <row r="295" ht="15.75" customHeight="1" spans="1:62">
      <c r="A295" s="29"/>
      <c r="B295" s="29"/>
      <c r="C295" s="29"/>
      <c r="D295" s="33">
        <v>286</v>
      </c>
      <c r="E295" s="31"/>
      <c r="F295" s="31"/>
      <c r="G295" s="32"/>
      <c r="H295" s="32"/>
      <c r="I295" s="33"/>
      <c r="J295" s="27" t="str">
        <f t="shared" si="0"/>
        <v/>
      </c>
      <c r="K295" s="32"/>
      <c r="L295" s="32"/>
      <c r="M295" s="32"/>
      <c r="N295" s="32"/>
      <c r="O295" s="32"/>
      <c r="P295" s="32"/>
      <c r="Q295" s="34"/>
      <c r="R295" s="88" t="str">
        <f ca="1" t="shared" si="4"/>
        <v/>
      </c>
      <c r="S295" s="27"/>
      <c r="T295" s="27"/>
      <c r="U295" s="27"/>
      <c r="V295" s="35"/>
      <c r="W295" s="30"/>
      <c r="X295" s="33"/>
      <c r="Y295" s="36"/>
      <c r="Z295" s="37"/>
      <c r="AA295" s="27"/>
      <c r="AB295" s="27"/>
      <c r="AC295" s="27"/>
      <c r="AD295" s="27"/>
      <c r="AE295" s="27"/>
      <c r="AF295" s="27"/>
      <c r="AG295" s="90"/>
      <c r="AH295" s="91"/>
      <c r="AI295" s="91"/>
      <c r="AJ295" s="92"/>
      <c r="AK295" s="90"/>
      <c r="AL295" s="91"/>
      <c r="AM295" s="91"/>
      <c r="AN295" s="92"/>
      <c r="AO295" s="90"/>
      <c r="AP295" s="91"/>
      <c r="AQ295" s="91"/>
      <c r="AR295" s="92"/>
      <c r="AS295" s="90"/>
      <c r="AT295" s="91"/>
      <c r="AU295" s="91"/>
      <c r="AV295" s="92"/>
      <c r="AW295" s="90"/>
      <c r="AX295" s="91"/>
      <c r="AY295" s="93"/>
      <c r="AZ295" s="91"/>
      <c r="BA295" s="92"/>
      <c r="BB295" s="90"/>
      <c r="BC295" s="91"/>
      <c r="BD295" s="93"/>
      <c r="BE295" s="91"/>
      <c r="BF295" s="92"/>
      <c r="BG295" s="33">
        <f t="shared" si="2"/>
        <v>0</v>
      </c>
      <c r="BH295" s="27"/>
      <c r="BI295" s="27"/>
      <c r="BJ295" s="27"/>
    </row>
    <row r="296" ht="15.75" customHeight="1" spans="1:62">
      <c r="A296" s="29"/>
      <c r="B296" s="29"/>
      <c r="C296" s="29"/>
      <c r="D296" s="33">
        <v>287</v>
      </c>
      <c r="E296" s="31"/>
      <c r="F296" s="31"/>
      <c r="G296" s="32"/>
      <c r="H296" s="32"/>
      <c r="I296" s="33"/>
      <c r="J296" s="27" t="str">
        <f t="shared" si="0"/>
        <v/>
      </c>
      <c r="K296" s="32"/>
      <c r="L296" s="32"/>
      <c r="M296" s="32"/>
      <c r="N296" s="32"/>
      <c r="O296" s="32"/>
      <c r="P296" s="32"/>
      <c r="Q296" s="34"/>
      <c r="R296" s="88" t="str">
        <f ca="1" t="shared" si="4"/>
        <v/>
      </c>
      <c r="S296" s="27"/>
      <c r="T296" s="27"/>
      <c r="U296" s="27"/>
      <c r="V296" s="35"/>
      <c r="W296" s="30"/>
      <c r="X296" s="33"/>
      <c r="Y296" s="36"/>
      <c r="Z296" s="37"/>
      <c r="AA296" s="27"/>
      <c r="AB296" s="27"/>
      <c r="AC296" s="27"/>
      <c r="AD296" s="27"/>
      <c r="AE296" s="27"/>
      <c r="AF296" s="27"/>
      <c r="AG296" s="90"/>
      <c r="AH296" s="91"/>
      <c r="AI296" s="91"/>
      <c r="AJ296" s="92"/>
      <c r="AK296" s="90"/>
      <c r="AL296" s="91"/>
      <c r="AM296" s="91"/>
      <c r="AN296" s="92"/>
      <c r="AO296" s="90"/>
      <c r="AP296" s="91"/>
      <c r="AQ296" s="91"/>
      <c r="AR296" s="92"/>
      <c r="AS296" s="90"/>
      <c r="AT296" s="91"/>
      <c r="AU296" s="91"/>
      <c r="AV296" s="92"/>
      <c r="AW296" s="90"/>
      <c r="AX296" s="91"/>
      <c r="AY296" s="93"/>
      <c r="AZ296" s="91"/>
      <c r="BA296" s="92"/>
      <c r="BB296" s="90"/>
      <c r="BC296" s="91"/>
      <c r="BD296" s="93"/>
      <c r="BE296" s="91"/>
      <c r="BF296" s="92"/>
      <c r="BG296" s="33">
        <f t="shared" si="2"/>
        <v>0</v>
      </c>
      <c r="BH296" s="27"/>
      <c r="BI296" s="27"/>
      <c r="BJ296" s="27"/>
    </row>
    <row r="297" ht="15.75" customHeight="1" spans="1:62">
      <c r="A297" s="29"/>
      <c r="B297" s="29"/>
      <c r="C297" s="29"/>
      <c r="D297" s="33">
        <v>288</v>
      </c>
      <c r="E297" s="31"/>
      <c r="F297" s="31"/>
      <c r="G297" s="32"/>
      <c r="H297" s="32"/>
      <c r="I297" s="33"/>
      <c r="J297" s="27" t="str">
        <f t="shared" si="0"/>
        <v/>
      </c>
      <c r="K297" s="32"/>
      <c r="L297" s="32"/>
      <c r="M297" s="32"/>
      <c r="N297" s="32"/>
      <c r="O297" s="32"/>
      <c r="P297" s="32"/>
      <c r="Q297" s="34"/>
      <c r="R297" s="88" t="str">
        <f ca="1" t="shared" si="4"/>
        <v/>
      </c>
      <c r="S297" s="27"/>
      <c r="T297" s="27"/>
      <c r="U297" s="27"/>
      <c r="V297" s="35"/>
      <c r="W297" s="30"/>
      <c r="X297" s="33"/>
      <c r="Y297" s="36"/>
      <c r="Z297" s="37"/>
      <c r="AA297" s="27"/>
      <c r="AB297" s="27"/>
      <c r="AC297" s="27"/>
      <c r="AD297" s="27"/>
      <c r="AE297" s="27"/>
      <c r="AF297" s="27"/>
      <c r="AG297" s="90"/>
      <c r="AH297" s="91"/>
      <c r="AI297" s="91"/>
      <c r="AJ297" s="92"/>
      <c r="AK297" s="90"/>
      <c r="AL297" s="91"/>
      <c r="AM297" s="91"/>
      <c r="AN297" s="92"/>
      <c r="AO297" s="90"/>
      <c r="AP297" s="91"/>
      <c r="AQ297" s="91"/>
      <c r="AR297" s="92"/>
      <c r="AS297" s="90"/>
      <c r="AT297" s="91"/>
      <c r="AU297" s="91"/>
      <c r="AV297" s="92"/>
      <c r="AW297" s="90"/>
      <c r="AX297" s="91"/>
      <c r="AY297" s="93"/>
      <c r="AZ297" s="91"/>
      <c r="BA297" s="92"/>
      <c r="BB297" s="90"/>
      <c r="BC297" s="91"/>
      <c r="BD297" s="93"/>
      <c r="BE297" s="91"/>
      <c r="BF297" s="92"/>
      <c r="BG297" s="33">
        <f t="shared" si="2"/>
        <v>0</v>
      </c>
      <c r="BH297" s="27"/>
      <c r="BI297" s="27"/>
      <c r="BJ297" s="27"/>
    </row>
    <row r="298" ht="15.75" customHeight="1" spans="1:62">
      <c r="A298" s="29"/>
      <c r="B298" s="29"/>
      <c r="C298" s="29"/>
      <c r="D298" s="33">
        <v>289</v>
      </c>
      <c r="E298" s="31"/>
      <c r="F298" s="31"/>
      <c r="G298" s="32"/>
      <c r="H298" s="32"/>
      <c r="I298" s="33"/>
      <c r="J298" s="27" t="str">
        <f t="shared" si="0"/>
        <v/>
      </c>
      <c r="K298" s="32"/>
      <c r="L298" s="32"/>
      <c r="M298" s="32"/>
      <c r="N298" s="32"/>
      <c r="O298" s="32"/>
      <c r="P298" s="32"/>
      <c r="Q298" s="34"/>
      <c r="R298" s="88" t="str">
        <f ca="1" t="shared" si="4"/>
        <v/>
      </c>
      <c r="S298" s="27"/>
      <c r="T298" s="27"/>
      <c r="U298" s="27"/>
      <c r="V298" s="35"/>
      <c r="W298" s="30"/>
      <c r="X298" s="33"/>
      <c r="Y298" s="36"/>
      <c r="Z298" s="37"/>
      <c r="AA298" s="27"/>
      <c r="AB298" s="27"/>
      <c r="AC298" s="27"/>
      <c r="AD298" s="27"/>
      <c r="AE298" s="27"/>
      <c r="AF298" s="27"/>
      <c r="AG298" s="90"/>
      <c r="AH298" s="91"/>
      <c r="AI298" s="91"/>
      <c r="AJ298" s="92"/>
      <c r="AK298" s="90"/>
      <c r="AL298" s="91"/>
      <c r="AM298" s="91"/>
      <c r="AN298" s="92"/>
      <c r="AO298" s="90"/>
      <c r="AP298" s="91"/>
      <c r="AQ298" s="91"/>
      <c r="AR298" s="92"/>
      <c r="AS298" s="90"/>
      <c r="AT298" s="91"/>
      <c r="AU298" s="91"/>
      <c r="AV298" s="92"/>
      <c r="AW298" s="90"/>
      <c r="AX298" s="91"/>
      <c r="AY298" s="93"/>
      <c r="AZ298" s="91"/>
      <c r="BA298" s="92"/>
      <c r="BB298" s="90"/>
      <c r="BC298" s="91"/>
      <c r="BD298" s="93"/>
      <c r="BE298" s="91"/>
      <c r="BF298" s="92"/>
      <c r="BG298" s="33">
        <f t="shared" si="2"/>
        <v>0</v>
      </c>
      <c r="BH298" s="27"/>
      <c r="BI298" s="27"/>
      <c r="BJ298" s="27"/>
    </row>
    <row r="299" ht="15.75" customHeight="1" spans="1:62">
      <c r="A299" s="29"/>
      <c r="B299" s="29"/>
      <c r="C299" s="29"/>
      <c r="D299" s="33">
        <v>290</v>
      </c>
      <c r="E299" s="31"/>
      <c r="F299" s="31"/>
      <c r="G299" s="32"/>
      <c r="H299" s="32"/>
      <c r="I299" s="33"/>
      <c r="J299" s="27" t="str">
        <f t="shared" si="0"/>
        <v/>
      </c>
      <c r="K299" s="32"/>
      <c r="L299" s="32"/>
      <c r="M299" s="32"/>
      <c r="N299" s="32"/>
      <c r="O299" s="32"/>
      <c r="P299" s="32"/>
      <c r="Q299" s="34"/>
      <c r="R299" s="88" t="str">
        <f ca="1" t="shared" si="4"/>
        <v/>
      </c>
      <c r="S299" s="27"/>
      <c r="T299" s="27"/>
      <c r="U299" s="27"/>
      <c r="V299" s="35"/>
      <c r="W299" s="30"/>
      <c r="X299" s="33"/>
      <c r="Y299" s="36"/>
      <c r="Z299" s="37"/>
      <c r="AA299" s="27"/>
      <c r="AB299" s="27"/>
      <c r="AC299" s="27"/>
      <c r="AD299" s="27"/>
      <c r="AE299" s="27"/>
      <c r="AF299" s="27"/>
      <c r="AG299" s="90"/>
      <c r="AH299" s="91"/>
      <c r="AI299" s="91"/>
      <c r="AJ299" s="92"/>
      <c r="AK299" s="90"/>
      <c r="AL299" s="91"/>
      <c r="AM299" s="91"/>
      <c r="AN299" s="92"/>
      <c r="AO299" s="90"/>
      <c r="AP299" s="91"/>
      <c r="AQ299" s="91"/>
      <c r="AR299" s="92"/>
      <c r="AS299" s="90"/>
      <c r="AT299" s="91"/>
      <c r="AU299" s="91"/>
      <c r="AV299" s="92"/>
      <c r="AW299" s="90"/>
      <c r="AX299" s="91"/>
      <c r="AY299" s="93"/>
      <c r="AZ299" s="91"/>
      <c r="BA299" s="92"/>
      <c r="BB299" s="90"/>
      <c r="BC299" s="91"/>
      <c r="BD299" s="93"/>
      <c r="BE299" s="91"/>
      <c r="BF299" s="92"/>
      <c r="BG299" s="33">
        <f t="shared" si="2"/>
        <v>0</v>
      </c>
      <c r="BH299" s="27"/>
      <c r="BI299" s="27"/>
      <c r="BJ299" s="27"/>
    </row>
    <row r="300" ht="15.75" customHeight="1" spans="1:62">
      <c r="A300" s="29"/>
      <c r="B300" s="29"/>
      <c r="C300" s="29"/>
      <c r="D300" s="33">
        <v>291</v>
      </c>
      <c r="E300" s="31"/>
      <c r="F300" s="31"/>
      <c r="G300" s="32"/>
      <c r="H300" s="32"/>
      <c r="I300" s="33"/>
      <c r="J300" s="27" t="str">
        <f t="shared" si="0"/>
        <v/>
      </c>
      <c r="K300" s="32"/>
      <c r="L300" s="32"/>
      <c r="M300" s="32"/>
      <c r="N300" s="32"/>
      <c r="O300" s="32"/>
      <c r="P300" s="32"/>
      <c r="Q300" s="34"/>
      <c r="R300" s="88" t="str">
        <f ca="1" t="shared" si="4"/>
        <v/>
      </c>
      <c r="S300" s="27"/>
      <c r="T300" s="27"/>
      <c r="U300" s="27"/>
      <c r="V300" s="35"/>
      <c r="W300" s="30"/>
      <c r="X300" s="33"/>
      <c r="Y300" s="36"/>
      <c r="Z300" s="37"/>
      <c r="AA300" s="27"/>
      <c r="AB300" s="27"/>
      <c r="AC300" s="27"/>
      <c r="AD300" s="27"/>
      <c r="AE300" s="27"/>
      <c r="AF300" s="27"/>
      <c r="AG300" s="90"/>
      <c r="AH300" s="91"/>
      <c r="AI300" s="91"/>
      <c r="AJ300" s="92"/>
      <c r="AK300" s="90"/>
      <c r="AL300" s="91"/>
      <c r="AM300" s="91"/>
      <c r="AN300" s="92"/>
      <c r="AO300" s="90"/>
      <c r="AP300" s="91"/>
      <c r="AQ300" s="91"/>
      <c r="AR300" s="92"/>
      <c r="AS300" s="90"/>
      <c r="AT300" s="91"/>
      <c r="AU300" s="91"/>
      <c r="AV300" s="92"/>
      <c r="AW300" s="90"/>
      <c r="AX300" s="91"/>
      <c r="AY300" s="93"/>
      <c r="AZ300" s="91"/>
      <c r="BA300" s="92"/>
      <c r="BB300" s="90"/>
      <c r="BC300" s="91"/>
      <c r="BD300" s="93"/>
      <c r="BE300" s="91"/>
      <c r="BF300" s="92"/>
      <c r="BG300" s="33">
        <f t="shared" si="2"/>
        <v>0</v>
      </c>
      <c r="BH300" s="27"/>
      <c r="BI300" s="27"/>
      <c r="BJ300" s="27"/>
    </row>
    <row r="301" ht="15.75" customHeight="1" spans="1:62">
      <c r="A301" s="29"/>
      <c r="B301" s="29"/>
      <c r="C301" s="29"/>
      <c r="D301" s="33">
        <v>292</v>
      </c>
      <c r="E301" s="31"/>
      <c r="F301" s="31"/>
      <c r="G301" s="32"/>
      <c r="H301" s="32"/>
      <c r="I301" s="33"/>
      <c r="J301" s="27" t="str">
        <f t="shared" si="0"/>
        <v/>
      </c>
      <c r="K301" s="32"/>
      <c r="L301" s="32"/>
      <c r="M301" s="32"/>
      <c r="N301" s="32"/>
      <c r="O301" s="32"/>
      <c r="P301" s="32"/>
      <c r="Q301" s="34"/>
      <c r="R301" s="88" t="str">
        <f ca="1" t="shared" si="4"/>
        <v/>
      </c>
      <c r="S301" s="27"/>
      <c r="T301" s="27"/>
      <c r="U301" s="27"/>
      <c r="V301" s="35"/>
      <c r="W301" s="30"/>
      <c r="X301" s="33"/>
      <c r="Y301" s="36"/>
      <c r="Z301" s="37"/>
      <c r="AA301" s="27"/>
      <c r="AB301" s="27"/>
      <c r="AC301" s="27"/>
      <c r="AD301" s="27"/>
      <c r="AE301" s="27"/>
      <c r="AF301" s="27"/>
      <c r="AG301" s="90"/>
      <c r="AH301" s="91"/>
      <c r="AI301" s="91"/>
      <c r="AJ301" s="92"/>
      <c r="AK301" s="90"/>
      <c r="AL301" s="91"/>
      <c r="AM301" s="91"/>
      <c r="AN301" s="92"/>
      <c r="AO301" s="90"/>
      <c r="AP301" s="91"/>
      <c r="AQ301" s="91"/>
      <c r="AR301" s="92"/>
      <c r="AS301" s="90"/>
      <c r="AT301" s="91"/>
      <c r="AU301" s="91"/>
      <c r="AV301" s="92"/>
      <c r="AW301" s="90"/>
      <c r="AX301" s="91"/>
      <c r="AY301" s="93"/>
      <c r="AZ301" s="91"/>
      <c r="BA301" s="92"/>
      <c r="BB301" s="90"/>
      <c r="BC301" s="91"/>
      <c r="BD301" s="93"/>
      <c r="BE301" s="91"/>
      <c r="BF301" s="92"/>
      <c r="BG301" s="33">
        <f t="shared" si="2"/>
        <v>0</v>
      </c>
      <c r="BH301" s="27"/>
      <c r="BI301" s="27"/>
      <c r="BJ301" s="27"/>
    </row>
    <row r="302" ht="15.75" customHeight="1" spans="1:62">
      <c r="A302" s="29"/>
      <c r="B302" s="29"/>
      <c r="C302" s="29"/>
      <c r="D302" s="33">
        <v>293</v>
      </c>
      <c r="E302" s="31"/>
      <c r="F302" s="31"/>
      <c r="G302" s="32"/>
      <c r="H302" s="32"/>
      <c r="I302" s="33"/>
      <c r="J302" s="27" t="str">
        <f t="shared" si="0"/>
        <v/>
      </c>
      <c r="K302" s="32"/>
      <c r="L302" s="32"/>
      <c r="M302" s="32"/>
      <c r="N302" s="32"/>
      <c r="O302" s="32"/>
      <c r="P302" s="32"/>
      <c r="Q302" s="34"/>
      <c r="R302" s="88" t="str">
        <f ca="1" t="shared" si="4"/>
        <v/>
      </c>
      <c r="S302" s="27"/>
      <c r="T302" s="27"/>
      <c r="U302" s="27"/>
      <c r="V302" s="35"/>
      <c r="W302" s="30"/>
      <c r="X302" s="33"/>
      <c r="Y302" s="36"/>
      <c r="Z302" s="37"/>
      <c r="AA302" s="27"/>
      <c r="AB302" s="27"/>
      <c r="AC302" s="27"/>
      <c r="AD302" s="27"/>
      <c r="AE302" s="27"/>
      <c r="AF302" s="27"/>
      <c r="AG302" s="90"/>
      <c r="AH302" s="91"/>
      <c r="AI302" s="91"/>
      <c r="AJ302" s="92"/>
      <c r="AK302" s="90"/>
      <c r="AL302" s="91"/>
      <c r="AM302" s="91"/>
      <c r="AN302" s="92"/>
      <c r="AO302" s="90"/>
      <c r="AP302" s="91"/>
      <c r="AQ302" s="91"/>
      <c r="AR302" s="92"/>
      <c r="AS302" s="90"/>
      <c r="AT302" s="91"/>
      <c r="AU302" s="91"/>
      <c r="AV302" s="92"/>
      <c r="AW302" s="90"/>
      <c r="AX302" s="91"/>
      <c r="AY302" s="93"/>
      <c r="AZ302" s="91"/>
      <c r="BA302" s="92"/>
      <c r="BB302" s="90"/>
      <c r="BC302" s="91"/>
      <c r="BD302" s="93"/>
      <c r="BE302" s="91"/>
      <c r="BF302" s="92"/>
      <c r="BG302" s="33">
        <f t="shared" si="2"/>
        <v>0</v>
      </c>
      <c r="BH302" s="27"/>
      <c r="BI302" s="27"/>
      <c r="BJ302" s="27"/>
    </row>
    <row r="303" ht="15.75" customHeight="1" spans="1:62">
      <c r="A303" s="29"/>
      <c r="B303" s="29"/>
      <c r="C303" s="29"/>
      <c r="D303" s="33">
        <v>294</v>
      </c>
      <c r="E303" s="31"/>
      <c r="F303" s="31"/>
      <c r="G303" s="32"/>
      <c r="H303" s="32"/>
      <c r="I303" s="33"/>
      <c r="J303" s="27" t="str">
        <f t="shared" si="0"/>
        <v/>
      </c>
      <c r="K303" s="32"/>
      <c r="L303" s="32"/>
      <c r="M303" s="32"/>
      <c r="N303" s="32"/>
      <c r="O303" s="32"/>
      <c r="P303" s="32"/>
      <c r="Q303" s="34"/>
      <c r="R303" s="88" t="str">
        <f ca="1" t="shared" si="4"/>
        <v/>
      </c>
      <c r="S303" s="27"/>
      <c r="T303" s="27"/>
      <c r="U303" s="27"/>
      <c r="V303" s="35"/>
      <c r="W303" s="30"/>
      <c r="X303" s="33"/>
      <c r="Y303" s="36"/>
      <c r="Z303" s="37"/>
      <c r="AA303" s="27"/>
      <c r="AB303" s="27"/>
      <c r="AC303" s="27"/>
      <c r="AD303" s="27"/>
      <c r="AE303" s="27"/>
      <c r="AF303" s="27"/>
      <c r="AG303" s="90"/>
      <c r="AH303" s="91"/>
      <c r="AI303" s="91"/>
      <c r="AJ303" s="92"/>
      <c r="AK303" s="90"/>
      <c r="AL303" s="91"/>
      <c r="AM303" s="91"/>
      <c r="AN303" s="92"/>
      <c r="AO303" s="90"/>
      <c r="AP303" s="91"/>
      <c r="AQ303" s="91"/>
      <c r="AR303" s="92"/>
      <c r="AS303" s="90"/>
      <c r="AT303" s="91"/>
      <c r="AU303" s="91"/>
      <c r="AV303" s="92"/>
      <c r="AW303" s="90"/>
      <c r="AX303" s="91"/>
      <c r="AY303" s="93"/>
      <c r="AZ303" s="91"/>
      <c r="BA303" s="92"/>
      <c r="BB303" s="90"/>
      <c r="BC303" s="91"/>
      <c r="BD303" s="93"/>
      <c r="BE303" s="91"/>
      <c r="BF303" s="92"/>
      <c r="BG303" s="33">
        <f t="shared" si="2"/>
        <v>0</v>
      </c>
      <c r="BH303" s="27"/>
      <c r="BI303" s="27"/>
      <c r="BJ303" s="27"/>
    </row>
    <row r="304" ht="15.75" customHeight="1" spans="1:62">
      <c r="A304" s="29"/>
      <c r="B304" s="29"/>
      <c r="C304" s="29"/>
      <c r="D304" s="33">
        <v>295</v>
      </c>
      <c r="E304" s="31"/>
      <c r="F304" s="31"/>
      <c r="G304" s="32"/>
      <c r="H304" s="32"/>
      <c r="I304" s="33"/>
      <c r="J304" s="27" t="str">
        <f t="shared" si="0"/>
        <v/>
      </c>
      <c r="K304" s="32"/>
      <c r="L304" s="32"/>
      <c r="M304" s="32"/>
      <c r="N304" s="32"/>
      <c r="O304" s="32"/>
      <c r="P304" s="32"/>
      <c r="Q304" s="34"/>
      <c r="R304" s="88" t="str">
        <f ca="1" t="shared" si="4"/>
        <v/>
      </c>
      <c r="S304" s="27"/>
      <c r="T304" s="27"/>
      <c r="U304" s="27"/>
      <c r="V304" s="35"/>
      <c r="W304" s="30"/>
      <c r="X304" s="33"/>
      <c r="Y304" s="36"/>
      <c r="Z304" s="37"/>
      <c r="AA304" s="27"/>
      <c r="AB304" s="27"/>
      <c r="AC304" s="27"/>
      <c r="AD304" s="27"/>
      <c r="AE304" s="27"/>
      <c r="AF304" s="27"/>
      <c r="AG304" s="90"/>
      <c r="AH304" s="91"/>
      <c r="AI304" s="91"/>
      <c r="AJ304" s="92"/>
      <c r="AK304" s="90"/>
      <c r="AL304" s="91"/>
      <c r="AM304" s="91"/>
      <c r="AN304" s="92"/>
      <c r="AO304" s="90"/>
      <c r="AP304" s="91"/>
      <c r="AQ304" s="91"/>
      <c r="AR304" s="92"/>
      <c r="AS304" s="90"/>
      <c r="AT304" s="91"/>
      <c r="AU304" s="91"/>
      <c r="AV304" s="92"/>
      <c r="AW304" s="90"/>
      <c r="AX304" s="91"/>
      <c r="AY304" s="93"/>
      <c r="AZ304" s="91"/>
      <c r="BA304" s="92"/>
      <c r="BB304" s="90"/>
      <c r="BC304" s="91"/>
      <c r="BD304" s="93"/>
      <c r="BE304" s="91"/>
      <c r="BF304" s="92"/>
      <c r="BG304" s="33">
        <f t="shared" si="2"/>
        <v>0</v>
      </c>
      <c r="BH304" s="27"/>
      <c r="BI304" s="27"/>
      <c r="BJ304" s="27"/>
    </row>
    <row r="305" ht="15.75" customHeight="1" spans="1:62">
      <c r="A305" s="29"/>
      <c r="B305" s="29"/>
      <c r="C305" s="29"/>
      <c r="D305" s="33">
        <v>296</v>
      </c>
      <c r="E305" s="31"/>
      <c r="F305" s="31"/>
      <c r="G305" s="32"/>
      <c r="H305" s="32"/>
      <c r="I305" s="33"/>
      <c r="J305" s="32" t="str">
        <f t="shared" si="0"/>
        <v/>
      </c>
      <c r="K305" s="32"/>
      <c r="L305" s="32"/>
      <c r="M305" s="32"/>
      <c r="N305" s="32"/>
      <c r="O305" s="32"/>
      <c r="P305" s="32"/>
      <c r="Q305" s="34"/>
      <c r="R305" s="30" t="str">
        <f ca="1" t="shared" si="4"/>
        <v/>
      </c>
      <c r="S305" s="33"/>
      <c r="T305" s="27"/>
      <c r="U305" s="27"/>
      <c r="V305" s="35"/>
      <c r="W305" s="30"/>
      <c r="X305" s="30"/>
      <c r="Y305" s="36"/>
      <c r="Z305" s="97"/>
      <c r="AA305" s="98"/>
      <c r="AB305" s="27"/>
      <c r="AC305" s="27"/>
      <c r="AD305" s="27"/>
      <c r="AE305" s="27"/>
      <c r="AF305" s="27"/>
      <c r="AG305" s="90"/>
      <c r="AH305" s="91"/>
      <c r="AI305" s="91"/>
      <c r="AJ305" s="92"/>
      <c r="AK305" s="90"/>
      <c r="AL305" s="91"/>
      <c r="AM305" s="91"/>
      <c r="AN305" s="92"/>
      <c r="AO305" s="90"/>
      <c r="AP305" s="91"/>
      <c r="AQ305" s="91"/>
      <c r="AR305" s="92"/>
      <c r="AS305" s="90"/>
      <c r="AT305" s="91"/>
      <c r="AU305" s="91"/>
      <c r="AV305" s="92"/>
      <c r="AW305" s="90"/>
      <c r="AX305" s="91"/>
      <c r="AY305" s="93"/>
      <c r="AZ305" s="91"/>
      <c r="BA305" s="92"/>
      <c r="BB305" s="90"/>
      <c r="BC305" s="91"/>
      <c r="BD305" s="93"/>
      <c r="BE305" s="91"/>
      <c r="BF305" s="92"/>
      <c r="BG305" s="33">
        <f t="shared" si="2"/>
        <v>0</v>
      </c>
      <c r="BH305" s="27"/>
      <c r="BI305" s="27"/>
      <c r="BJ305" s="27"/>
    </row>
    <row r="306" ht="15.75" customHeight="1" spans="1:62">
      <c r="A306" s="29"/>
      <c r="B306" s="29"/>
      <c r="C306" s="29"/>
      <c r="D306" s="33">
        <v>297</v>
      </c>
      <c r="E306" s="31"/>
      <c r="F306" s="31"/>
      <c r="G306" s="32"/>
      <c r="H306" s="32"/>
      <c r="I306" s="33"/>
      <c r="J306" s="32" t="str">
        <f t="shared" si="0"/>
        <v/>
      </c>
      <c r="K306" s="32"/>
      <c r="L306" s="32"/>
      <c r="M306" s="32"/>
      <c r="N306" s="32"/>
      <c r="O306" s="32"/>
      <c r="P306" s="32"/>
      <c r="Q306" s="34"/>
      <c r="R306" s="30" t="str">
        <f ca="1" t="shared" si="4"/>
        <v/>
      </c>
      <c r="S306" s="33"/>
      <c r="T306" s="27"/>
      <c r="U306" s="27"/>
      <c r="V306" s="35"/>
      <c r="W306" s="30"/>
      <c r="X306" s="30"/>
      <c r="Y306" s="36"/>
      <c r="Z306" s="97"/>
      <c r="AA306" s="98"/>
      <c r="AB306" s="27"/>
      <c r="AC306" s="27"/>
      <c r="AD306" s="27"/>
      <c r="AE306" s="27"/>
      <c r="AF306" s="27"/>
      <c r="AG306" s="90"/>
      <c r="AH306" s="91"/>
      <c r="AI306" s="91"/>
      <c r="AJ306" s="92"/>
      <c r="AK306" s="90"/>
      <c r="AL306" s="91"/>
      <c r="AM306" s="91"/>
      <c r="AN306" s="92"/>
      <c r="AO306" s="90"/>
      <c r="AP306" s="91"/>
      <c r="AQ306" s="91"/>
      <c r="AR306" s="92"/>
      <c r="AS306" s="90"/>
      <c r="AT306" s="91"/>
      <c r="AU306" s="91"/>
      <c r="AV306" s="92"/>
      <c r="AW306" s="90"/>
      <c r="AX306" s="91"/>
      <c r="AY306" s="93"/>
      <c r="AZ306" s="91"/>
      <c r="BA306" s="92"/>
      <c r="BB306" s="90"/>
      <c r="BC306" s="91"/>
      <c r="BD306" s="93"/>
      <c r="BE306" s="91"/>
      <c r="BF306" s="92"/>
      <c r="BG306" s="33">
        <f t="shared" si="2"/>
        <v>0</v>
      </c>
      <c r="BH306" s="27"/>
      <c r="BI306" s="27"/>
      <c r="BJ306" s="27"/>
    </row>
    <row r="307" ht="15.75" customHeight="1" spans="1:62">
      <c r="A307" s="29"/>
      <c r="B307" s="29"/>
      <c r="C307" s="29"/>
      <c r="D307" s="33">
        <v>298</v>
      </c>
      <c r="E307" s="31"/>
      <c r="F307" s="31"/>
      <c r="G307" s="32"/>
      <c r="H307" s="32"/>
      <c r="I307" s="33"/>
      <c r="J307" s="32" t="str">
        <f t="shared" si="0"/>
        <v/>
      </c>
      <c r="K307" s="32"/>
      <c r="L307" s="32"/>
      <c r="M307" s="32"/>
      <c r="N307" s="32"/>
      <c r="O307" s="32"/>
      <c r="P307" s="32"/>
      <c r="Q307" s="34"/>
      <c r="R307" s="30" t="str">
        <f ca="1" t="shared" si="4"/>
        <v/>
      </c>
      <c r="S307" s="33"/>
      <c r="T307" s="27"/>
      <c r="U307" s="27"/>
      <c r="V307" s="35"/>
      <c r="W307" s="30"/>
      <c r="X307" s="30"/>
      <c r="Y307" s="36"/>
      <c r="Z307" s="97"/>
      <c r="AA307" s="98"/>
      <c r="AB307" s="27"/>
      <c r="AC307" s="27"/>
      <c r="AD307" s="27"/>
      <c r="AE307" s="27"/>
      <c r="AF307" s="27"/>
      <c r="AG307" s="90"/>
      <c r="AH307" s="91"/>
      <c r="AI307" s="91"/>
      <c r="AJ307" s="92"/>
      <c r="AK307" s="90"/>
      <c r="AL307" s="91"/>
      <c r="AM307" s="91"/>
      <c r="AN307" s="92"/>
      <c r="AO307" s="90"/>
      <c r="AP307" s="91"/>
      <c r="AQ307" s="91"/>
      <c r="AR307" s="92"/>
      <c r="AS307" s="90"/>
      <c r="AT307" s="91"/>
      <c r="AU307" s="91"/>
      <c r="AV307" s="92"/>
      <c r="AW307" s="90"/>
      <c r="AX307" s="91"/>
      <c r="AY307" s="93"/>
      <c r="AZ307" s="91"/>
      <c r="BA307" s="92"/>
      <c r="BB307" s="90"/>
      <c r="BC307" s="91"/>
      <c r="BD307" s="93"/>
      <c r="BE307" s="91"/>
      <c r="BF307" s="92"/>
      <c r="BG307" s="33">
        <f t="shared" si="2"/>
        <v>0</v>
      </c>
      <c r="BH307" s="27"/>
      <c r="BI307" s="27"/>
      <c r="BJ307" s="27"/>
    </row>
    <row r="308" ht="15.75" customHeight="1" spans="1:62">
      <c r="A308" s="29"/>
      <c r="B308" s="29"/>
      <c r="C308" s="29"/>
      <c r="D308" s="33">
        <v>299</v>
      </c>
      <c r="E308" s="31"/>
      <c r="F308" s="31"/>
      <c r="G308" s="32"/>
      <c r="H308" s="32"/>
      <c r="I308" s="33"/>
      <c r="J308" s="32" t="str">
        <f t="shared" si="0"/>
        <v/>
      </c>
      <c r="K308" s="32"/>
      <c r="L308" s="32"/>
      <c r="M308" s="32"/>
      <c r="N308" s="32"/>
      <c r="O308" s="32"/>
      <c r="P308" s="32"/>
      <c r="Q308" s="34"/>
      <c r="R308" s="30" t="str">
        <f ca="1" t="shared" si="4"/>
        <v/>
      </c>
      <c r="S308" s="33"/>
      <c r="T308" s="27"/>
      <c r="U308" s="27"/>
      <c r="V308" s="35"/>
      <c r="W308" s="30"/>
      <c r="X308" s="30"/>
      <c r="Y308" s="36"/>
      <c r="Z308" s="97"/>
      <c r="AA308" s="98"/>
      <c r="AB308" s="27"/>
      <c r="AC308" s="27"/>
      <c r="AD308" s="27"/>
      <c r="AE308" s="27"/>
      <c r="AF308" s="27"/>
      <c r="AG308" s="90"/>
      <c r="AH308" s="91"/>
      <c r="AI308" s="91"/>
      <c r="AJ308" s="92"/>
      <c r="AK308" s="90"/>
      <c r="AL308" s="91"/>
      <c r="AM308" s="91"/>
      <c r="AN308" s="92"/>
      <c r="AO308" s="90"/>
      <c r="AP308" s="91"/>
      <c r="AQ308" s="91"/>
      <c r="AR308" s="92"/>
      <c r="AS308" s="90"/>
      <c r="AT308" s="91"/>
      <c r="AU308" s="91"/>
      <c r="AV308" s="92"/>
      <c r="AW308" s="90"/>
      <c r="AX308" s="91"/>
      <c r="AY308" s="93"/>
      <c r="AZ308" s="91"/>
      <c r="BA308" s="92"/>
      <c r="BB308" s="90"/>
      <c r="BC308" s="91"/>
      <c r="BD308" s="93"/>
      <c r="BE308" s="91"/>
      <c r="BF308" s="92"/>
      <c r="BG308" s="33">
        <f t="shared" si="2"/>
        <v>0</v>
      </c>
      <c r="BH308" s="27"/>
      <c r="BI308" s="27"/>
      <c r="BJ308" s="27"/>
    </row>
    <row r="309" ht="15.75" customHeight="1" spans="1:62">
      <c r="A309" s="29"/>
      <c r="B309" s="29"/>
      <c r="C309" s="29"/>
      <c r="D309" s="33">
        <v>300</v>
      </c>
      <c r="E309" s="31"/>
      <c r="F309" s="31"/>
      <c r="G309" s="32"/>
      <c r="H309" s="32"/>
      <c r="I309" s="33"/>
      <c r="J309" s="32" t="str">
        <f t="shared" si="0"/>
        <v/>
      </c>
      <c r="K309" s="32"/>
      <c r="L309" s="32"/>
      <c r="M309" s="32"/>
      <c r="N309" s="32"/>
      <c r="O309" s="32"/>
      <c r="P309" s="32"/>
      <c r="Q309" s="34"/>
      <c r="R309" s="30" t="str">
        <f ca="1" t="shared" si="4"/>
        <v/>
      </c>
      <c r="S309" s="33"/>
      <c r="T309" s="27"/>
      <c r="U309" s="27"/>
      <c r="V309" s="35"/>
      <c r="W309" s="30"/>
      <c r="X309" s="30"/>
      <c r="Y309" s="36"/>
      <c r="Z309" s="97"/>
      <c r="AA309" s="98"/>
      <c r="AB309" s="27"/>
      <c r="AC309" s="27"/>
      <c r="AD309" s="27"/>
      <c r="AE309" s="27"/>
      <c r="AF309" s="27"/>
      <c r="AG309" s="90"/>
      <c r="AH309" s="91"/>
      <c r="AI309" s="91"/>
      <c r="AJ309" s="92"/>
      <c r="AK309" s="90"/>
      <c r="AL309" s="91"/>
      <c r="AM309" s="91"/>
      <c r="AN309" s="92"/>
      <c r="AO309" s="90"/>
      <c r="AP309" s="91"/>
      <c r="AQ309" s="91"/>
      <c r="AR309" s="92"/>
      <c r="AS309" s="90"/>
      <c r="AT309" s="91"/>
      <c r="AU309" s="91"/>
      <c r="AV309" s="92"/>
      <c r="AW309" s="90"/>
      <c r="AX309" s="91"/>
      <c r="AY309" s="93"/>
      <c r="AZ309" s="91"/>
      <c r="BA309" s="92"/>
      <c r="BB309" s="90"/>
      <c r="BC309" s="91"/>
      <c r="BD309" s="93"/>
      <c r="BE309" s="91"/>
      <c r="BF309" s="92"/>
      <c r="BG309" s="33">
        <f t="shared" si="2"/>
        <v>0</v>
      </c>
      <c r="BH309" s="27"/>
      <c r="BI309" s="27"/>
      <c r="BJ309" s="27"/>
    </row>
    <row r="310" ht="15.75" customHeight="1" spans="1:62">
      <c r="A310" s="29"/>
      <c r="B310" s="29"/>
      <c r="C310" s="29"/>
      <c r="D310" s="33">
        <v>301</v>
      </c>
      <c r="E310" s="31"/>
      <c r="F310" s="31"/>
      <c r="G310" s="32"/>
      <c r="H310" s="32"/>
      <c r="I310" s="33"/>
      <c r="J310" s="32" t="str">
        <f t="shared" si="0"/>
        <v/>
      </c>
      <c r="K310" s="32"/>
      <c r="L310" s="32"/>
      <c r="M310" s="32"/>
      <c r="N310" s="32"/>
      <c r="O310" s="32"/>
      <c r="P310" s="32"/>
      <c r="Q310" s="34"/>
      <c r="R310" s="30" t="str">
        <f ca="1" t="shared" si="4"/>
        <v/>
      </c>
      <c r="S310" s="33"/>
      <c r="T310" s="27"/>
      <c r="U310" s="27"/>
      <c r="V310" s="35"/>
      <c r="W310" s="30"/>
      <c r="X310" s="30"/>
      <c r="Y310" s="36"/>
      <c r="Z310" s="97"/>
      <c r="AA310" s="98"/>
      <c r="AB310" s="27"/>
      <c r="AC310" s="27"/>
      <c r="AD310" s="27"/>
      <c r="AE310" s="27"/>
      <c r="AF310" s="27"/>
      <c r="AG310" s="90"/>
      <c r="AH310" s="91"/>
      <c r="AI310" s="91"/>
      <c r="AJ310" s="92"/>
      <c r="AK310" s="90"/>
      <c r="AL310" s="91"/>
      <c r="AM310" s="91"/>
      <c r="AN310" s="92"/>
      <c r="AO310" s="90"/>
      <c r="AP310" s="91"/>
      <c r="AQ310" s="91"/>
      <c r="AR310" s="92"/>
      <c r="AS310" s="90"/>
      <c r="AT310" s="91"/>
      <c r="AU310" s="91"/>
      <c r="AV310" s="92"/>
      <c r="AW310" s="90"/>
      <c r="AX310" s="91"/>
      <c r="AY310" s="93"/>
      <c r="AZ310" s="91"/>
      <c r="BA310" s="92"/>
      <c r="BB310" s="90"/>
      <c r="BC310" s="91"/>
      <c r="BD310" s="93"/>
      <c r="BE310" s="91"/>
      <c r="BF310" s="92"/>
      <c r="BG310" s="33">
        <f t="shared" si="2"/>
        <v>0</v>
      </c>
      <c r="BH310" s="27"/>
      <c r="BI310" s="27"/>
      <c r="BJ310" s="27"/>
    </row>
    <row r="311" ht="15.75" customHeight="1" spans="1:62">
      <c r="A311" s="29"/>
      <c r="B311" s="29"/>
      <c r="C311" s="29"/>
      <c r="D311" s="33">
        <v>302</v>
      </c>
      <c r="E311" s="31"/>
      <c r="F311" s="31"/>
      <c r="G311" s="32"/>
      <c r="H311" s="32"/>
      <c r="I311" s="33"/>
      <c r="J311" s="32" t="str">
        <f t="shared" si="0"/>
        <v/>
      </c>
      <c r="K311" s="32"/>
      <c r="L311" s="32"/>
      <c r="M311" s="32"/>
      <c r="N311" s="32"/>
      <c r="O311" s="32"/>
      <c r="P311" s="32"/>
      <c r="Q311" s="34"/>
      <c r="R311" s="30" t="str">
        <f ca="1" t="shared" si="4"/>
        <v/>
      </c>
      <c r="S311" s="33"/>
      <c r="T311" s="27"/>
      <c r="U311" s="27"/>
      <c r="V311" s="35"/>
      <c r="W311" s="30"/>
      <c r="X311" s="30"/>
      <c r="Y311" s="36"/>
      <c r="Z311" s="97"/>
      <c r="AA311" s="98"/>
      <c r="AB311" s="27"/>
      <c r="AC311" s="27"/>
      <c r="AD311" s="27"/>
      <c r="AE311" s="27"/>
      <c r="AF311" s="27"/>
      <c r="AG311" s="90"/>
      <c r="AH311" s="91"/>
      <c r="AI311" s="91"/>
      <c r="AJ311" s="92"/>
      <c r="AK311" s="90"/>
      <c r="AL311" s="91"/>
      <c r="AM311" s="91"/>
      <c r="AN311" s="92"/>
      <c r="AO311" s="90"/>
      <c r="AP311" s="91"/>
      <c r="AQ311" s="91"/>
      <c r="AR311" s="92"/>
      <c r="AS311" s="90"/>
      <c r="AT311" s="91"/>
      <c r="AU311" s="91"/>
      <c r="AV311" s="92"/>
      <c r="AW311" s="90"/>
      <c r="AX311" s="91"/>
      <c r="AY311" s="93"/>
      <c r="AZ311" s="91"/>
      <c r="BA311" s="92"/>
      <c r="BB311" s="90"/>
      <c r="BC311" s="91"/>
      <c r="BD311" s="93"/>
      <c r="BE311" s="91"/>
      <c r="BF311" s="92"/>
      <c r="BG311" s="33">
        <f t="shared" si="2"/>
        <v>0</v>
      </c>
      <c r="BH311" s="27"/>
      <c r="BI311" s="27"/>
      <c r="BJ311" s="27"/>
    </row>
    <row r="312" ht="15.75" customHeight="1" spans="1:62">
      <c r="A312" s="29"/>
      <c r="B312" s="29"/>
      <c r="C312" s="29"/>
      <c r="D312" s="33">
        <v>303</v>
      </c>
      <c r="E312" s="31"/>
      <c r="F312" s="31"/>
      <c r="G312" s="32"/>
      <c r="H312" s="32"/>
      <c r="I312" s="33"/>
      <c r="J312" s="32" t="str">
        <f t="shared" si="0"/>
        <v/>
      </c>
      <c r="K312" s="32"/>
      <c r="L312" s="32"/>
      <c r="M312" s="32"/>
      <c r="N312" s="32"/>
      <c r="O312" s="32"/>
      <c r="P312" s="32"/>
      <c r="Q312" s="34"/>
      <c r="R312" s="30" t="str">
        <f ca="1" t="shared" si="4"/>
        <v/>
      </c>
      <c r="S312" s="33"/>
      <c r="T312" s="27"/>
      <c r="U312" s="27"/>
      <c r="V312" s="35"/>
      <c r="W312" s="30"/>
      <c r="X312" s="30"/>
      <c r="Y312" s="36"/>
      <c r="Z312" s="97"/>
      <c r="AA312" s="98"/>
      <c r="AB312" s="27"/>
      <c r="AC312" s="27"/>
      <c r="AD312" s="27"/>
      <c r="AE312" s="27"/>
      <c r="AF312" s="27"/>
      <c r="AG312" s="90"/>
      <c r="AH312" s="91"/>
      <c r="AI312" s="91"/>
      <c r="AJ312" s="92"/>
      <c r="AK312" s="90"/>
      <c r="AL312" s="91"/>
      <c r="AM312" s="91"/>
      <c r="AN312" s="92"/>
      <c r="AO312" s="90"/>
      <c r="AP312" s="91"/>
      <c r="AQ312" s="91"/>
      <c r="AR312" s="92"/>
      <c r="AS312" s="90"/>
      <c r="AT312" s="91"/>
      <c r="AU312" s="91"/>
      <c r="AV312" s="92"/>
      <c r="AW312" s="90"/>
      <c r="AX312" s="91"/>
      <c r="AY312" s="93"/>
      <c r="AZ312" s="91"/>
      <c r="BA312" s="92"/>
      <c r="BB312" s="90"/>
      <c r="BC312" s="91"/>
      <c r="BD312" s="93"/>
      <c r="BE312" s="91"/>
      <c r="BF312" s="92"/>
      <c r="BG312" s="33">
        <f t="shared" si="2"/>
        <v>0</v>
      </c>
      <c r="BH312" s="27"/>
      <c r="BI312" s="27"/>
      <c r="BJ312" s="27"/>
    </row>
    <row r="313" ht="15.75" customHeight="1" spans="1:62">
      <c r="A313" s="29"/>
      <c r="B313" s="29"/>
      <c r="C313" s="29"/>
      <c r="D313" s="33">
        <v>304</v>
      </c>
      <c r="E313" s="31"/>
      <c r="F313" s="31"/>
      <c r="G313" s="32"/>
      <c r="H313" s="32"/>
      <c r="I313" s="33"/>
      <c r="J313" s="32" t="str">
        <f t="shared" si="0"/>
        <v/>
      </c>
      <c r="K313" s="32"/>
      <c r="L313" s="32"/>
      <c r="M313" s="32"/>
      <c r="N313" s="32"/>
      <c r="O313" s="32"/>
      <c r="P313" s="32"/>
      <c r="Q313" s="34"/>
      <c r="R313" s="30" t="str">
        <f ca="1" t="shared" si="4"/>
        <v/>
      </c>
      <c r="S313" s="33"/>
      <c r="T313" s="27"/>
      <c r="U313" s="27"/>
      <c r="V313" s="35"/>
      <c r="W313" s="30"/>
      <c r="X313" s="30"/>
      <c r="Y313" s="36"/>
      <c r="Z313" s="97"/>
      <c r="AA313" s="98"/>
      <c r="AB313" s="27"/>
      <c r="AC313" s="27"/>
      <c r="AD313" s="27"/>
      <c r="AE313" s="27"/>
      <c r="AF313" s="27"/>
      <c r="AG313" s="90"/>
      <c r="AH313" s="91"/>
      <c r="AI313" s="91"/>
      <c r="AJ313" s="92"/>
      <c r="AK313" s="90"/>
      <c r="AL313" s="91"/>
      <c r="AM313" s="91"/>
      <c r="AN313" s="92"/>
      <c r="AO313" s="90"/>
      <c r="AP313" s="91"/>
      <c r="AQ313" s="91"/>
      <c r="AR313" s="92"/>
      <c r="AS313" s="90"/>
      <c r="AT313" s="91"/>
      <c r="AU313" s="91"/>
      <c r="AV313" s="92"/>
      <c r="AW313" s="90"/>
      <c r="AX313" s="91"/>
      <c r="AY313" s="93"/>
      <c r="AZ313" s="91"/>
      <c r="BA313" s="92"/>
      <c r="BB313" s="90"/>
      <c r="BC313" s="91"/>
      <c r="BD313" s="93"/>
      <c r="BE313" s="91"/>
      <c r="BF313" s="92"/>
      <c r="BG313" s="33">
        <f t="shared" si="2"/>
        <v>0</v>
      </c>
      <c r="BH313" s="27"/>
      <c r="BI313" s="27"/>
      <c r="BJ313" s="27"/>
    </row>
    <row r="314" ht="15.75" customHeight="1" spans="1:62">
      <c r="A314" s="29"/>
      <c r="B314" s="29"/>
      <c r="C314" s="29"/>
      <c r="D314" s="33">
        <v>305</v>
      </c>
      <c r="E314" s="31"/>
      <c r="F314" s="31"/>
      <c r="G314" s="32"/>
      <c r="H314" s="32"/>
      <c r="I314" s="33"/>
      <c r="J314" s="32" t="str">
        <f t="shared" si="0"/>
        <v/>
      </c>
      <c r="K314" s="32"/>
      <c r="L314" s="32"/>
      <c r="M314" s="32"/>
      <c r="N314" s="32"/>
      <c r="O314" s="32"/>
      <c r="P314" s="32"/>
      <c r="Q314" s="34"/>
      <c r="R314" s="30" t="str">
        <f ca="1" t="shared" si="4"/>
        <v/>
      </c>
      <c r="S314" s="33"/>
      <c r="T314" s="27"/>
      <c r="U314" s="27"/>
      <c r="V314" s="35"/>
      <c r="W314" s="30"/>
      <c r="X314" s="30"/>
      <c r="Y314" s="36"/>
      <c r="Z314" s="97"/>
      <c r="AA314" s="98"/>
      <c r="AB314" s="27"/>
      <c r="AC314" s="27"/>
      <c r="AD314" s="27"/>
      <c r="AE314" s="27"/>
      <c r="AF314" s="27"/>
      <c r="AG314" s="90"/>
      <c r="AH314" s="91"/>
      <c r="AI314" s="91"/>
      <c r="AJ314" s="92"/>
      <c r="AK314" s="90"/>
      <c r="AL314" s="91"/>
      <c r="AM314" s="91"/>
      <c r="AN314" s="92"/>
      <c r="AO314" s="90"/>
      <c r="AP314" s="91"/>
      <c r="AQ314" s="91"/>
      <c r="AR314" s="92"/>
      <c r="AS314" s="90"/>
      <c r="AT314" s="91"/>
      <c r="AU314" s="91"/>
      <c r="AV314" s="92"/>
      <c r="AW314" s="90"/>
      <c r="AX314" s="91"/>
      <c r="AY314" s="93"/>
      <c r="AZ314" s="91"/>
      <c r="BA314" s="92"/>
      <c r="BB314" s="90"/>
      <c r="BC314" s="91"/>
      <c r="BD314" s="93"/>
      <c r="BE314" s="91"/>
      <c r="BF314" s="92"/>
      <c r="BG314" s="33">
        <f t="shared" si="2"/>
        <v>0</v>
      </c>
      <c r="BH314" s="27"/>
      <c r="BI314" s="27"/>
      <c r="BJ314" s="27"/>
    </row>
    <row r="315" ht="15.75" customHeight="1" spans="1:62">
      <c r="A315" s="29"/>
      <c r="B315" s="29"/>
      <c r="C315" s="29"/>
      <c r="D315" s="33">
        <v>306</v>
      </c>
      <c r="E315" s="31"/>
      <c r="F315" s="31"/>
      <c r="G315" s="32"/>
      <c r="H315" s="32"/>
      <c r="I315" s="33"/>
      <c r="J315" s="32" t="str">
        <f t="shared" si="0"/>
        <v/>
      </c>
      <c r="K315" s="32"/>
      <c r="L315" s="32"/>
      <c r="M315" s="32"/>
      <c r="N315" s="32"/>
      <c r="O315" s="32"/>
      <c r="P315" s="32"/>
      <c r="Q315" s="34"/>
      <c r="R315" s="30" t="str">
        <f ca="1" t="shared" si="4"/>
        <v/>
      </c>
      <c r="S315" s="33"/>
      <c r="T315" s="27"/>
      <c r="U315" s="27"/>
      <c r="V315" s="35"/>
      <c r="W315" s="30"/>
      <c r="X315" s="30"/>
      <c r="Y315" s="36"/>
      <c r="Z315" s="97"/>
      <c r="AA315" s="98"/>
      <c r="AB315" s="27"/>
      <c r="AC315" s="27"/>
      <c r="AD315" s="27"/>
      <c r="AE315" s="27"/>
      <c r="AF315" s="27"/>
      <c r="AG315" s="90"/>
      <c r="AH315" s="91"/>
      <c r="AI315" s="91"/>
      <c r="AJ315" s="92"/>
      <c r="AK315" s="90"/>
      <c r="AL315" s="91"/>
      <c r="AM315" s="91"/>
      <c r="AN315" s="92"/>
      <c r="AO315" s="90"/>
      <c r="AP315" s="91"/>
      <c r="AQ315" s="91"/>
      <c r="AR315" s="92"/>
      <c r="AS315" s="90"/>
      <c r="AT315" s="91"/>
      <c r="AU315" s="91"/>
      <c r="AV315" s="92"/>
      <c r="AW315" s="90"/>
      <c r="AX315" s="91"/>
      <c r="AY315" s="93"/>
      <c r="AZ315" s="91"/>
      <c r="BA315" s="92"/>
      <c r="BB315" s="90"/>
      <c r="BC315" s="91"/>
      <c r="BD315" s="93"/>
      <c r="BE315" s="91"/>
      <c r="BF315" s="92"/>
      <c r="BG315" s="33">
        <f t="shared" si="2"/>
        <v>0</v>
      </c>
      <c r="BH315" s="27"/>
      <c r="BI315" s="27"/>
      <c r="BJ315" s="27"/>
    </row>
    <row r="316" ht="15.75" customHeight="1" spans="1:62">
      <c r="A316" s="29"/>
      <c r="B316" s="29"/>
      <c r="C316" s="29"/>
      <c r="D316" s="33">
        <v>307</v>
      </c>
      <c r="E316" s="31"/>
      <c r="F316" s="31"/>
      <c r="G316" s="32"/>
      <c r="H316" s="32"/>
      <c r="I316" s="33"/>
      <c r="J316" s="32" t="str">
        <f t="shared" si="0"/>
        <v/>
      </c>
      <c r="K316" s="32"/>
      <c r="L316" s="32"/>
      <c r="M316" s="32"/>
      <c r="N316" s="32"/>
      <c r="O316" s="32"/>
      <c r="P316" s="32"/>
      <c r="Q316" s="34"/>
      <c r="R316" s="30" t="str">
        <f ca="1" t="shared" si="4"/>
        <v/>
      </c>
      <c r="S316" s="33"/>
      <c r="T316" s="27"/>
      <c r="U316" s="27"/>
      <c r="V316" s="35"/>
      <c r="W316" s="30"/>
      <c r="X316" s="30"/>
      <c r="Y316" s="36"/>
      <c r="Z316" s="97"/>
      <c r="AA316" s="98"/>
      <c r="AB316" s="27"/>
      <c r="AC316" s="27"/>
      <c r="AD316" s="27"/>
      <c r="AE316" s="27"/>
      <c r="AF316" s="27"/>
      <c r="AG316" s="90"/>
      <c r="AH316" s="91"/>
      <c r="AI316" s="91"/>
      <c r="AJ316" s="92"/>
      <c r="AK316" s="90"/>
      <c r="AL316" s="91"/>
      <c r="AM316" s="91"/>
      <c r="AN316" s="92"/>
      <c r="AO316" s="90"/>
      <c r="AP316" s="91"/>
      <c r="AQ316" s="91"/>
      <c r="AR316" s="92"/>
      <c r="AS316" s="90"/>
      <c r="AT316" s="91"/>
      <c r="AU316" s="91"/>
      <c r="AV316" s="92"/>
      <c r="AW316" s="90"/>
      <c r="AX316" s="91"/>
      <c r="AY316" s="93"/>
      <c r="AZ316" s="91"/>
      <c r="BA316" s="92"/>
      <c r="BB316" s="90"/>
      <c r="BC316" s="91"/>
      <c r="BD316" s="93"/>
      <c r="BE316" s="91"/>
      <c r="BF316" s="92"/>
      <c r="BG316" s="33">
        <f t="shared" si="2"/>
        <v>0</v>
      </c>
      <c r="BH316" s="27"/>
      <c r="BI316" s="27"/>
      <c r="BJ316" s="27"/>
    </row>
    <row r="317" ht="15.75" customHeight="1" spans="1:62">
      <c r="A317" s="29"/>
      <c r="B317" s="29"/>
      <c r="C317" s="29"/>
      <c r="D317" s="33">
        <v>308</v>
      </c>
      <c r="E317" s="31"/>
      <c r="F317" s="31"/>
      <c r="G317" s="32"/>
      <c r="H317" s="32"/>
      <c r="I317" s="33"/>
      <c r="J317" s="32" t="str">
        <f t="shared" si="0"/>
        <v/>
      </c>
      <c r="K317" s="32"/>
      <c r="L317" s="32"/>
      <c r="M317" s="32"/>
      <c r="N317" s="32"/>
      <c r="O317" s="32"/>
      <c r="P317" s="32"/>
      <c r="Q317" s="34"/>
      <c r="R317" s="30" t="str">
        <f ca="1" t="shared" si="4"/>
        <v/>
      </c>
      <c r="S317" s="33"/>
      <c r="T317" s="27"/>
      <c r="U317" s="27"/>
      <c r="V317" s="35"/>
      <c r="W317" s="30"/>
      <c r="X317" s="30"/>
      <c r="Y317" s="36"/>
      <c r="Z317" s="97"/>
      <c r="AA317" s="98"/>
      <c r="AB317" s="27"/>
      <c r="AC317" s="27"/>
      <c r="AD317" s="27"/>
      <c r="AE317" s="27"/>
      <c r="AF317" s="27"/>
      <c r="AG317" s="90"/>
      <c r="AH317" s="91"/>
      <c r="AI317" s="91"/>
      <c r="AJ317" s="92"/>
      <c r="AK317" s="90"/>
      <c r="AL317" s="91"/>
      <c r="AM317" s="91"/>
      <c r="AN317" s="92"/>
      <c r="AO317" s="90"/>
      <c r="AP317" s="91"/>
      <c r="AQ317" s="91"/>
      <c r="AR317" s="92"/>
      <c r="AS317" s="90"/>
      <c r="AT317" s="91"/>
      <c r="AU317" s="91"/>
      <c r="AV317" s="92"/>
      <c r="AW317" s="90"/>
      <c r="AX317" s="91"/>
      <c r="AY317" s="93"/>
      <c r="AZ317" s="91"/>
      <c r="BA317" s="92"/>
      <c r="BB317" s="90"/>
      <c r="BC317" s="91"/>
      <c r="BD317" s="93"/>
      <c r="BE317" s="91"/>
      <c r="BF317" s="92"/>
      <c r="BG317" s="33">
        <f t="shared" si="2"/>
        <v>0</v>
      </c>
      <c r="BH317" s="27"/>
      <c r="BI317" s="27"/>
      <c r="BJ317" s="27"/>
    </row>
    <row r="318" ht="15.75" customHeight="1" spans="1:62">
      <c r="A318" s="29"/>
      <c r="B318" s="29"/>
      <c r="C318" s="29"/>
      <c r="D318" s="33">
        <v>309</v>
      </c>
      <c r="E318" s="31"/>
      <c r="F318" s="31"/>
      <c r="G318" s="32"/>
      <c r="H318" s="32"/>
      <c r="I318" s="33"/>
      <c r="J318" s="32" t="str">
        <f t="shared" si="0"/>
        <v/>
      </c>
      <c r="K318" s="32"/>
      <c r="L318" s="32"/>
      <c r="M318" s="32"/>
      <c r="N318" s="32"/>
      <c r="O318" s="32"/>
      <c r="P318" s="32"/>
      <c r="Q318" s="34"/>
      <c r="R318" s="30" t="str">
        <f ca="1" t="shared" si="4"/>
        <v/>
      </c>
      <c r="S318" s="33"/>
      <c r="T318" s="27"/>
      <c r="U318" s="27"/>
      <c r="V318" s="35"/>
      <c r="W318" s="30"/>
      <c r="X318" s="30"/>
      <c r="Y318" s="36"/>
      <c r="Z318" s="97"/>
      <c r="AA318" s="98"/>
      <c r="AB318" s="27"/>
      <c r="AC318" s="27"/>
      <c r="AD318" s="27"/>
      <c r="AE318" s="27"/>
      <c r="AF318" s="27"/>
      <c r="AG318" s="90"/>
      <c r="AH318" s="91"/>
      <c r="AI318" s="91"/>
      <c r="AJ318" s="92"/>
      <c r="AK318" s="90"/>
      <c r="AL318" s="91"/>
      <c r="AM318" s="91"/>
      <c r="AN318" s="92"/>
      <c r="AO318" s="90"/>
      <c r="AP318" s="91"/>
      <c r="AQ318" s="91"/>
      <c r="AR318" s="92"/>
      <c r="AS318" s="90"/>
      <c r="AT318" s="91"/>
      <c r="AU318" s="91"/>
      <c r="AV318" s="92"/>
      <c r="AW318" s="90"/>
      <c r="AX318" s="91"/>
      <c r="AY318" s="93"/>
      <c r="AZ318" s="91"/>
      <c r="BA318" s="92"/>
      <c r="BB318" s="90"/>
      <c r="BC318" s="91"/>
      <c r="BD318" s="93"/>
      <c r="BE318" s="91"/>
      <c r="BF318" s="92"/>
      <c r="BG318" s="33">
        <f t="shared" si="2"/>
        <v>0</v>
      </c>
      <c r="BH318" s="27"/>
      <c r="BI318" s="27"/>
      <c r="BJ318" s="27"/>
    </row>
    <row r="319" ht="15.75" customHeight="1" spans="1:62">
      <c r="A319" s="29"/>
      <c r="B319" s="29"/>
      <c r="C319" s="29"/>
      <c r="D319" s="33">
        <v>310</v>
      </c>
      <c r="E319" s="31"/>
      <c r="F319" s="31"/>
      <c r="G319" s="32"/>
      <c r="H319" s="32"/>
      <c r="I319" s="33"/>
      <c r="J319" s="32" t="str">
        <f t="shared" si="0"/>
        <v/>
      </c>
      <c r="K319" s="32"/>
      <c r="L319" s="32"/>
      <c r="M319" s="32"/>
      <c r="N319" s="32"/>
      <c r="O319" s="32"/>
      <c r="P319" s="32"/>
      <c r="Q319" s="34"/>
      <c r="R319" s="30" t="str">
        <f ca="1" t="shared" si="4"/>
        <v/>
      </c>
      <c r="S319" s="33"/>
      <c r="T319" s="27"/>
      <c r="U319" s="27"/>
      <c r="V319" s="35"/>
      <c r="W319" s="30"/>
      <c r="X319" s="30"/>
      <c r="Y319" s="36"/>
      <c r="Z319" s="97"/>
      <c r="AA319" s="98"/>
      <c r="AB319" s="27"/>
      <c r="AC319" s="27"/>
      <c r="AD319" s="27"/>
      <c r="AE319" s="27"/>
      <c r="AF319" s="27"/>
      <c r="AG319" s="90"/>
      <c r="AH319" s="91"/>
      <c r="AI319" s="91"/>
      <c r="AJ319" s="92"/>
      <c r="AK319" s="90"/>
      <c r="AL319" s="91"/>
      <c r="AM319" s="91"/>
      <c r="AN319" s="92"/>
      <c r="AO319" s="90"/>
      <c r="AP319" s="91"/>
      <c r="AQ319" s="91"/>
      <c r="AR319" s="92"/>
      <c r="AS319" s="90"/>
      <c r="AT319" s="91"/>
      <c r="AU319" s="91"/>
      <c r="AV319" s="92"/>
      <c r="AW319" s="90"/>
      <c r="AX319" s="91"/>
      <c r="AY319" s="93"/>
      <c r="AZ319" s="91"/>
      <c r="BA319" s="92"/>
      <c r="BB319" s="90"/>
      <c r="BC319" s="91"/>
      <c r="BD319" s="93"/>
      <c r="BE319" s="91"/>
      <c r="BF319" s="92"/>
      <c r="BG319" s="33">
        <f t="shared" si="2"/>
        <v>0</v>
      </c>
      <c r="BH319" s="27"/>
      <c r="BI319" s="27"/>
      <c r="BJ319" s="27"/>
    </row>
    <row r="320" ht="15.75" customHeight="1" spans="1:62">
      <c r="A320" s="29"/>
      <c r="B320" s="29"/>
      <c r="C320" s="29"/>
      <c r="D320" s="33">
        <v>311</v>
      </c>
      <c r="E320" s="31"/>
      <c r="F320" s="31"/>
      <c r="G320" s="32"/>
      <c r="H320" s="32"/>
      <c r="I320" s="33"/>
      <c r="J320" s="32" t="str">
        <f t="shared" si="0"/>
        <v/>
      </c>
      <c r="K320" s="32"/>
      <c r="L320" s="32"/>
      <c r="M320" s="32"/>
      <c r="N320" s="32"/>
      <c r="O320" s="32"/>
      <c r="P320" s="32"/>
      <c r="Q320" s="34"/>
      <c r="R320" s="30" t="str">
        <f ca="1" t="shared" si="4"/>
        <v/>
      </c>
      <c r="S320" s="33"/>
      <c r="T320" s="27"/>
      <c r="U320" s="27"/>
      <c r="V320" s="35"/>
      <c r="W320" s="30"/>
      <c r="X320" s="30"/>
      <c r="Y320" s="36"/>
      <c r="Z320" s="97"/>
      <c r="AA320" s="98"/>
      <c r="AB320" s="27"/>
      <c r="AC320" s="27"/>
      <c r="AD320" s="27"/>
      <c r="AE320" s="27"/>
      <c r="AF320" s="27"/>
      <c r="AG320" s="90"/>
      <c r="AH320" s="91"/>
      <c r="AI320" s="91"/>
      <c r="AJ320" s="92"/>
      <c r="AK320" s="90"/>
      <c r="AL320" s="91"/>
      <c r="AM320" s="91"/>
      <c r="AN320" s="92"/>
      <c r="AO320" s="90"/>
      <c r="AP320" s="91"/>
      <c r="AQ320" s="91"/>
      <c r="AR320" s="92"/>
      <c r="AS320" s="90"/>
      <c r="AT320" s="91"/>
      <c r="AU320" s="91"/>
      <c r="AV320" s="92"/>
      <c r="AW320" s="90"/>
      <c r="AX320" s="91"/>
      <c r="AY320" s="93"/>
      <c r="AZ320" s="91"/>
      <c r="BA320" s="92"/>
      <c r="BB320" s="90"/>
      <c r="BC320" s="91"/>
      <c r="BD320" s="93"/>
      <c r="BE320" s="91"/>
      <c r="BF320" s="92"/>
      <c r="BG320" s="33">
        <f t="shared" si="2"/>
        <v>0</v>
      </c>
      <c r="BH320" s="27"/>
      <c r="BI320" s="27"/>
      <c r="BJ320" s="27"/>
    </row>
    <row r="321" ht="15.75" customHeight="1" spans="1:62">
      <c r="A321" s="29"/>
      <c r="B321" s="29"/>
      <c r="C321" s="29"/>
      <c r="D321" s="33">
        <v>312</v>
      </c>
      <c r="E321" s="31"/>
      <c r="F321" s="31"/>
      <c r="G321" s="32"/>
      <c r="H321" s="32"/>
      <c r="I321" s="33"/>
      <c r="J321" s="32" t="str">
        <f t="shared" si="0"/>
        <v/>
      </c>
      <c r="K321" s="32"/>
      <c r="L321" s="32"/>
      <c r="M321" s="32"/>
      <c r="N321" s="32"/>
      <c r="O321" s="32"/>
      <c r="P321" s="32"/>
      <c r="Q321" s="34"/>
      <c r="R321" s="30" t="str">
        <f ca="1" t="shared" si="4"/>
        <v/>
      </c>
      <c r="S321" s="33"/>
      <c r="T321" s="27"/>
      <c r="U321" s="27"/>
      <c r="V321" s="35"/>
      <c r="W321" s="30"/>
      <c r="X321" s="30"/>
      <c r="Y321" s="36"/>
      <c r="Z321" s="97"/>
      <c r="AA321" s="98"/>
      <c r="AB321" s="27"/>
      <c r="AC321" s="27"/>
      <c r="AD321" s="27"/>
      <c r="AE321" s="27"/>
      <c r="AF321" s="27"/>
      <c r="AG321" s="90"/>
      <c r="AH321" s="91"/>
      <c r="AI321" s="91"/>
      <c r="AJ321" s="92"/>
      <c r="AK321" s="90"/>
      <c r="AL321" s="91"/>
      <c r="AM321" s="91"/>
      <c r="AN321" s="92"/>
      <c r="AO321" s="90"/>
      <c r="AP321" s="91"/>
      <c r="AQ321" s="91"/>
      <c r="AR321" s="92"/>
      <c r="AS321" s="90"/>
      <c r="AT321" s="91"/>
      <c r="AU321" s="91"/>
      <c r="AV321" s="92"/>
      <c r="AW321" s="90"/>
      <c r="AX321" s="91"/>
      <c r="AY321" s="93"/>
      <c r="AZ321" s="91"/>
      <c r="BA321" s="92"/>
      <c r="BB321" s="90"/>
      <c r="BC321" s="91"/>
      <c r="BD321" s="93"/>
      <c r="BE321" s="91"/>
      <c r="BF321" s="92"/>
      <c r="BG321" s="33">
        <f t="shared" si="2"/>
        <v>0</v>
      </c>
      <c r="BH321" s="27"/>
      <c r="BI321" s="27"/>
      <c r="BJ321" s="27"/>
    </row>
    <row r="322" ht="15.75" customHeight="1" spans="1:62">
      <c r="A322" s="29"/>
      <c r="B322" s="29"/>
      <c r="C322" s="29"/>
      <c r="D322" s="33">
        <v>313</v>
      </c>
      <c r="E322" s="31"/>
      <c r="F322" s="31"/>
      <c r="G322" s="32"/>
      <c r="H322" s="32"/>
      <c r="I322" s="33"/>
      <c r="J322" s="32" t="str">
        <f t="shared" si="0"/>
        <v/>
      </c>
      <c r="K322" s="32"/>
      <c r="L322" s="32"/>
      <c r="M322" s="32"/>
      <c r="N322" s="32"/>
      <c r="O322" s="32"/>
      <c r="P322" s="32"/>
      <c r="Q322" s="34"/>
      <c r="R322" s="30" t="str">
        <f ca="1" t="shared" si="4"/>
        <v/>
      </c>
      <c r="S322" s="33"/>
      <c r="T322" s="27"/>
      <c r="U322" s="27"/>
      <c r="V322" s="35"/>
      <c r="W322" s="30"/>
      <c r="X322" s="30"/>
      <c r="Y322" s="36"/>
      <c r="Z322" s="97"/>
      <c r="AA322" s="98"/>
      <c r="AB322" s="27"/>
      <c r="AC322" s="27"/>
      <c r="AD322" s="27"/>
      <c r="AE322" s="27"/>
      <c r="AF322" s="27"/>
      <c r="AG322" s="90"/>
      <c r="AH322" s="91"/>
      <c r="AI322" s="91"/>
      <c r="AJ322" s="92"/>
      <c r="AK322" s="90"/>
      <c r="AL322" s="91"/>
      <c r="AM322" s="91"/>
      <c r="AN322" s="92"/>
      <c r="AO322" s="90"/>
      <c r="AP322" s="91"/>
      <c r="AQ322" s="91"/>
      <c r="AR322" s="92"/>
      <c r="AS322" s="90"/>
      <c r="AT322" s="91"/>
      <c r="AU322" s="91"/>
      <c r="AV322" s="92"/>
      <c r="AW322" s="90"/>
      <c r="AX322" s="91"/>
      <c r="AY322" s="93"/>
      <c r="AZ322" s="91"/>
      <c r="BA322" s="92"/>
      <c r="BB322" s="90"/>
      <c r="BC322" s="91"/>
      <c r="BD322" s="93"/>
      <c r="BE322" s="91"/>
      <c r="BF322" s="92"/>
      <c r="BG322" s="33">
        <f t="shared" si="2"/>
        <v>0</v>
      </c>
      <c r="BH322" s="27"/>
      <c r="BI322" s="27"/>
      <c r="BJ322" s="27"/>
    </row>
    <row r="323" ht="15.75" customHeight="1" spans="1:62">
      <c r="A323" s="29"/>
      <c r="B323" s="29"/>
      <c r="C323" s="29"/>
      <c r="D323" s="33">
        <v>314</v>
      </c>
      <c r="E323" s="31"/>
      <c r="F323" s="31"/>
      <c r="G323" s="32"/>
      <c r="H323" s="32"/>
      <c r="I323" s="33"/>
      <c r="J323" s="32" t="str">
        <f t="shared" si="0"/>
        <v/>
      </c>
      <c r="K323" s="32"/>
      <c r="L323" s="32"/>
      <c r="M323" s="32"/>
      <c r="N323" s="32"/>
      <c r="O323" s="32"/>
      <c r="P323" s="32"/>
      <c r="Q323" s="34"/>
      <c r="R323" s="30" t="str">
        <f ca="1" t="shared" si="4"/>
        <v/>
      </c>
      <c r="S323" s="33"/>
      <c r="T323" s="27"/>
      <c r="U323" s="27"/>
      <c r="V323" s="35"/>
      <c r="W323" s="30"/>
      <c r="X323" s="30"/>
      <c r="Y323" s="36"/>
      <c r="Z323" s="97"/>
      <c r="AA323" s="98"/>
      <c r="AB323" s="27"/>
      <c r="AC323" s="27"/>
      <c r="AD323" s="27"/>
      <c r="AE323" s="27"/>
      <c r="AF323" s="27"/>
      <c r="AG323" s="90"/>
      <c r="AH323" s="91"/>
      <c r="AI323" s="91"/>
      <c r="AJ323" s="92"/>
      <c r="AK323" s="90"/>
      <c r="AL323" s="91"/>
      <c r="AM323" s="91"/>
      <c r="AN323" s="92"/>
      <c r="AO323" s="90"/>
      <c r="AP323" s="91"/>
      <c r="AQ323" s="91"/>
      <c r="AR323" s="92"/>
      <c r="AS323" s="90"/>
      <c r="AT323" s="91"/>
      <c r="AU323" s="91"/>
      <c r="AV323" s="92"/>
      <c r="AW323" s="90"/>
      <c r="AX323" s="91"/>
      <c r="AY323" s="93"/>
      <c r="AZ323" s="91"/>
      <c r="BA323" s="92"/>
      <c r="BB323" s="90"/>
      <c r="BC323" s="91"/>
      <c r="BD323" s="93"/>
      <c r="BE323" s="91"/>
      <c r="BF323" s="92"/>
      <c r="BG323" s="33">
        <f t="shared" si="2"/>
        <v>0</v>
      </c>
      <c r="BH323" s="27"/>
      <c r="BI323" s="27"/>
      <c r="BJ323" s="27"/>
    </row>
    <row r="324" ht="15.75" customHeight="1" spans="1:62">
      <c r="A324" s="29"/>
      <c r="B324" s="29"/>
      <c r="C324" s="29"/>
      <c r="D324" s="33">
        <v>315</v>
      </c>
      <c r="E324" s="31"/>
      <c r="F324" s="31"/>
      <c r="G324" s="32"/>
      <c r="H324" s="32"/>
      <c r="I324" s="33"/>
      <c r="J324" s="32" t="str">
        <f t="shared" si="0"/>
        <v/>
      </c>
      <c r="K324" s="32"/>
      <c r="L324" s="32"/>
      <c r="M324" s="32"/>
      <c r="N324" s="32"/>
      <c r="O324" s="32"/>
      <c r="P324" s="32"/>
      <c r="Q324" s="34"/>
      <c r="R324" s="30" t="str">
        <f ca="1" t="shared" si="4"/>
        <v/>
      </c>
      <c r="S324" s="33"/>
      <c r="T324" s="27"/>
      <c r="U324" s="27"/>
      <c r="V324" s="35"/>
      <c r="W324" s="30"/>
      <c r="X324" s="30"/>
      <c r="Y324" s="36"/>
      <c r="Z324" s="97"/>
      <c r="AA324" s="98"/>
      <c r="AB324" s="27"/>
      <c r="AC324" s="27"/>
      <c r="AD324" s="27"/>
      <c r="AE324" s="27"/>
      <c r="AF324" s="27"/>
      <c r="AG324" s="90"/>
      <c r="AH324" s="91"/>
      <c r="AI324" s="91"/>
      <c r="AJ324" s="92"/>
      <c r="AK324" s="90"/>
      <c r="AL324" s="91"/>
      <c r="AM324" s="91"/>
      <c r="AN324" s="92"/>
      <c r="AO324" s="90"/>
      <c r="AP324" s="91"/>
      <c r="AQ324" s="91"/>
      <c r="AR324" s="92"/>
      <c r="AS324" s="90"/>
      <c r="AT324" s="91"/>
      <c r="AU324" s="91"/>
      <c r="AV324" s="92"/>
      <c r="AW324" s="90"/>
      <c r="AX324" s="91"/>
      <c r="AY324" s="93"/>
      <c r="AZ324" s="91"/>
      <c r="BA324" s="92"/>
      <c r="BB324" s="90"/>
      <c r="BC324" s="91"/>
      <c r="BD324" s="93"/>
      <c r="BE324" s="91"/>
      <c r="BF324" s="92"/>
      <c r="BG324" s="33">
        <f t="shared" si="2"/>
        <v>0</v>
      </c>
      <c r="BH324" s="27"/>
      <c r="BI324" s="27"/>
      <c r="BJ324" s="27"/>
    </row>
    <row r="325" ht="15.75" customHeight="1" spans="1:62">
      <c r="A325" s="29"/>
      <c r="B325" s="29"/>
      <c r="C325" s="29"/>
      <c r="D325" s="33">
        <v>316</v>
      </c>
      <c r="E325" s="31"/>
      <c r="F325" s="31"/>
      <c r="G325" s="32"/>
      <c r="H325" s="32"/>
      <c r="I325" s="33"/>
      <c r="J325" s="32" t="str">
        <f t="shared" si="0"/>
        <v/>
      </c>
      <c r="K325" s="32"/>
      <c r="L325" s="32"/>
      <c r="M325" s="32"/>
      <c r="N325" s="32"/>
      <c r="O325" s="32"/>
      <c r="P325" s="32"/>
      <c r="Q325" s="34"/>
      <c r="R325" s="30" t="str">
        <f ca="1" t="shared" si="4"/>
        <v/>
      </c>
      <c r="S325" s="33"/>
      <c r="T325" s="27"/>
      <c r="U325" s="27"/>
      <c r="V325" s="35"/>
      <c r="W325" s="30"/>
      <c r="X325" s="30"/>
      <c r="Y325" s="36"/>
      <c r="Z325" s="97"/>
      <c r="AA325" s="98"/>
      <c r="AB325" s="27"/>
      <c r="AC325" s="27"/>
      <c r="AD325" s="27"/>
      <c r="AE325" s="27"/>
      <c r="AF325" s="27"/>
      <c r="AG325" s="90"/>
      <c r="AH325" s="91"/>
      <c r="AI325" s="91"/>
      <c r="AJ325" s="92"/>
      <c r="AK325" s="90"/>
      <c r="AL325" s="91"/>
      <c r="AM325" s="91"/>
      <c r="AN325" s="92"/>
      <c r="AO325" s="90"/>
      <c r="AP325" s="91"/>
      <c r="AQ325" s="91"/>
      <c r="AR325" s="92"/>
      <c r="AS325" s="90"/>
      <c r="AT325" s="91"/>
      <c r="AU325" s="91"/>
      <c r="AV325" s="92"/>
      <c r="AW325" s="90"/>
      <c r="AX325" s="91"/>
      <c r="AY325" s="93"/>
      <c r="AZ325" s="91"/>
      <c r="BA325" s="92"/>
      <c r="BB325" s="90"/>
      <c r="BC325" s="91"/>
      <c r="BD325" s="93"/>
      <c r="BE325" s="91"/>
      <c r="BF325" s="92"/>
      <c r="BG325" s="33">
        <f t="shared" si="2"/>
        <v>0</v>
      </c>
      <c r="BH325" s="27"/>
      <c r="BI325" s="27"/>
      <c r="BJ325" s="27"/>
    </row>
    <row r="326" ht="15.75" customHeight="1" spans="1:62">
      <c r="A326" s="29"/>
      <c r="B326" s="29"/>
      <c r="C326" s="29"/>
      <c r="D326" s="33">
        <v>317</v>
      </c>
      <c r="E326" s="31"/>
      <c r="F326" s="31"/>
      <c r="G326" s="32"/>
      <c r="H326" s="32"/>
      <c r="I326" s="33"/>
      <c r="J326" s="32" t="str">
        <f t="shared" si="0"/>
        <v/>
      </c>
      <c r="K326" s="32"/>
      <c r="L326" s="32"/>
      <c r="M326" s="32"/>
      <c r="N326" s="32"/>
      <c r="O326" s="32"/>
      <c r="P326" s="32"/>
      <c r="Q326" s="34"/>
      <c r="R326" s="30" t="str">
        <f ca="1" t="shared" si="4"/>
        <v/>
      </c>
      <c r="S326" s="33"/>
      <c r="T326" s="27"/>
      <c r="U326" s="27"/>
      <c r="V326" s="35"/>
      <c r="W326" s="30"/>
      <c r="X326" s="30"/>
      <c r="Y326" s="36"/>
      <c r="Z326" s="97"/>
      <c r="AA326" s="98"/>
      <c r="AB326" s="27"/>
      <c r="AC326" s="27"/>
      <c r="AD326" s="27"/>
      <c r="AE326" s="27"/>
      <c r="AF326" s="27"/>
      <c r="AG326" s="90"/>
      <c r="AH326" s="91"/>
      <c r="AI326" s="91"/>
      <c r="AJ326" s="92"/>
      <c r="AK326" s="90"/>
      <c r="AL326" s="91"/>
      <c r="AM326" s="91"/>
      <c r="AN326" s="92"/>
      <c r="AO326" s="90"/>
      <c r="AP326" s="91"/>
      <c r="AQ326" s="91"/>
      <c r="AR326" s="92"/>
      <c r="AS326" s="90"/>
      <c r="AT326" s="91"/>
      <c r="AU326" s="91"/>
      <c r="AV326" s="92"/>
      <c r="AW326" s="90"/>
      <c r="AX326" s="91"/>
      <c r="AY326" s="93"/>
      <c r="AZ326" s="91"/>
      <c r="BA326" s="92"/>
      <c r="BB326" s="90"/>
      <c r="BC326" s="91"/>
      <c r="BD326" s="93"/>
      <c r="BE326" s="91"/>
      <c r="BF326" s="92"/>
      <c r="BG326" s="33">
        <f t="shared" si="2"/>
        <v>0</v>
      </c>
      <c r="BH326" s="27"/>
      <c r="BI326" s="27"/>
      <c r="BJ326" s="27"/>
    </row>
    <row r="327" ht="15.75" customHeight="1" spans="1:62">
      <c r="A327" s="29"/>
      <c r="B327" s="29"/>
      <c r="C327" s="29"/>
      <c r="D327" s="33">
        <v>318</v>
      </c>
      <c r="E327" s="31"/>
      <c r="F327" s="31"/>
      <c r="G327" s="32"/>
      <c r="H327" s="32"/>
      <c r="I327" s="33"/>
      <c r="J327" s="32" t="str">
        <f t="shared" si="0"/>
        <v/>
      </c>
      <c r="K327" s="32"/>
      <c r="L327" s="32"/>
      <c r="M327" s="32"/>
      <c r="N327" s="32"/>
      <c r="O327" s="32"/>
      <c r="P327" s="32"/>
      <c r="Q327" s="34"/>
      <c r="R327" s="30" t="str">
        <f ca="1" t="shared" si="4"/>
        <v/>
      </c>
      <c r="S327" s="33"/>
      <c r="T327" s="27"/>
      <c r="U327" s="27"/>
      <c r="V327" s="35"/>
      <c r="W327" s="30"/>
      <c r="X327" s="30"/>
      <c r="Y327" s="36"/>
      <c r="Z327" s="97"/>
      <c r="AA327" s="98"/>
      <c r="AB327" s="27"/>
      <c r="AC327" s="27"/>
      <c r="AD327" s="27"/>
      <c r="AE327" s="27"/>
      <c r="AF327" s="27"/>
      <c r="AG327" s="90"/>
      <c r="AH327" s="91"/>
      <c r="AI327" s="91"/>
      <c r="AJ327" s="92"/>
      <c r="AK327" s="90"/>
      <c r="AL327" s="91"/>
      <c r="AM327" s="91"/>
      <c r="AN327" s="92"/>
      <c r="AO327" s="90"/>
      <c r="AP327" s="91"/>
      <c r="AQ327" s="91"/>
      <c r="AR327" s="92"/>
      <c r="AS327" s="90"/>
      <c r="AT327" s="91"/>
      <c r="AU327" s="91"/>
      <c r="AV327" s="92"/>
      <c r="AW327" s="90"/>
      <c r="AX327" s="91"/>
      <c r="AY327" s="93"/>
      <c r="AZ327" s="91"/>
      <c r="BA327" s="92"/>
      <c r="BB327" s="90"/>
      <c r="BC327" s="91"/>
      <c r="BD327" s="93"/>
      <c r="BE327" s="91"/>
      <c r="BF327" s="92"/>
      <c r="BG327" s="33">
        <f t="shared" si="2"/>
        <v>0</v>
      </c>
      <c r="BH327" s="27"/>
      <c r="BI327" s="27"/>
      <c r="BJ327" s="27"/>
    </row>
    <row r="328" ht="15.75" customHeight="1" spans="1:62">
      <c r="A328" s="29"/>
      <c r="B328" s="29"/>
      <c r="C328" s="29"/>
      <c r="D328" s="33">
        <v>319</v>
      </c>
      <c r="E328" s="31"/>
      <c r="F328" s="31"/>
      <c r="G328" s="32"/>
      <c r="H328" s="32"/>
      <c r="I328" s="33"/>
      <c r="J328" s="32" t="str">
        <f t="shared" si="0"/>
        <v/>
      </c>
      <c r="K328" s="32"/>
      <c r="L328" s="32"/>
      <c r="M328" s="32"/>
      <c r="N328" s="32"/>
      <c r="O328" s="32"/>
      <c r="P328" s="32"/>
      <c r="Q328" s="34"/>
      <c r="R328" s="30" t="str">
        <f ca="1" t="shared" si="4"/>
        <v/>
      </c>
      <c r="S328" s="33"/>
      <c r="T328" s="27"/>
      <c r="U328" s="27"/>
      <c r="V328" s="35"/>
      <c r="W328" s="30"/>
      <c r="X328" s="30"/>
      <c r="Y328" s="36"/>
      <c r="Z328" s="97"/>
      <c r="AA328" s="98"/>
      <c r="AB328" s="27"/>
      <c r="AC328" s="27"/>
      <c r="AD328" s="27"/>
      <c r="AE328" s="27"/>
      <c r="AF328" s="27"/>
      <c r="AG328" s="90"/>
      <c r="AH328" s="91"/>
      <c r="AI328" s="91"/>
      <c r="AJ328" s="92"/>
      <c r="AK328" s="90"/>
      <c r="AL328" s="91"/>
      <c r="AM328" s="91"/>
      <c r="AN328" s="92"/>
      <c r="AO328" s="90"/>
      <c r="AP328" s="91"/>
      <c r="AQ328" s="91"/>
      <c r="AR328" s="92"/>
      <c r="AS328" s="90"/>
      <c r="AT328" s="91"/>
      <c r="AU328" s="91"/>
      <c r="AV328" s="92"/>
      <c r="AW328" s="90"/>
      <c r="AX328" s="91"/>
      <c r="AY328" s="93"/>
      <c r="AZ328" s="91"/>
      <c r="BA328" s="92"/>
      <c r="BB328" s="90"/>
      <c r="BC328" s="91"/>
      <c r="BD328" s="93"/>
      <c r="BE328" s="91"/>
      <c r="BF328" s="92"/>
      <c r="BG328" s="33">
        <f t="shared" si="2"/>
        <v>0</v>
      </c>
      <c r="BH328" s="27"/>
      <c r="BI328" s="27"/>
      <c r="BJ328" s="27"/>
    </row>
    <row r="329" ht="15.75" customHeight="1" spans="1:62">
      <c r="A329" s="29"/>
      <c r="B329" s="29"/>
      <c r="C329" s="29"/>
      <c r="D329" s="33">
        <v>320</v>
      </c>
      <c r="E329" s="31"/>
      <c r="F329" s="31"/>
      <c r="G329" s="32"/>
      <c r="H329" s="32"/>
      <c r="I329" s="33"/>
      <c r="J329" s="32" t="str">
        <f t="shared" si="0"/>
        <v/>
      </c>
      <c r="K329" s="32"/>
      <c r="L329" s="32"/>
      <c r="M329" s="32"/>
      <c r="N329" s="32"/>
      <c r="O329" s="32"/>
      <c r="P329" s="32"/>
      <c r="Q329" s="34"/>
      <c r="R329" s="30" t="str">
        <f ca="1" t="shared" si="4"/>
        <v/>
      </c>
      <c r="S329" s="33"/>
      <c r="T329" s="27"/>
      <c r="U329" s="27"/>
      <c r="V329" s="35"/>
      <c r="W329" s="30"/>
      <c r="X329" s="30"/>
      <c r="Y329" s="36"/>
      <c r="Z329" s="97"/>
      <c r="AA329" s="98"/>
      <c r="AB329" s="27"/>
      <c r="AC329" s="27"/>
      <c r="AD329" s="27"/>
      <c r="AE329" s="27"/>
      <c r="AF329" s="27"/>
      <c r="AG329" s="90"/>
      <c r="AH329" s="91"/>
      <c r="AI329" s="91"/>
      <c r="AJ329" s="92"/>
      <c r="AK329" s="90"/>
      <c r="AL329" s="91"/>
      <c r="AM329" s="91"/>
      <c r="AN329" s="92"/>
      <c r="AO329" s="90"/>
      <c r="AP329" s="91"/>
      <c r="AQ329" s="91"/>
      <c r="AR329" s="92"/>
      <c r="AS329" s="90"/>
      <c r="AT329" s="91"/>
      <c r="AU329" s="91"/>
      <c r="AV329" s="92"/>
      <c r="AW329" s="90"/>
      <c r="AX329" s="91"/>
      <c r="AY329" s="93"/>
      <c r="AZ329" s="91"/>
      <c r="BA329" s="92"/>
      <c r="BB329" s="90"/>
      <c r="BC329" s="91"/>
      <c r="BD329" s="93"/>
      <c r="BE329" s="91"/>
      <c r="BF329" s="92"/>
      <c r="BG329" s="33">
        <f t="shared" si="2"/>
        <v>0</v>
      </c>
      <c r="BH329" s="27"/>
      <c r="BI329" s="27"/>
      <c r="BJ329" s="27"/>
    </row>
    <row r="330" ht="15.75" customHeight="1" spans="1:62">
      <c r="A330" s="29"/>
      <c r="B330" s="29"/>
      <c r="C330" s="29"/>
      <c r="D330" s="33">
        <v>321</v>
      </c>
      <c r="E330" s="31"/>
      <c r="F330" s="31"/>
      <c r="G330" s="32"/>
      <c r="H330" s="32"/>
      <c r="I330" s="33"/>
      <c r="J330" s="32" t="str">
        <f t="shared" si="0"/>
        <v/>
      </c>
      <c r="K330" s="32"/>
      <c r="L330" s="32"/>
      <c r="M330" s="32"/>
      <c r="N330" s="32"/>
      <c r="O330" s="32"/>
      <c r="P330" s="32"/>
      <c r="Q330" s="34"/>
      <c r="R330" s="30" t="str">
        <f ca="1" t="shared" si="4"/>
        <v/>
      </c>
      <c r="S330" s="33"/>
      <c r="T330" s="27"/>
      <c r="U330" s="27"/>
      <c r="V330" s="35"/>
      <c r="W330" s="30"/>
      <c r="X330" s="30"/>
      <c r="Y330" s="36"/>
      <c r="Z330" s="97"/>
      <c r="AA330" s="98"/>
      <c r="AB330" s="27"/>
      <c r="AC330" s="27"/>
      <c r="AD330" s="27"/>
      <c r="AE330" s="27"/>
      <c r="AF330" s="27"/>
      <c r="AG330" s="90"/>
      <c r="AH330" s="91"/>
      <c r="AI330" s="91"/>
      <c r="AJ330" s="92"/>
      <c r="AK330" s="90"/>
      <c r="AL330" s="91"/>
      <c r="AM330" s="91"/>
      <c r="AN330" s="92"/>
      <c r="AO330" s="90"/>
      <c r="AP330" s="91"/>
      <c r="AQ330" s="91"/>
      <c r="AR330" s="92"/>
      <c r="AS330" s="90"/>
      <c r="AT330" s="91"/>
      <c r="AU330" s="91"/>
      <c r="AV330" s="92"/>
      <c r="AW330" s="90"/>
      <c r="AX330" s="91"/>
      <c r="AY330" s="93"/>
      <c r="AZ330" s="91"/>
      <c r="BA330" s="92"/>
      <c r="BB330" s="90"/>
      <c r="BC330" s="91"/>
      <c r="BD330" s="93"/>
      <c r="BE330" s="91"/>
      <c r="BF330" s="92"/>
      <c r="BG330" s="33">
        <f t="shared" si="2"/>
        <v>0</v>
      </c>
      <c r="BH330" s="27"/>
      <c r="BI330" s="27"/>
      <c r="BJ330" s="27"/>
    </row>
    <row r="331" ht="15.75" customHeight="1" spans="1:62">
      <c r="A331" s="29"/>
      <c r="B331" s="29"/>
      <c r="C331" s="29"/>
      <c r="D331" s="33">
        <v>322</v>
      </c>
      <c r="E331" s="31"/>
      <c r="F331" s="31"/>
      <c r="G331" s="32"/>
      <c r="H331" s="32"/>
      <c r="I331" s="33"/>
      <c r="J331" s="32" t="str">
        <f t="shared" si="0"/>
        <v/>
      </c>
      <c r="K331" s="32"/>
      <c r="L331" s="32"/>
      <c r="M331" s="32"/>
      <c r="N331" s="32"/>
      <c r="O331" s="32"/>
      <c r="P331" s="32"/>
      <c r="Q331" s="34"/>
      <c r="R331" s="30" t="str">
        <f ca="1" t="shared" si="4"/>
        <v/>
      </c>
      <c r="S331" s="33"/>
      <c r="T331" s="27"/>
      <c r="U331" s="27"/>
      <c r="V331" s="35"/>
      <c r="W331" s="30"/>
      <c r="X331" s="30"/>
      <c r="Y331" s="36"/>
      <c r="Z331" s="97"/>
      <c r="AA331" s="98"/>
      <c r="AB331" s="27"/>
      <c r="AC331" s="27"/>
      <c r="AD331" s="27"/>
      <c r="AE331" s="27"/>
      <c r="AF331" s="27"/>
      <c r="AG331" s="90"/>
      <c r="AH331" s="91"/>
      <c r="AI331" s="91"/>
      <c r="AJ331" s="92"/>
      <c r="AK331" s="90"/>
      <c r="AL331" s="91"/>
      <c r="AM331" s="91"/>
      <c r="AN331" s="92"/>
      <c r="AO331" s="90"/>
      <c r="AP331" s="91"/>
      <c r="AQ331" s="91"/>
      <c r="AR331" s="92"/>
      <c r="AS331" s="90"/>
      <c r="AT331" s="91"/>
      <c r="AU331" s="91"/>
      <c r="AV331" s="92"/>
      <c r="AW331" s="90"/>
      <c r="AX331" s="91"/>
      <c r="AY331" s="93"/>
      <c r="AZ331" s="91"/>
      <c r="BA331" s="92"/>
      <c r="BB331" s="90"/>
      <c r="BC331" s="91"/>
      <c r="BD331" s="93"/>
      <c r="BE331" s="91"/>
      <c r="BF331" s="92"/>
      <c r="BG331" s="33">
        <f t="shared" si="2"/>
        <v>0</v>
      </c>
      <c r="BH331" s="27"/>
      <c r="BI331" s="27"/>
      <c r="BJ331" s="27"/>
    </row>
    <row r="332" ht="15.75" customHeight="1" spans="1:62">
      <c r="A332" s="29"/>
      <c r="B332" s="29"/>
      <c r="C332" s="29"/>
      <c r="D332" s="33">
        <v>323</v>
      </c>
      <c r="E332" s="31"/>
      <c r="F332" s="31"/>
      <c r="G332" s="32"/>
      <c r="H332" s="32"/>
      <c r="I332" s="33"/>
      <c r="J332" s="32" t="str">
        <f t="shared" si="0"/>
        <v/>
      </c>
      <c r="K332" s="32"/>
      <c r="L332" s="32"/>
      <c r="M332" s="32"/>
      <c r="N332" s="32"/>
      <c r="O332" s="32"/>
      <c r="P332" s="32"/>
      <c r="Q332" s="34"/>
      <c r="R332" s="30" t="str">
        <f ca="1" t="shared" si="4"/>
        <v/>
      </c>
      <c r="S332" s="33"/>
      <c r="T332" s="27"/>
      <c r="U332" s="27"/>
      <c r="V332" s="35"/>
      <c r="W332" s="30"/>
      <c r="X332" s="30"/>
      <c r="Y332" s="36"/>
      <c r="Z332" s="97"/>
      <c r="AA332" s="98"/>
      <c r="AB332" s="27"/>
      <c r="AC332" s="27"/>
      <c r="AD332" s="27"/>
      <c r="AE332" s="27"/>
      <c r="AF332" s="27"/>
      <c r="AG332" s="90"/>
      <c r="AH332" s="91"/>
      <c r="AI332" s="91"/>
      <c r="AJ332" s="92"/>
      <c r="AK332" s="90"/>
      <c r="AL332" s="91"/>
      <c r="AM332" s="91"/>
      <c r="AN332" s="92"/>
      <c r="AO332" s="90"/>
      <c r="AP332" s="91"/>
      <c r="AQ332" s="91"/>
      <c r="AR332" s="92"/>
      <c r="AS332" s="90"/>
      <c r="AT332" s="91"/>
      <c r="AU332" s="91"/>
      <c r="AV332" s="92"/>
      <c r="AW332" s="90"/>
      <c r="AX332" s="91"/>
      <c r="AY332" s="93"/>
      <c r="AZ332" s="91"/>
      <c r="BA332" s="92"/>
      <c r="BB332" s="90"/>
      <c r="BC332" s="91"/>
      <c r="BD332" s="93"/>
      <c r="BE332" s="91"/>
      <c r="BF332" s="92"/>
      <c r="BG332" s="33">
        <f t="shared" si="2"/>
        <v>0</v>
      </c>
      <c r="BH332" s="27"/>
      <c r="BI332" s="27"/>
      <c r="BJ332" s="27"/>
    </row>
    <row r="333" ht="15.75" customHeight="1" spans="1:62">
      <c r="A333" s="29"/>
      <c r="B333" s="29"/>
      <c r="C333" s="29"/>
      <c r="D333" s="33">
        <v>324</v>
      </c>
      <c r="E333" s="31"/>
      <c r="F333" s="31"/>
      <c r="G333" s="32"/>
      <c r="H333" s="32"/>
      <c r="I333" s="33"/>
      <c r="J333" s="32" t="str">
        <f t="shared" si="0"/>
        <v/>
      </c>
      <c r="K333" s="32"/>
      <c r="L333" s="32"/>
      <c r="M333" s="32"/>
      <c r="N333" s="32"/>
      <c r="O333" s="32"/>
      <c r="P333" s="32"/>
      <c r="Q333" s="34"/>
      <c r="R333" s="30" t="str">
        <f ca="1" t="shared" si="4"/>
        <v/>
      </c>
      <c r="S333" s="33"/>
      <c r="T333" s="27"/>
      <c r="U333" s="27"/>
      <c r="V333" s="35"/>
      <c r="W333" s="30"/>
      <c r="X333" s="30"/>
      <c r="Y333" s="36"/>
      <c r="Z333" s="97"/>
      <c r="AA333" s="98"/>
      <c r="AB333" s="27"/>
      <c r="AC333" s="27"/>
      <c r="AD333" s="27"/>
      <c r="AE333" s="27"/>
      <c r="AF333" s="27"/>
      <c r="AG333" s="90"/>
      <c r="AH333" s="91"/>
      <c r="AI333" s="91"/>
      <c r="AJ333" s="92"/>
      <c r="AK333" s="90"/>
      <c r="AL333" s="91"/>
      <c r="AM333" s="91"/>
      <c r="AN333" s="92"/>
      <c r="AO333" s="90"/>
      <c r="AP333" s="91"/>
      <c r="AQ333" s="91"/>
      <c r="AR333" s="92"/>
      <c r="AS333" s="90"/>
      <c r="AT333" s="91"/>
      <c r="AU333" s="91"/>
      <c r="AV333" s="92"/>
      <c r="AW333" s="90"/>
      <c r="AX333" s="91"/>
      <c r="AY333" s="93"/>
      <c r="AZ333" s="91"/>
      <c r="BA333" s="92"/>
      <c r="BB333" s="90"/>
      <c r="BC333" s="91"/>
      <c r="BD333" s="93"/>
      <c r="BE333" s="91"/>
      <c r="BF333" s="92"/>
      <c r="BG333" s="33">
        <f t="shared" si="2"/>
        <v>0</v>
      </c>
      <c r="BH333" s="27"/>
      <c r="BI333" s="27"/>
      <c r="BJ333" s="27"/>
    </row>
    <row r="334" ht="15.75" customHeight="1" spans="1:62">
      <c r="A334" s="29"/>
      <c r="B334" s="29"/>
      <c r="C334" s="29"/>
      <c r="D334" s="33">
        <v>325</v>
      </c>
      <c r="E334" s="31"/>
      <c r="F334" s="31"/>
      <c r="G334" s="32"/>
      <c r="H334" s="32"/>
      <c r="I334" s="33"/>
      <c r="J334" s="32" t="str">
        <f t="shared" si="0"/>
        <v/>
      </c>
      <c r="K334" s="32"/>
      <c r="L334" s="32"/>
      <c r="M334" s="32"/>
      <c r="N334" s="32"/>
      <c r="O334" s="32"/>
      <c r="P334" s="32"/>
      <c r="Q334" s="34"/>
      <c r="R334" s="30" t="str">
        <f ca="1" t="shared" si="4"/>
        <v/>
      </c>
      <c r="S334" s="33"/>
      <c r="T334" s="27"/>
      <c r="U334" s="27"/>
      <c r="V334" s="35"/>
      <c r="W334" s="30"/>
      <c r="X334" s="30"/>
      <c r="Y334" s="36"/>
      <c r="Z334" s="97"/>
      <c r="AA334" s="98"/>
      <c r="AB334" s="27"/>
      <c r="AC334" s="27"/>
      <c r="AD334" s="27"/>
      <c r="AE334" s="27"/>
      <c r="AF334" s="27"/>
      <c r="AG334" s="90"/>
      <c r="AH334" s="91"/>
      <c r="AI334" s="91"/>
      <c r="AJ334" s="92"/>
      <c r="AK334" s="90"/>
      <c r="AL334" s="91"/>
      <c r="AM334" s="91"/>
      <c r="AN334" s="92"/>
      <c r="AO334" s="90"/>
      <c r="AP334" s="91"/>
      <c r="AQ334" s="91"/>
      <c r="AR334" s="92"/>
      <c r="AS334" s="90"/>
      <c r="AT334" s="91"/>
      <c r="AU334" s="91"/>
      <c r="AV334" s="92"/>
      <c r="AW334" s="90"/>
      <c r="AX334" s="91"/>
      <c r="AY334" s="93"/>
      <c r="AZ334" s="91"/>
      <c r="BA334" s="92"/>
      <c r="BB334" s="90"/>
      <c r="BC334" s="91"/>
      <c r="BD334" s="93"/>
      <c r="BE334" s="91"/>
      <c r="BF334" s="92"/>
      <c r="BG334" s="33">
        <f t="shared" si="2"/>
        <v>0</v>
      </c>
      <c r="BH334" s="27"/>
      <c r="BI334" s="27"/>
      <c r="BJ334" s="27"/>
    </row>
    <row r="335" ht="15.75" customHeight="1" spans="1:62">
      <c r="A335" s="29"/>
      <c r="B335" s="29"/>
      <c r="C335" s="29"/>
      <c r="D335" s="33">
        <v>326</v>
      </c>
      <c r="E335" s="31"/>
      <c r="F335" s="31"/>
      <c r="G335" s="32"/>
      <c r="H335" s="32"/>
      <c r="I335" s="33"/>
      <c r="J335" s="32" t="str">
        <f t="shared" si="0"/>
        <v/>
      </c>
      <c r="K335" s="32"/>
      <c r="L335" s="32"/>
      <c r="M335" s="32"/>
      <c r="N335" s="32"/>
      <c r="O335" s="32"/>
      <c r="P335" s="32"/>
      <c r="Q335" s="34"/>
      <c r="R335" s="30" t="str">
        <f ca="1" t="shared" si="4"/>
        <v/>
      </c>
      <c r="S335" s="33"/>
      <c r="T335" s="27"/>
      <c r="U335" s="27"/>
      <c r="V335" s="35"/>
      <c r="W335" s="30"/>
      <c r="X335" s="30"/>
      <c r="Y335" s="36"/>
      <c r="Z335" s="97"/>
      <c r="AA335" s="98"/>
      <c r="AB335" s="27"/>
      <c r="AC335" s="27"/>
      <c r="AD335" s="27"/>
      <c r="AE335" s="27"/>
      <c r="AF335" s="27"/>
      <c r="AG335" s="90"/>
      <c r="AH335" s="91"/>
      <c r="AI335" s="91"/>
      <c r="AJ335" s="92"/>
      <c r="AK335" s="90"/>
      <c r="AL335" s="91"/>
      <c r="AM335" s="91"/>
      <c r="AN335" s="92"/>
      <c r="AO335" s="90"/>
      <c r="AP335" s="91"/>
      <c r="AQ335" s="91"/>
      <c r="AR335" s="92"/>
      <c r="AS335" s="90"/>
      <c r="AT335" s="91"/>
      <c r="AU335" s="91"/>
      <c r="AV335" s="92"/>
      <c r="AW335" s="90"/>
      <c r="AX335" s="91"/>
      <c r="AY335" s="93"/>
      <c r="AZ335" s="91"/>
      <c r="BA335" s="92"/>
      <c r="BB335" s="90"/>
      <c r="BC335" s="91"/>
      <c r="BD335" s="93"/>
      <c r="BE335" s="91"/>
      <c r="BF335" s="92"/>
      <c r="BG335" s="33">
        <f t="shared" si="2"/>
        <v>0</v>
      </c>
      <c r="BH335" s="27"/>
      <c r="BI335" s="27"/>
      <c r="BJ335" s="27"/>
    </row>
    <row r="336" ht="15.75" customHeight="1" spans="1:62">
      <c r="A336" s="29"/>
      <c r="B336" s="29"/>
      <c r="C336" s="29"/>
      <c r="D336" s="33">
        <v>327</v>
      </c>
      <c r="E336" s="31"/>
      <c r="F336" s="31"/>
      <c r="G336" s="32"/>
      <c r="H336" s="32"/>
      <c r="I336" s="33"/>
      <c r="J336" s="32" t="str">
        <f t="shared" si="0"/>
        <v/>
      </c>
      <c r="K336" s="32"/>
      <c r="L336" s="32"/>
      <c r="M336" s="32"/>
      <c r="N336" s="32"/>
      <c r="O336" s="32"/>
      <c r="P336" s="32"/>
      <c r="Q336" s="34"/>
      <c r="R336" s="30" t="str">
        <f ca="1" t="shared" si="4"/>
        <v/>
      </c>
      <c r="S336" s="33"/>
      <c r="T336" s="27"/>
      <c r="U336" s="27"/>
      <c r="V336" s="35"/>
      <c r="W336" s="30"/>
      <c r="X336" s="30"/>
      <c r="Y336" s="36"/>
      <c r="Z336" s="97"/>
      <c r="AA336" s="98"/>
      <c r="AB336" s="27"/>
      <c r="AC336" s="27"/>
      <c r="AD336" s="27"/>
      <c r="AE336" s="27"/>
      <c r="AF336" s="27"/>
      <c r="AG336" s="90"/>
      <c r="AH336" s="91"/>
      <c r="AI336" s="91"/>
      <c r="AJ336" s="92"/>
      <c r="AK336" s="90"/>
      <c r="AL336" s="91"/>
      <c r="AM336" s="91"/>
      <c r="AN336" s="92"/>
      <c r="AO336" s="90"/>
      <c r="AP336" s="91"/>
      <c r="AQ336" s="91"/>
      <c r="AR336" s="92"/>
      <c r="AS336" s="90"/>
      <c r="AT336" s="91"/>
      <c r="AU336" s="91"/>
      <c r="AV336" s="92"/>
      <c r="AW336" s="90"/>
      <c r="AX336" s="91"/>
      <c r="AY336" s="93"/>
      <c r="AZ336" s="91"/>
      <c r="BA336" s="92"/>
      <c r="BB336" s="90"/>
      <c r="BC336" s="91"/>
      <c r="BD336" s="93"/>
      <c r="BE336" s="91"/>
      <c r="BF336" s="92"/>
      <c r="BG336" s="33">
        <f t="shared" si="2"/>
        <v>0</v>
      </c>
      <c r="BH336" s="27"/>
      <c r="BI336" s="27"/>
      <c r="BJ336" s="27"/>
    </row>
    <row r="337" ht="15.75" customHeight="1" spans="1:62">
      <c r="A337" s="29"/>
      <c r="B337" s="29"/>
      <c r="C337" s="29"/>
      <c r="D337" s="33">
        <v>328</v>
      </c>
      <c r="E337" s="31"/>
      <c r="F337" s="31"/>
      <c r="G337" s="32"/>
      <c r="H337" s="32"/>
      <c r="I337" s="33"/>
      <c r="J337" s="32" t="str">
        <f t="shared" si="0"/>
        <v/>
      </c>
      <c r="K337" s="32"/>
      <c r="L337" s="32"/>
      <c r="M337" s="32"/>
      <c r="N337" s="32"/>
      <c r="O337" s="32"/>
      <c r="P337" s="32"/>
      <c r="Q337" s="34"/>
      <c r="R337" s="30" t="str">
        <f ca="1" t="shared" si="4"/>
        <v/>
      </c>
      <c r="S337" s="33"/>
      <c r="T337" s="27"/>
      <c r="U337" s="27"/>
      <c r="V337" s="35"/>
      <c r="W337" s="30"/>
      <c r="X337" s="30"/>
      <c r="Y337" s="36"/>
      <c r="Z337" s="97"/>
      <c r="AA337" s="98"/>
      <c r="AB337" s="27"/>
      <c r="AC337" s="27"/>
      <c r="AD337" s="27"/>
      <c r="AE337" s="27"/>
      <c r="AF337" s="27"/>
      <c r="AG337" s="90"/>
      <c r="AH337" s="91"/>
      <c r="AI337" s="91"/>
      <c r="AJ337" s="92"/>
      <c r="AK337" s="90"/>
      <c r="AL337" s="91"/>
      <c r="AM337" s="91"/>
      <c r="AN337" s="92"/>
      <c r="AO337" s="90"/>
      <c r="AP337" s="91"/>
      <c r="AQ337" s="91"/>
      <c r="AR337" s="92"/>
      <c r="AS337" s="90"/>
      <c r="AT337" s="91"/>
      <c r="AU337" s="91"/>
      <c r="AV337" s="92"/>
      <c r="AW337" s="90"/>
      <c r="AX337" s="91"/>
      <c r="AY337" s="93"/>
      <c r="AZ337" s="91"/>
      <c r="BA337" s="92"/>
      <c r="BB337" s="90"/>
      <c r="BC337" s="91"/>
      <c r="BD337" s="93"/>
      <c r="BE337" s="91"/>
      <c r="BF337" s="92"/>
      <c r="BG337" s="33">
        <f t="shared" si="2"/>
        <v>0</v>
      </c>
      <c r="BH337" s="27"/>
      <c r="BI337" s="27"/>
      <c r="BJ337" s="27"/>
    </row>
    <row r="338" ht="15.75" customHeight="1" spans="1:62">
      <c r="A338" s="29"/>
      <c r="B338" s="29"/>
      <c r="C338" s="29"/>
      <c r="D338" s="33">
        <v>329</v>
      </c>
      <c r="E338" s="31"/>
      <c r="F338" s="31"/>
      <c r="G338" s="32"/>
      <c r="H338" s="32"/>
      <c r="I338" s="33"/>
      <c r="J338" s="32" t="str">
        <f t="shared" si="0"/>
        <v/>
      </c>
      <c r="K338" s="32"/>
      <c r="L338" s="32"/>
      <c r="M338" s="32"/>
      <c r="N338" s="32"/>
      <c r="O338" s="32"/>
      <c r="P338" s="32"/>
      <c r="Q338" s="34"/>
      <c r="R338" s="30" t="str">
        <f ca="1" t="shared" si="4"/>
        <v/>
      </c>
      <c r="S338" s="33"/>
      <c r="T338" s="27"/>
      <c r="U338" s="27"/>
      <c r="V338" s="35"/>
      <c r="W338" s="30"/>
      <c r="X338" s="30"/>
      <c r="Y338" s="36"/>
      <c r="Z338" s="97"/>
      <c r="AA338" s="98"/>
      <c r="AB338" s="27"/>
      <c r="AC338" s="27"/>
      <c r="AD338" s="27"/>
      <c r="AE338" s="27"/>
      <c r="AF338" s="27"/>
      <c r="AG338" s="90"/>
      <c r="AH338" s="91"/>
      <c r="AI338" s="91"/>
      <c r="AJ338" s="92"/>
      <c r="AK338" s="90"/>
      <c r="AL338" s="91"/>
      <c r="AM338" s="91"/>
      <c r="AN338" s="92"/>
      <c r="AO338" s="90"/>
      <c r="AP338" s="91"/>
      <c r="AQ338" s="91"/>
      <c r="AR338" s="92"/>
      <c r="AS338" s="90"/>
      <c r="AT338" s="91"/>
      <c r="AU338" s="91"/>
      <c r="AV338" s="92"/>
      <c r="AW338" s="90"/>
      <c r="AX338" s="91"/>
      <c r="AY338" s="93"/>
      <c r="AZ338" s="91"/>
      <c r="BA338" s="92"/>
      <c r="BB338" s="90"/>
      <c r="BC338" s="91"/>
      <c r="BD338" s="93"/>
      <c r="BE338" s="91"/>
      <c r="BF338" s="92"/>
      <c r="BG338" s="33">
        <f t="shared" si="2"/>
        <v>0</v>
      </c>
      <c r="BH338" s="27"/>
      <c r="BI338" s="27"/>
      <c r="BJ338" s="27"/>
    </row>
    <row r="339" ht="15.75" customHeight="1" spans="1:62">
      <c r="A339" s="29"/>
      <c r="B339" s="29"/>
      <c r="C339" s="29"/>
      <c r="D339" s="33">
        <v>330</v>
      </c>
      <c r="E339" s="31"/>
      <c r="F339" s="31"/>
      <c r="G339" s="32"/>
      <c r="H339" s="32"/>
      <c r="I339" s="33"/>
      <c r="J339" s="32" t="str">
        <f t="shared" si="0"/>
        <v/>
      </c>
      <c r="K339" s="32"/>
      <c r="L339" s="32"/>
      <c r="M339" s="32"/>
      <c r="N339" s="32"/>
      <c r="O339" s="32"/>
      <c r="P339" s="32"/>
      <c r="Q339" s="34"/>
      <c r="R339" s="30" t="str">
        <f ca="1" t="shared" si="4"/>
        <v/>
      </c>
      <c r="S339" s="33"/>
      <c r="T339" s="27"/>
      <c r="U339" s="27"/>
      <c r="V339" s="35"/>
      <c r="W339" s="30"/>
      <c r="X339" s="30"/>
      <c r="Y339" s="36"/>
      <c r="Z339" s="97"/>
      <c r="AA339" s="98"/>
      <c r="AB339" s="27"/>
      <c r="AC339" s="27"/>
      <c r="AD339" s="27"/>
      <c r="AE339" s="27"/>
      <c r="AF339" s="27"/>
      <c r="AG339" s="90"/>
      <c r="AH339" s="91"/>
      <c r="AI339" s="91"/>
      <c r="AJ339" s="92"/>
      <c r="AK339" s="90"/>
      <c r="AL339" s="91"/>
      <c r="AM339" s="91"/>
      <c r="AN339" s="92"/>
      <c r="AO339" s="90"/>
      <c r="AP339" s="91"/>
      <c r="AQ339" s="91"/>
      <c r="AR339" s="92"/>
      <c r="AS339" s="90"/>
      <c r="AT339" s="91"/>
      <c r="AU339" s="91"/>
      <c r="AV339" s="92"/>
      <c r="AW339" s="90"/>
      <c r="AX339" s="91"/>
      <c r="AY339" s="93"/>
      <c r="AZ339" s="91"/>
      <c r="BA339" s="92"/>
      <c r="BB339" s="90"/>
      <c r="BC339" s="91"/>
      <c r="BD339" s="93"/>
      <c r="BE339" s="91"/>
      <c r="BF339" s="92"/>
      <c r="BG339" s="33">
        <f t="shared" si="2"/>
        <v>0</v>
      </c>
      <c r="BH339" s="27"/>
      <c r="BI339" s="27"/>
      <c r="BJ339" s="27"/>
    </row>
    <row r="340" ht="15.75" customHeight="1" spans="1:62">
      <c r="A340" s="29"/>
      <c r="B340" s="29"/>
      <c r="C340" s="29"/>
      <c r="D340" s="33">
        <v>331</v>
      </c>
      <c r="E340" s="31"/>
      <c r="F340" s="31"/>
      <c r="G340" s="32"/>
      <c r="H340" s="32"/>
      <c r="I340" s="33"/>
      <c r="J340" s="32" t="str">
        <f t="shared" si="0"/>
        <v/>
      </c>
      <c r="K340" s="32"/>
      <c r="L340" s="32"/>
      <c r="M340" s="32"/>
      <c r="N340" s="32"/>
      <c r="O340" s="32"/>
      <c r="P340" s="32"/>
      <c r="Q340" s="34"/>
      <c r="R340" s="30" t="str">
        <f ca="1" t="shared" si="4"/>
        <v/>
      </c>
      <c r="S340" s="33"/>
      <c r="T340" s="27"/>
      <c r="U340" s="27"/>
      <c r="V340" s="35"/>
      <c r="W340" s="30"/>
      <c r="X340" s="30"/>
      <c r="Y340" s="36"/>
      <c r="Z340" s="97"/>
      <c r="AA340" s="98"/>
      <c r="AB340" s="27"/>
      <c r="AC340" s="27"/>
      <c r="AD340" s="27"/>
      <c r="AE340" s="27"/>
      <c r="AF340" s="27"/>
      <c r="AG340" s="90"/>
      <c r="AH340" s="91"/>
      <c r="AI340" s="91"/>
      <c r="AJ340" s="92"/>
      <c r="AK340" s="90"/>
      <c r="AL340" s="91"/>
      <c r="AM340" s="91"/>
      <c r="AN340" s="92"/>
      <c r="AO340" s="90"/>
      <c r="AP340" s="91"/>
      <c r="AQ340" s="91"/>
      <c r="AR340" s="92"/>
      <c r="AS340" s="90"/>
      <c r="AT340" s="91"/>
      <c r="AU340" s="91"/>
      <c r="AV340" s="92"/>
      <c r="AW340" s="90"/>
      <c r="AX340" s="91"/>
      <c r="AY340" s="93"/>
      <c r="AZ340" s="91"/>
      <c r="BA340" s="92"/>
      <c r="BB340" s="90"/>
      <c r="BC340" s="91"/>
      <c r="BD340" s="93"/>
      <c r="BE340" s="91"/>
      <c r="BF340" s="92"/>
      <c r="BG340" s="33">
        <f t="shared" si="2"/>
        <v>0</v>
      </c>
      <c r="BH340" s="27"/>
      <c r="BI340" s="27"/>
      <c r="BJ340" s="27"/>
    </row>
    <row r="341" ht="15.75" customHeight="1" spans="1:62">
      <c r="A341" s="29"/>
      <c r="B341" s="29"/>
      <c r="C341" s="29"/>
      <c r="D341" s="33">
        <v>332</v>
      </c>
      <c r="E341" s="31"/>
      <c r="F341" s="31"/>
      <c r="G341" s="32"/>
      <c r="H341" s="32"/>
      <c r="I341" s="33"/>
      <c r="J341" s="32" t="str">
        <f t="shared" si="0"/>
        <v/>
      </c>
      <c r="K341" s="32"/>
      <c r="L341" s="32"/>
      <c r="M341" s="32"/>
      <c r="N341" s="32"/>
      <c r="O341" s="32"/>
      <c r="P341" s="32"/>
      <c r="Q341" s="34"/>
      <c r="R341" s="30" t="str">
        <f ca="1" t="shared" si="4"/>
        <v/>
      </c>
      <c r="S341" s="33"/>
      <c r="T341" s="27"/>
      <c r="U341" s="27"/>
      <c r="V341" s="35"/>
      <c r="W341" s="30"/>
      <c r="X341" s="30"/>
      <c r="Y341" s="36"/>
      <c r="Z341" s="97"/>
      <c r="AA341" s="98"/>
      <c r="AB341" s="27"/>
      <c r="AC341" s="27"/>
      <c r="AD341" s="27"/>
      <c r="AE341" s="27"/>
      <c r="AF341" s="27"/>
      <c r="AG341" s="90"/>
      <c r="AH341" s="91"/>
      <c r="AI341" s="91"/>
      <c r="AJ341" s="92"/>
      <c r="AK341" s="90"/>
      <c r="AL341" s="91"/>
      <c r="AM341" s="91"/>
      <c r="AN341" s="92"/>
      <c r="AO341" s="90"/>
      <c r="AP341" s="91"/>
      <c r="AQ341" s="91"/>
      <c r="AR341" s="92"/>
      <c r="AS341" s="90"/>
      <c r="AT341" s="91"/>
      <c r="AU341" s="91"/>
      <c r="AV341" s="92"/>
      <c r="AW341" s="90"/>
      <c r="AX341" s="91"/>
      <c r="AY341" s="93"/>
      <c r="AZ341" s="91"/>
      <c r="BA341" s="92"/>
      <c r="BB341" s="90"/>
      <c r="BC341" s="91"/>
      <c r="BD341" s="93"/>
      <c r="BE341" s="91"/>
      <c r="BF341" s="92"/>
      <c r="BG341" s="33">
        <f t="shared" si="2"/>
        <v>0</v>
      </c>
      <c r="BH341" s="27"/>
      <c r="BI341" s="27"/>
      <c r="BJ341" s="27"/>
    </row>
    <row r="342" ht="15.75" customHeight="1" spans="1:62">
      <c r="A342" s="29"/>
      <c r="B342" s="29"/>
      <c r="C342" s="29"/>
      <c r="D342" s="33">
        <v>333</v>
      </c>
      <c r="E342" s="31"/>
      <c r="F342" s="31"/>
      <c r="G342" s="32"/>
      <c r="H342" s="32"/>
      <c r="I342" s="33"/>
      <c r="J342" s="32" t="str">
        <f t="shared" si="0"/>
        <v/>
      </c>
      <c r="K342" s="32"/>
      <c r="L342" s="32"/>
      <c r="M342" s="32"/>
      <c r="N342" s="32"/>
      <c r="O342" s="32"/>
      <c r="P342" s="32"/>
      <c r="Q342" s="34"/>
      <c r="R342" s="30" t="str">
        <f ca="1" t="shared" si="4"/>
        <v/>
      </c>
      <c r="S342" s="33"/>
      <c r="T342" s="27"/>
      <c r="U342" s="27"/>
      <c r="V342" s="35"/>
      <c r="W342" s="30"/>
      <c r="X342" s="30"/>
      <c r="Y342" s="36"/>
      <c r="Z342" s="97"/>
      <c r="AA342" s="98"/>
      <c r="AB342" s="27"/>
      <c r="AC342" s="27"/>
      <c r="AD342" s="27"/>
      <c r="AE342" s="27"/>
      <c r="AF342" s="27"/>
      <c r="AG342" s="90"/>
      <c r="AH342" s="91"/>
      <c r="AI342" s="91"/>
      <c r="AJ342" s="92"/>
      <c r="AK342" s="90"/>
      <c r="AL342" s="91"/>
      <c r="AM342" s="91"/>
      <c r="AN342" s="92"/>
      <c r="AO342" s="90"/>
      <c r="AP342" s="91"/>
      <c r="AQ342" s="91"/>
      <c r="AR342" s="92"/>
      <c r="AS342" s="90"/>
      <c r="AT342" s="91"/>
      <c r="AU342" s="91"/>
      <c r="AV342" s="92"/>
      <c r="AW342" s="90"/>
      <c r="AX342" s="91"/>
      <c r="AY342" s="93"/>
      <c r="AZ342" s="91"/>
      <c r="BA342" s="92"/>
      <c r="BB342" s="90"/>
      <c r="BC342" s="91"/>
      <c r="BD342" s="93"/>
      <c r="BE342" s="91"/>
      <c r="BF342" s="92"/>
      <c r="BG342" s="33">
        <f t="shared" si="2"/>
        <v>0</v>
      </c>
      <c r="BH342" s="27"/>
      <c r="BI342" s="27"/>
      <c r="BJ342" s="27"/>
    </row>
    <row r="343" ht="15.75" customHeight="1" spans="1:62">
      <c r="A343" s="29"/>
      <c r="B343" s="29"/>
      <c r="C343" s="29"/>
      <c r="D343" s="33">
        <v>334</v>
      </c>
      <c r="E343" s="31"/>
      <c r="F343" s="31"/>
      <c r="G343" s="32"/>
      <c r="H343" s="32"/>
      <c r="I343" s="33"/>
      <c r="J343" s="32" t="str">
        <f t="shared" si="0"/>
        <v/>
      </c>
      <c r="K343" s="32"/>
      <c r="L343" s="32"/>
      <c r="M343" s="32"/>
      <c r="N343" s="32"/>
      <c r="O343" s="32"/>
      <c r="P343" s="32"/>
      <c r="Q343" s="34"/>
      <c r="R343" s="30" t="str">
        <f ca="1" t="shared" si="4"/>
        <v/>
      </c>
      <c r="S343" s="33"/>
      <c r="T343" s="27"/>
      <c r="U343" s="27"/>
      <c r="V343" s="35"/>
      <c r="W343" s="30"/>
      <c r="X343" s="30"/>
      <c r="Y343" s="36"/>
      <c r="Z343" s="97"/>
      <c r="AA343" s="98"/>
      <c r="AB343" s="27"/>
      <c r="AC343" s="27"/>
      <c r="AD343" s="27"/>
      <c r="AE343" s="27"/>
      <c r="AF343" s="27"/>
      <c r="AG343" s="90"/>
      <c r="AH343" s="91"/>
      <c r="AI343" s="91"/>
      <c r="AJ343" s="92"/>
      <c r="AK343" s="90"/>
      <c r="AL343" s="91"/>
      <c r="AM343" s="91"/>
      <c r="AN343" s="92"/>
      <c r="AO343" s="90"/>
      <c r="AP343" s="91"/>
      <c r="AQ343" s="91"/>
      <c r="AR343" s="92"/>
      <c r="AS343" s="90"/>
      <c r="AT343" s="91"/>
      <c r="AU343" s="91"/>
      <c r="AV343" s="92"/>
      <c r="AW343" s="90"/>
      <c r="AX343" s="91"/>
      <c r="AY343" s="93"/>
      <c r="AZ343" s="91"/>
      <c r="BA343" s="92"/>
      <c r="BB343" s="90"/>
      <c r="BC343" s="91"/>
      <c r="BD343" s="93"/>
      <c r="BE343" s="91"/>
      <c r="BF343" s="92"/>
      <c r="BG343" s="33">
        <f t="shared" si="2"/>
        <v>0</v>
      </c>
      <c r="BH343" s="27"/>
      <c r="BI343" s="27"/>
      <c r="BJ343" s="27"/>
    </row>
    <row r="344" ht="15.75" customHeight="1" spans="1:62">
      <c r="A344" s="29"/>
      <c r="B344" s="29"/>
      <c r="C344" s="29"/>
      <c r="D344" s="33">
        <v>335</v>
      </c>
      <c r="E344" s="31"/>
      <c r="F344" s="31"/>
      <c r="G344" s="32"/>
      <c r="H344" s="32"/>
      <c r="I344" s="33"/>
      <c r="J344" s="32" t="str">
        <f t="shared" si="0"/>
        <v/>
      </c>
      <c r="K344" s="32"/>
      <c r="L344" s="32"/>
      <c r="M344" s="32"/>
      <c r="N344" s="32"/>
      <c r="O344" s="32"/>
      <c r="P344" s="32"/>
      <c r="Q344" s="34"/>
      <c r="R344" s="30" t="str">
        <f ca="1" t="shared" si="4"/>
        <v/>
      </c>
      <c r="S344" s="33"/>
      <c r="T344" s="27"/>
      <c r="U344" s="27"/>
      <c r="V344" s="35"/>
      <c r="W344" s="30"/>
      <c r="X344" s="30"/>
      <c r="Y344" s="36"/>
      <c r="Z344" s="97"/>
      <c r="AA344" s="98"/>
      <c r="AB344" s="27"/>
      <c r="AC344" s="27"/>
      <c r="AD344" s="27"/>
      <c r="AE344" s="27"/>
      <c r="AF344" s="27"/>
      <c r="AG344" s="90"/>
      <c r="AH344" s="91"/>
      <c r="AI344" s="91"/>
      <c r="AJ344" s="92"/>
      <c r="AK344" s="90"/>
      <c r="AL344" s="91"/>
      <c r="AM344" s="91"/>
      <c r="AN344" s="92"/>
      <c r="AO344" s="90"/>
      <c r="AP344" s="91"/>
      <c r="AQ344" s="91"/>
      <c r="AR344" s="92"/>
      <c r="AS344" s="90"/>
      <c r="AT344" s="91"/>
      <c r="AU344" s="91"/>
      <c r="AV344" s="92"/>
      <c r="AW344" s="90"/>
      <c r="AX344" s="91"/>
      <c r="AY344" s="93"/>
      <c r="AZ344" s="91"/>
      <c r="BA344" s="92"/>
      <c r="BB344" s="90"/>
      <c r="BC344" s="91"/>
      <c r="BD344" s="93"/>
      <c r="BE344" s="91"/>
      <c r="BF344" s="92"/>
      <c r="BG344" s="33">
        <f t="shared" si="2"/>
        <v>0</v>
      </c>
      <c r="BH344" s="27"/>
      <c r="BI344" s="27"/>
      <c r="BJ344" s="27"/>
    </row>
    <row r="345" ht="15.75" customHeight="1" spans="1:62">
      <c r="A345" s="29"/>
      <c r="B345" s="29"/>
      <c r="C345" s="29"/>
      <c r="D345" s="33">
        <v>336</v>
      </c>
      <c r="E345" s="31"/>
      <c r="F345" s="31"/>
      <c r="G345" s="32"/>
      <c r="H345" s="32"/>
      <c r="I345" s="33"/>
      <c r="J345" s="32" t="str">
        <f t="shared" si="0"/>
        <v/>
      </c>
      <c r="K345" s="32"/>
      <c r="L345" s="32"/>
      <c r="M345" s="32"/>
      <c r="N345" s="32"/>
      <c r="O345" s="32"/>
      <c r="P345" s="32"/>
      <c r="Q345" s="34"/>
      <c r="R345" s="30" t="str">
        <f ca="1" t="shared" si="4"/>
        <v/>
      </c>
      <c r="S345" s="33"/>
      <c r="T345" s="27"/>
      <c r="U345" s="27"/>
      <c r="V345" s="35"/>
      <c r="W345" s="30"/>
      <c r="X345" s="30"/>
      <c r="Y345" s="36"/>
      <c r="Z345" s="97"/>
      <c r="AA345" s="98"/>
      <c r="AB345" s="27"/>
      <c r="AC345" s="27"/>
      <c r="AD345" s="27"/>
      <c r="AE345" s="27"/>
      <c r="AF345" s="27"/>
      <c r="AG345" s="90"/>
      <c r="AH345" s="91"/>
      <c r="AI345" s="91"/>
      <c r="AJ345" s="92"/>
      <c r="AK345" s="90"/>
      <c r="AL345" s="91"/>
      <c r="AM345" s="91"/>
      <c r="AN345" s="92"/>
      <c r="AO345" s="90"/>
      <c r="AP345" s="91"/>
      <c r="AQ345" s="91"/>
      <c r="AR345" s="92"/>
      <c r="AS345" s="90"/>
      <c r="AT345" s="91"/>
      <c r="AU345" s="91"/>
      <c r="AV345" s="92"/>
      <c r="AW345" s="90"/>
      <c r="AX345" s="91"/>
      <c r="AY345" s="93"/>
      <c r="AZ345" s="91"/>
      <c r="BA345" s="92"/>
      <c r="BB345" s="90"/>
      <c r="BC345" s="91"/>
      <c r="BD345" s="93"/>
      <c r="BE345" s="91"/>
      <c r="BF345" s="92"/>
      <c r="BG345" s="33">
        <f t="shared" si="2"/>
        <v>0</v>
      </c>
      <c r="BH345" s="27"/>
      <c r="BI345" s="27"/>
      <c r="BJ345" s="27"/>
    </row>
    <row r="346" ht="15.75" customHeight="1" spans="1:62">
      <c r="A346" s="29"/>
      <c r="B346" s="29"/>
      <c r="C346" s="29"/>
      <c r="D346" s="33">
        <v>337</v>
      </c>
      <c r="E346" s="31"/>
      <c r="F346" s="31"/>
      <c r="G346" s="32"/>
      <c r="H346" s="32"/>
      <c r="I346" s="33"/>
      <c r="J346" s="32" t="str">
        <f t="shared" si="0"/>
        <v/>
      </c>
      <c r="K346" s="32"/>
      <c r="L346" s="32"/>
      <c r="M346" s="32"/>
      <c r="N346" s="32"/>
      <c r="O346" s="32"/>
      <c r="P346" s="32"/>
      <c r="Q346" s="34"/>
      <c r="R346" s="30" t="str">
        <f ca="1" t="shared" si="4"/>
        <v/>
      </c>
      <c r="S346" s="33"/>
      <c r="T346" s="27"/>
      <c r="U346" s="27"/>
      <c r="V346" s="35"/>
      <c r="W346" s="30"/>
      <c r="X346" s="30"/>
      <c r="Y346" s="36"/>
      <c r="Z346" s="97"/>
      <c r="AA346" s="98"/>
      <c r="AB346" s="27"/>
      <c r="AC346" s="27"/>
      <c r="AD346" s="27"/>
      <c r="AE346" s="27"/>
      <c r="AF346" s="27"/>
      <c r="AG346" s="90"/>
      <c r="AH346" s="91"/>
      <c r="AI346" s="91"/>
      <c r="AJ346" s="92"/>
      <c r="AK346" s="90"/>
      <c r="AL346" s="91"/>
      <c r="AM346" s="91"/>
      <c r="AN346" s="92"/>
      <c r="AO346" s="90"/>
      <c r="AP346" s="91"/>
      <c r="AQ346" s="91"/>
      <c r="AR346" s="92"/>
      <c r="AS346" s="90"/>
      <c r="AT346" s="91"/>
      <c r="AU346" s="91"/>
      <c r="AV346" s="92"/>
      <c r="AW346" s="90"/>
      <c r="AX346" s="91"/>
      <c r="AY346" s="93"/>
      <c r="AZ346" s="91"/>
      <c r="BA346" s="92"/>
      <c r="BB346" s="90"/>
      <c r="BC346" s="91"/>
      <c r="BD346" s="93"/>
      <c r="BE346" s="91"/>
      <c r="BF346" s="92"/>
      <c r="BG346" s="33">
        <f t="shared" si="2"/>
        <v>0</v>
      </c>
      <c r="BH346" s="27"/>
      <c r="BI346" s="27"/>
      <c r="BJ346" s="27"/>
    </row>
    <row r="347" ht="15.75" customHeight="1" spans="1:62">
      <c r="A347" s="29"/>
      <c r="B347" s="29"/>
      <c r="C347" s="29"/>
      <c r="D347" s="33">
        <v>338</v>
      </c>
      <c r="E347" s="31"/>
      <c r="F347" s="31"/>
      <c r="G347" s="32"/>
      <c r="H347" s="32"/>
      <c r="I347" s="33"/>
      <c r="J347" s="32" t="str">
        <f t="shared" si="0"/>
        <v/>
      </c>
      <c r="K347" s="32"/>
      <c r="L347" s="32"/>
      <c r="M347" s="32"/>
      <c r="N347" s="32"/>
      <c r="O347" s="32"/>
      <c r="P347" s="32"/>
      <c r="Q347" s="34"/>
      <c r="R347" s="30" t="str">
        <f ca="1" t="shared" si="4"/>
        <v/>
      </c>
      <c r="S347" s="33"/>
      <c r="T347" s="27"/>
      <c r="U347" s="27"/>
      <c r="V347" s="35"/>
      <c r="W347" s="30"/>
      <c r="X347" s="30"/>
      <c r="Y347" s="36"/>
      <c r="Z347" s="97"/>
      <c r="AA347" s="98"/>
      <c r="AB347" s="27"/>
      <c r="AC347" s="27"/>
      <c r="AD347" s="27"/>
      <c r="AE347" s="27"/>
      <c r="AF347" s="27"/>
      <c r="AG347" s="90"/>
      <c r="AH347" s="91"/>
      <c r="AI347" s="91"/>
      <c r="AJ347" s="92"/>
      <c r="AK347" s="90"/>
      <c r="AL347" s="91"/>
      <c r="AM347" s="91"/>
      <c r="AN347" s="92"/>
      <c r="AO347" s="90"/>
      <c r="AP347" s="91"/>
      <c r="AQ347" s="91"/>
      <c r="AR347" s="92"/>
      <c r="AS347" s="90"/>
      <c r="AT347" s="91"/>
      <c r="AU347" s="91"/>
      <c r="AV347" s="92"/>
      <c r="AW347" s="90"/>
      <c r="AX347" s="91"/>
      <c r="AY347" s="93"/>
      <c r="AZ347" s="91"/>
      <c r="BA347" s="92"/>
      <c r="BB347" s="90"/>
      <c r="BC347" s="91"/>
      <c r="BD347" s="93"/>
      <c r="BE347" s="91"/>
      <c r="BF347" s="92"/>
      <c r="BG347" s="33">
        <f t="shared" si="2"/>
        <v>0</v>
      </c>
      <c r="BH347" s="27"/>
      <c r="BI347" s="27"/>
      <c r="BJ347" s="27"/>
    </row>
    <row r="348" ht="15.75" customHeight="1" spans="1:62">
      <c r="A348" s="29"/>
      <c r="B348" s="29"/>
      <c r="C348" s="29"/>
      <c r="D348" s="33">
        <v>339</v>
      </c>
      <c r="E348" s="31"/>
      <c r="F348" s="31"/>
      <c r="G348" s="32"/>
      <c r="H348" s="32"/>
      <c r="I348" s="33"/>
      <c r="J348" s="32" t="str">
        <f t="shared" si="0"/>
        <v/>
      </c>
      <c r="K348" s="32"/>
      <c r="L348" s="32"/>
      <c r="M348" s="32"/>
      <c r="N348" s="32"/>
      <c r="O348" s="32"/>
      <c r="P348" s="32"/>
      <c r="Q348" s="34"/>
      <c r="R348" s="30" t="str">
        <f ca="1" t="shared" si="4"/>
        <v/>
      </c>
      <c r="S348" s="33"/>
      <c r="T348" s="27"/>
      <c r="U348" s="27"/>
      <c r="V348" s="35"/>
      <c r="W348" s="30"/>
      <c r="X348" s="30"/>
      <c r="Y348" s="36"/>
      <c r="Z348" s="97"/>
      <c r="AA348" s="98"/>
      <c r="AB348" s="27"/>
      <c r="AC348" s="27"/>
      <c r="AD348" s="27"/>
      <c r="AE348" s="27"/>
      <c r="AF348" s="27"/>
      <c r="AG348" s="90"/>
      <c r="AH348" s="91"/>
      <c r="AI348" s="91"/>
      <c r="AJ348" s="92"/>
      <c r="AK348" s="90"/>
      <c r="AL348" s="91"/>
      <c r="AM348" s="91"/>
      <c r="AN348" s="92"/>
      <c r="AO348" s="90"/>
      <c r="AP348" s="91"/>
      <c r="AQ348" s="91"/>
      <c r="AR348" s="92"/>
      <c r="AS348" s="90"/>
      <c r="AT348" s="91"/>
      <c r="AU348" s="91"/>
      <c r="AV348" s="92"/>
      <c r="AW348" s="90"/>
      <c r="AX348" s="91"/>
      <c r="AY348" s="93"/>
      <c r="AZ348" s="91"/>
      <c r="BA348" s="92"/>
      <c r="BB348" s="90"/>
      <c r="BC348" s="91"/>
      <c r="BD348" s="93"/>
      <c r="BE348" s="91"/>
      <c r="BF348" s="92"/>
      <c r="BG348" s="33">
        <f t="shared" si="2"/>
        <v>0</v>
      </c>
      <c r="BH348" s="27"/>
      <c r="BI348" s="27"/>
      <c r="BJ348" s="27"/>
    </row>
    <row r="349" ht="15.75" customHeight="1" spans="1:62">
      <c r="A349" s="29"/>
      <c r="B349" s="29"/>
      <c r="C349" s="29"/>
      <c r="D349" s="33">
        <v>340</v>
      </c>
      <c r="E349" s="31"/>
      <c r="F349" s="31"/>
      <c r="G349" s="32"/>
      <c r="H349" s="32"/>
      <c r="I349" s="33"/>
      <c r="J349" s="32" t="str">
        <f t="shared" si="0"/>
        <v/>
      </c>
      <c r="K349" s="32"/>
      <c r="L349" s="32"/>
      <c r="M349" s="32"/>
      <c r="N349" s="32"/>
      <c r="O349" s="32"/>
      <c r="P349" s="32"/>
      <c r="Q349" s="34"/>
      <c r="R349" s="30" t="str">
        <f ca="1" t="shared" si="4"/>
        <v/>
      </c>
      <c r="S349" s="33"/>
      <c r="T349" s="27"/>
      <c r="U349" s="27"/>
      <c r="V349" s="35"/>
      <c r="W349" s="30"/>
      <c r="X349" s="30"/>
      <c r="Y349" s="36"/>
      <c r="Z349" s="97"/>
      <c r="AA349" s="98"/>
      <c r="AB349" s="27"/>
      <c r="AC349" s="27"/>
      <c r="AD349" s="27"/>
      <c r="AE349" s="27"/>
      <c r="AF349" s="27"/>
      <c r="AG349" s="90"/>
      <c r="AH349" s="91"/>
      <c r="AI349" s="91"/>
      <c r="AJ349" s="92"/>
      <c r="AK349" s="90"/>
      <c r="AL349" s="91"/>
      <c r="AM349" s="91"/>
      <c r="AN349" s="92"/>
      <c r="AO349" s="90"/>
      <c r="AP349" s="91"/>
      <c r="AQ349" s="91"/>
      <c r="AR349" s="92"/>
      <c r="AS349" s="90"/>
      <c r="AT349" s="91"/>
      <c r="AU349" s="91"/>
      <c r="AV349" s="92"/>
      <c r="AW349" s="90"/>
      <c r="AX349" s="91"/>
      <c r="AY349" s="93"/>
      <c r="AZ349" s="91"/>
      <c r="BA349" s="92"/>
      <c r="BB349" s="90"/>
      <c r="BC349" s="91"/>
      <c r="BD349" s="93"/>
      <c r="BE349" s="91"/>
      <c r="BF349" s="92"/>
      <c r="BG349" s="33">
        <f t="shared" si="2"/>
        <v>0</v>
      </c>
      <c r="BH349" s="27"/>
      <c r="BI349" s="27"/>
      <c r="BJ349" s="27"/>
    </row>
    <row r="350" ht="15.75" customHeight="1" spans="1:62">
      <c r="A350" s="29"/>
      <c r="B350" s="29"/>
      <c r="C350" s="29"/>
      <c r="D350" s="33">
        <v>341</v>
      </c>
      <c r="E350" s="31"/>
      <c r="F350" s="31"/>
      <c r="G350" s="32"/>
      <c r="H350" s="32"/>
      <c r="I350" s="33"/>
      <c r="J350" s="32" t="str">
        <f t="shared" si="0"/>
        <v/>
      </c>
      <c r="K350" s="32"/>
      <c r="L350" s="32"/>
      <c r="M350" s="32"/>
      <c r="N350" s="32"/>
      <c r="O350" s="32"/>
      <c r="P350" s="32"/>
      <c r="Q350" s="34"/>
      <c r="R350" s="30" t="str">
        <f ca="1" t="shared" si="4"/>
        <v/>
      </c>
      <c r="S350" s="33"/>
      <c r="T350" s="27"/>
      <c r="U350" s="27"/>
      <c r="V350" s="35"/>
      <c r="W350" s="30"/>
      <c r="X350" s="30"/>
      <c r="Y350" s="36"/>
      <c r="Z350" s="97"/>
      <c r="AA350" s="98"/>
      <c r="AB350" s="27"/>
      <c r="AC350" s="27"/>
      <c r="AD350" s="27"/>
      <c r="AE350" s="27"/>
      <c r="AF350" s="27"/>
      <c r="AG350" s="90"/>
      <c r="AH350" s="91"/>
      <c r="AI350" s="91"/>
      <c r="AJ350" s="92"/>
      <c r="AK350" s="90"/>
      <c r="AL350" s="91"/>
      <c r="AM350" s="91"/>
      <c r="AN350" s="92"/>
      <c r="AO350" s="90"/>
      <c r="AP350" s="91"/>
      <c r="AQ350" s="91"/>
      <c r="AR350" s="92"/>
      <c r="AS350" s="90"/>
      <c r="AT350" s="91"/>
      <c r="AU350" s="91"/>
      <c r="AV350" s="92"/>
      <c r="AW350" s="90"/>
      <c r="AX350" s="91"/>
      <c r="AY350" s="93"/>
      <c r="AZ350" s="91"/>
      <c r="BA350" s="92"/>
      <c r="BB350" s="90"/>
      <c r="BC350" s="91"/>
      <c r="BD350" s="93"/>
      <c r="BE350" s="91"/>
      <c r="BF350" s="92"/>
      <c r="BG350" s="33">
        <f t="shared" si="2"/>
        <v>0</v>
      </c>
      <c r="BH350" s="27"/>
      <c r="BI350" s="27"/>
      <c r="BJ350" s="27"/>
    </row>
    <row r="351" ht="15.75" customHeight="1" spans="1:62">
      <c r="A351" s="29"/>
      <c r="B351" s="29"/>
      <c r="C351" s="29"/>
      <c r="D351" s="33">
        <v>342</v>
      </c>
      <c r="E351" s="31"/>
      <c r="F351" s="31"/>
      <c r="G351" s="32"/>
      <c r="H351" s="32"/>
      <c r="I351" s="33"/>
      <c r="J351" s="32" t="str">
        <f t="shared" si="0"/>
        <v/>
      </c>
      <c r="K351" s="32"/>
      <c r="L351" s="32"/>
      <c r="M351" s="32"/>
      <c r="N351" s="32"/>
      <c r="O351" s="32"/>
      <c r="P351" s="32"/>
      <c r="Q351" s="34"/>
      <c r="R351" s="30" t="str">
        <f ca="1" t="shared" si="4"/>
        <v/>
      </c>
      <c r="S351" s="33"/>
      <c r="T351" s="27"/>
      <c r="U351" s="27"/>
      <c r="V351" s="35"/>
      <c r="W351" s="30"/>
      <c r="X351" s="30"/>
      <c r="Y351" s="36"/>
      <c r="Z351" s="97"/>
      <c r="AA351" s="98"/>
      <c r="AB351" s="27"/>
      <c r="AC351" s="27"/>
      <c r="AD351" s="27"/>
      <c r="AE351" s="27"/>
      <c r="AF351" s="27"/>
      <c r="AG351" s="90"/>
      <c r="AH351" s="91"/>
      <c r="AI351" s="91"/>
      <c r="AJ351" s="92"/>
      <c r="AK351" s="90"/>
      <c r="AL351" s="91"/>
      <c r="AM351" s="91"/>
      <c r="AN351" s="92"/>
      <c r="AO351" s="90"/>
      <c r="AP351" s="91"/>
      <c r="AQ351" s="91"/>
      <c r="AR351" s="92"/>
      <c r="AS351" s="90"/>
      <c r="AT351" s="91"/>
      <c r="AU351" s="91"/>
      <c r="AV351" s="92"/>
      <c r="AW351" s="90"/>
      <c r="AX351" s="91"/>
      <c r="AY351" s="93"/>
      <c r="AZ351" s="91"/>
      <c r="BA351" s="92"/>
      <c r="BB351" s="90"/>
      <c r="BC351" s="91"/>
      <c r="BD351" s="93"/>
      <c r="BE351" s="91"/>
      <c r="BF351" s="92"/>
      <c r="BG351" s="33">
        <f t="shared" si="2"/>
        <v>0</v>
      </c>
      <c r="BH351" s="27"/>
      <c r="BI351" s="27"/>
      <c r="BJ351" s="27"/>
    </row>
    <row r="352" ht="15.75" customHeight="1" spans="1:62">
      <c r="A352" s="29"/>
      <c r="B352" s="29"/>
      <c r="C352" s="29"/>
      <c r="D352" s="33">
        <v>343</v>
      </c>
      <c r="E352" s="31"/>
      <c r="F352" s="31"/>
      <c r="G352" s="32"/>
      <c r="H352" s="32"/>
      <c r="I352" s="33"/>
      <c r="J352" s="32" t="str">
        <f t="shared" si="0"/>
        <v/>
      </c>
      <c r="K352" s="32"/>
      <c r="L352" s="32"/>
      <c r="M352" s="32"/>
      <c r="N352" s="32"/>
      <c r="O352" s="32"/>
      <c r="P352" s="32"/>
      <c r="Q352" s="34"/>
      <c r="R352" s="30" t="str">
        <f ca="1" t="shared" si="4"/>
        <v/>
      </c>
      <c r="S352" s="33"/>
      <c r="T352" s="27"/>
      <c r="U352" s="27"/>
      <c r="V352" s="35"/>
      <c r="W352" s="30"/>
      <c r="X352" s="30"/>
      <c r="Y352" s="36"/>
      <c r="Z352" s="97"/>
      <c r="AA352" s="98"/>
      <c r="AB352" s="27"/>
      <c r="AC352" s="27"/>
      <c r="AD352" s="27"/>
      <c r="AE352" s="27"/>
      <c r="AF352" s="27"/>
      <c r="AG352" s="90"/>
      <c r="AH352" s="91"/>
      <c r="AI352" s="91"/>
      <c r="AJ352" s="92"/>
      <c r="AK352" s="90"/>
      <c r="AL352" s="91"/>
      <c r="AM352" s="91"/>
      <c r="AN352" s="92"/>
      <c r="AO352" s="90"/>
      <c r="AP352" s="91"/>
      <c r="AQ352" s="91"/>
      <c r="AR352" s="92"/>
      <c r="AS352" s="90"/>
      <c r="AT352" s="91"/>
      <c r="AU352" s="91"/>
      <c r="AV352" s="92"/>
      <c r="AW352" s="90"/>
      <c r="AX352" s="91"/>
      <c r="AY352" s="93"/>
      <c r="AZ352" s="91"/>
      <c r="BA352" s="92"/>
      <c r="BB352" s="90"/>
      <c r="BC352" s="91"/>
      <c r="BD352" s="93"/>
      <c r="BE352" s="91"/>
      <c r="BF352" s="92"/>
      <c r="BG352" s="33">
        <f t="shared" si="2"/>
        <v>0</v>
      </c>
      <c r="BH352" s="27"/>
      <c r="BI352" s="27"/>
      <c r="BJ352" s="27"/>
    </row>
    <row r="353" ht="15.75" customHeight="1" spans="22:22">
      <c r="V353" s="99"/>
    </row>
    <row r="354" ht="15.75" customHeight="1" spans="22:22">
      <c r="V354" s="99"/>
    </row>
    <row r="355" ht="15.75" customHeight="1" spans="22:22">
      <c r="V355" s="99"/>
    </row>
    <row r="356" ht="15.75" customHeight="1" spans="22:22">
      <c r="V356" s="99"/>
    </row>
    <row r="357" ht="15.75" customHeight="1" spans="22:22">
      <c r="V357" s="99"/>
    </row>
    <row r="358" ht="15.75" customHeight="1" spans="22:22">
      <c r="V358" s="99"/>
    </row>
    <row r="359" ht="15.75" customHeight="1" spans="22:22">
      <c r="V359" s="99"/>
    </row>
    <row r="360" ht="15.75" customHeight="1" spans="22:22">
      <c r="V360" s="99"/>
    </row>
    <row r="361" ht="15.75" customHeight="1" spans="22:22">
      <c r="V361" s="99"/>
    </row>
    <row r="362" ht="15.75" customHeight="1" spans="22:22">
      <c r="V362" s="99"/>
    </row>
    <row r="363" ht="15.75" customHeight="1" spans="22:22">
      <c r="V363" s="99"/>
    </row>
    <row r="364" ht="15.75" customHeight="1" spans="22:22">
      <c r="V364" s="99"/>
    </row>
    <row r="365" ht="15.75" customHeight="1" spans="22:22">
      <c r="V365" s="99"/>
    </row>
    <row r="366" ht="15.75" customHeight="1" spans="22:22">
      <c r="V366" s="99"/>
    </row>
    <row r="367" ht="15.75" customHeight="1" spans="22:22">
      <c r="V367" s="99"/>
    </row>
    <row r="368" ht="15.75" customHeight="1" spans="22:22">
      <c r="V368" s="99"/>
    </row>
    <row r="369" ht="15.75" customHeight="1" spans="22:22">
      <c r="V369" s="99"/>
    </row>
    <row r="370" ht="15.75" customHeight="1" spans="22:22">
      <c r="V370" s="99"/>
    </row>
    <row r="371" ht="15.75" customHeight="1" spans="22:22">
      <c r="V371" s="99"/>
    </row>
    <row r="372" ht="15.75" customHeight="1" spans="22:22">
      <c r="V372" s="99"/>
    </row>
    <row r="373" ht="15.75" customHeight="1" spans="22:22">
      <c r="V373" s="99"/>
    </row>
    <row r="374" ht="15.75" customHeight="1" spans="22:22">
      <c r="V374" s="99"/>
    </row>
    <row r="375" ht="15.75" customHeight="1" spans="22:22">
      <c r="V375" s="99"/>
    </row>
    <row r="376" ht="15.75" customHeight="1" spans="22:22">
      <c r="V376" s="99"/>
    </row>
    <row r="377" ht="15.75" customHeight="1" spans="22:22">
      <c r="V377" s="99"/>
    </row>
    <row r="378" ht="15.75" customHeight="1" spans="22:22">
      <c r="V378" s="99"/>
    </row>
    <row r="379" ht="15.75" customHeight="1" spans="22:22">
      <c r="V379" s="99"/>
    </row>
    <row r="380" ht="15.75" customHeight="1" spans="22:22">
      <c r="V380" s="99"/>
    </row>
    <row r="381" ht="15.75" customHeight="1" spans="22:22">
      <c r="V381" s="99"/>
    </row>
    <row r="382" ht="15.75" customHeight="1" spans="22:22">
      <c r="V382" s="99"/>
    </row>
    <row r="383" ht="15.75" customHeight="1" spans="22:22">
      <c r="V383" s="99"/>
    </row>
    <row r="384" ht="15.75" customHeight="1" spans="22:22">
      <c r="V384" s="99"/>
    </row>
    <row r="385" ht="15.75" customHeight="1" spans="22:22">
      <c r="V385" s="99"/>
    </row>
    <row r="386" ht="15.75" customHeight="1" spans="22:22">
      <c r="V386" s="99"/>
    </row>
    <row r="387" ht="15.75" customHeight="1" spans="22:22">
      <c r="V387" s="99"/>
    </row>
    <row r="388" ht="15.75" customHeight="1" spans="22:22">
      <c r="V388" s="99"/>
    </row>
    <row r="389" ht="15.75" customHeight="1" spans="22:22">
      <c r="V389" s="99"/>
    </row>
    <row r="390" ht="15.75" customHeight="1" spans="22:22">
      <c r="V390" s="99"/>
    </row>
    <row r="391" ht="15.75" customHeight="1" spans="22:22">
      <c r="V391" s="99"/>
    </row>
    <row r="392" ht="15.75" customHeight="1" spans="22:22">
      <c r="V392" s="99"/>
    </row>
    <row r="393" ht="15.75" customHeight="1" spans="22:22">
      <c r="V393" s="99"/>
    </row>
    <row r="394" ht="15.75" customHeight="1" spans="22:22">
      <c r="V394" s="99"/>
    </row>
    <row r="395" ht="15.75" customHeight="1" spans="22:22">
      <c r="V395" s="99"/>
    </row>
    <row r="396" ht="15.75" customHeight="1" spans="22:22">
      <c r="V396" s="99"/>
    </row>
    <row r="397" ht="15.75" customHeight="1" spans="22:22">
      <c r="V397" s="99"/>
    </row>
    <row r="398" ht="15.75" customHeight="1" spans="22:22">
      <c r="V398" s="99"/>
    </row>
    <row r="399" ht="15.75" customHeight="1" spans="22:22">
      <c r="V399" s="99"/>
    </row>
    <row r="400" ht="15.75" customHeight="1" spans="22:22">
      <c r="V400" s="99"/>
    </row>
    <row r="401" ht="15.75" customHeight="1" spans="22:22">
      <c r="V401" s="99"/>
    </row>
    <row r="402" ht="15.75" customHeight="1" spans="22:22">
      <c r="V402" s="99"/>
    </row>
    <row r="403" ht="15.75" customHeight="1" spans="22:22">
      <c r="V403" s="99"/>
    </row>
    <row r="404" ht="15.75" customHeight="1" spans="22:22">
      <c r="V404" s="99"/>
    </row>
    <row r="405" ht="15.75" customHeight="1" spans="22:22">
      <c r="V405" s="99"/>
    </row>
    <row r="406" ht="15.75" customHeight="1" spans="22:22">
      <c r="V406" s="99"/>
    </row>
    <row r="407" ht="15.75" customHeight="1" spans="22:22">
      <c r="V407" s="99"/>
    </row>
    <row r="408" ht="15.75" customHeight="1" spans="22:22">
      <c r="V408" s="99"/>
    </row>
    <row r="409" ht="15.75" customHeight="1" spans="22:22">
      <c r="V409" s="99"/>
    </row>
    <row r="410" ht="15.75" customHeight="1" spans="22:22">
      <c r="V410" s="99"/>
    </row>
    <row r="411" ht="15.75" customHeight="1" spans="22:22">
      <c r="V411" s="99"/>
    </row>
    <row r="412" ht="15.75" customHeight="1" spans="22:22">
      <c r="V412" s="99"/>
    </row>
    <row r="413" ht="15.75" customHeight="1" spans="22:22">
      <c r="V413" s="99"/>
    </row>
    <row r="414" ht="15.75" customHeight="1" spans="22:22">
      <c r="V414" s="99"/>
    </row>
    <row r="415" ht="15.75" customHeight="1" spans="22:22">
      <c r="V415" s="99"/>
    </row>
    <row r="416" ht="15.75" customHeight="1" spans="22:22">
      <c r="V416" s="99"/>
    </row>
    <row r="417" ht="15.75" customHeight="1" spans="22:22">
      <c r="V417" s="99"/>
    </row>
    <row r="418" ht="15.75" customHeight="1" spans="22:22">
      <c r="V418" s="99"/>
    </row>
    <row r="419" ht="15.75" customHeight="1" spans="22:22">
      <c r="V419" s="99"/>
    </row>
    <row r="420" ht="15.75" customHeight="1" spans="22:22">
      <c r="V420" s="99"/>
    </row>
    <row r="421" ht="15.75" customHeight="1" spans="22:22">
      <c r="V421" s="99"/>
    </row>
    <row r="422" ht="15.75" customHeight="1" spans="22:22">
      <c r="V422" s="99"/>
    </row>
    <row r="423" ht="15.75" customHeight="1" spans="22:22">
      <c r="V423" s="99"/>
    </row>
    <row r="424" ht="15.75" customHeight="1" spans="22:22">
      <c r="V424" s="99"/>
    </row>
    <row r="425" ht="15.75" customHeight="1" spans="22:22">
      <c r="V425" s="99"/>
    </row>
    <row r="426" ht="15.75" customHeight="1" spans="22:22">
      <c r="V426" s="99"/>
    </row>
    <row r="427" ht="15.75" customHeight="1" spans="22:22">
      <c r="V427" s="99"/>
    </row>
    <row r="428" ht="15.75" customHeight="1" spans="22:22">
      <c r="V428" s="99"/>
    </row>
    <row r="429" ht="15.75" customHeight="1" spans="22:22">
      <c r="V429" s="99"/>
    </row>
    <row r="430" ht="15.75" customHeight="1" spans="22:22">
      <c r="V430" s="99"/>
    </row>
    <row r="431" ht="15.75" customHeight="1" spans="22:22">
      <c r="V431" s="99"/>
    </row>
    <row r="432" ht="15.75" customHeight="1" spans="22:22">
      <c r="V432" s="99"/>
    </row>
    <row r="433" ht="15.75" customHeight="1" spans="22:22">
      <c r="V433" s="99"/>
    </row>
    <row r="434" ht="15.75" customHeight="1" spans="22:22">
      <c r="V434" s="99"/>
    </row>
    <row r="435" ht="15.75" customHeight="1" spans="22:22">
      <c r="V435" s="99"/>
    </row>
    <row r="436" ht="15.75" customHeight="1" spans="22:22">
      <c r="V436" s="99"/>
    </row>
    <row r="437" ht="15.75" customHeight="1" spans="22:22">
      <c r="V437" s="99"/>
    </row>
    <row r="438" ht="15.75" customHeight="1" spans="22:22">
      <c r="V438" s="99"/>
    </row>
    <row r="439" ht="15.75" customHeight="1" spans="22:22">
      <c r="V439" s="99"/>
    </row>
    <row r="440" ht="15.75" customHeight="1" spans="22:22">
      <c r="V440" s="99"/>
    </row>
    <row r="441" ht="15.75" customHeight="1" spans="22:22">
      <c r="V441" s="99"/>
    </row>
    <row r="442" ht="15.75" customHeight="1" spans="22:22">
      <c r="V442" s="99"/>
    </row>
    <row r="443" ht="15.75" customHeight="1" spans="22:22">
      <c r="V443" s="99"/>
    </row>
    <row r="444" ht="15.75" customHeight="1" spans="22:22">
      <c r="V444" s="99"/>
    </row>
    <row r="445" ht="15.75" customHeight="1" spans="22:22">
      <c r="V445" s="99"/>
    </row>
    <row r="446" ht="15.75" customHeight="1" spans="22:22">
      <c r="V446" s="99"/>
    </row>
    <row r="447" ht="15.75" customHeight="1" spans="22:22">
      <c r="V447" s="99"/>
    </row>
    <row r="448" ht="15.75" customHeight="1" spans="22:22">
      <c r="V448" s="99"/>
    </row>
    <row r="449" ht="15.75" customHeight="1" spans="22:22">
      <c r="V449" s="99"/>
    </row>
    <row r="450" ht="15.75" customHeight="1" spans="22:22">
      <c r="V450" s="99"/>
    </row>
    <row r="451" ht="15.75" customHeight="1" spans="22:22">
      <c r="V451" s="99"/>
    </row>
    <row r="452" ht="15.75" customHeight="1" spans="22:22">
      <c r="V452" s="99"/>
    </row>
    <row r="453" ht="15.75" customHeight="1" spans="22:22">
      <c r="V453" s="99"/>
    </row>
    <row r="454" ht="15.75" customHeight="1" spans="22:22">
      <c r="V454" s="99"/>
    </row>
    <row r="455" ht="15.75" customHeight="1" spans="22:22">
      <c r="V455" s="99"/>
    </row>
    <row r="456" ht="15.75" customHeight="1" spans="22:22">
      <c r="V456" s="99"/>
    </row>
    <row r="457" ht="15.75" customHeight="1" spans="22:22">
      <c r="V457" s="99"/>
    </row>
    <row r="458" ht="15.75" customHeight="1" spans="22:22">
      <c r="V458" s="99"/>
    </row>
    <row r="459" ht="15.75" customHeight="1" spans="22:22">
      <c r="V459" s="99"/>
    </row>
    <row r="460" ht="15.75" customHeight="1" spans="22:22">
      <c r="V460" s="99"/>
    </row>
    <row r="461" ht="15.75" customHeight="1" spans="22:22">
      <c r="V461" s="99"/>
    </row>
    <row r="462" ht="15.75" customHeight="1" spans="22:22">
      <c r="V462" s="99"/>
    </row>
    <row r="463" ht="15.75" customHeight="1" spans="22:22">
      <c r="V463" s="99"/>
    </row>
    <row r="464" ht="15.75" customHeight="1" spans="22:22">
      <c r="V464" s="99"/>
    </row>
    <row r="465" ht="15.75" customHeight="1" spans="22:22">
      <c r="V465" s="99"/>
    </row>
    <row r="466" ht="15.75" customHeight="1" spans="22:22">
      <c r="V466" s="99"/>
    </row>
    <row r="467" ht="15.75" customHeight="1" spans="22:22">
      <c r="V467" s="99"/>
    </row>
    <row r="468" ht="15.75" customHeight="1" spans="22:22">
      <c r="V468" s="99"/>
    </row>
    <row r="469" ht="15.75" customHeight="1" spans="22:22">
      <c r="V469" s="99"/>
    </row>
    <row r="470" ht="15.75" customHeight="1" spans="22:22">
      <c r="V470" s="99"/>
    </row>
    <row r="471" ht="15.75" customHeight="1" spans="22:22">
      <c r="V471" s="99"/>
    </row>
    <row r="472" ht="15.75" customHeight="1" spans="22:22">
      <c r="V472" s="99"/>
    </row>
    <row r="473" ht="15.75" customHeight="1" spans="22:22">
      <c r="V473" s="99"/>
    </row>
    <row r="474" ht="15.75" customHeight="1" spans="22:22">
      <c r="V474" s="99"/>
    </row>
    <row r="475" ht="15.75" customHeight="1" spans="22:22">
      <c r="V475" s="99"/>
    </row>
    <row r="476" ht="15.75" customHeight="1" spans="22:22">
      <c r="V476" s="99"/>
    </row>
    <row r="477" ht="15.75" customHeight="1" spans="22:22">
      <c r="V477" s="99"/>
    </row>
    <row r="478" ht="15.75" customHeight="1" spans="22:22">
      <c r="V478" s="99"/>
    </row>
    <row r="479" ht="15.75" customHeight="1" spans="22:22">
      <c r="V479" s="99"/>
    </row>
    <row r="480" ht="15.75" customHeight="1" spans="22:22">
      <c r="V480" s="99"/>
    </row>
    <row r="481" ht="15.75" customHeight="1" spans="22:22">
      <c r="V481" s="99"/>
    </row>
    <row r="482" ht="15.75" customHeight="1" spans="22:22">
      <c r="V482" s="99"/>
    </row>
    <row r="483" ht="15.75" customHeight="1" spans="22:22">
      <c r="V483" s="99"/>
    </row>
    <row r="484" ht="15.75" customHeight="1" spans="22:22">
      <c r="V484" s="99"/>
    </row>
    <row r="485" ht="15.75" customHeight="1" spans="22:22">
      <c r="V485" s="99"/>
    </row>
    <row r="486" ht="15.75" customHeight="1" spans="22:22">
      <c r="V486" s="99"/>
    </row>
    <row r="487" ht="15.75" customHeight="1" spans="22:22">
      <c r="V487" s="99"/>
    </row>
    <row r="488" ht="15.75" customHeight="1" spans="22:22">
      <c r="V488" s="99"/>
    </row>
    <row r="489" ht="15.75" customHeight="1" spans="22:22">
      <c r="V489" s="99"/>
    </row>
    <row r="490" ht="15.75" customHeight="1" spans="22:22">
      <c r="V490" s="99"/>
    </row>
    <row r="491" ht="15.75" customHeight="1" spans="22:22">
      <c r="V491" s="99"/>
    </row>
    <row r="492" ht="15.75" customHeight="1" spans="22:22">
      <c r="V492" s="99"/>
    </row>
    <row r="493" ht="15.75" customHeight="1" spans="22:22">
      <c r="V493" s="99"/>
    </row>
    <row r="494" ht="15.75" customHeight="1" spans="22:22">
      <c r="V494" s="99"/>
    </row>
    <row r="495" ht="15.75" customHeight="1" spans="22:22">
      <c r="V495" s="99"/>
    </row>
    <row r="496" ht="15.75" customHeight="1" spans="22:22">
      <c r="V496" s="99"/>
    </row>
    <row r="497" ht="15.75" customHeight="1" spans="22:22">
      <c r="V497" s="99"/>
    </row>
    <row r="498" ht="15.75" customHeight="1" spans="22:22">
      <c r="V498" s="99"/>
    </row>
    <row r="499" ht="15.75" customHeight="1" spans="22:22">
      <c r="V499" s="99"/>
    </row>
    <row r="500" ht="15.75" customHeight="1" spans="22:22">
      <c r="V500" s="99"/>
    </row>
    <row r="501" ht="15.75" customHeight="1" spans="22:22">
      <c r="V501" s="99"/>
    </row>
    <row r="502" ht="15.75" customHeight="1" spans="22:22">
      <c r="V502" s="99"/>
    </row>
    <row r="503" ht="15.75" customHeight="1" spans="22:22">
      <c r="V503" s="99"/>
    </row>
    <row r="504" ht="15.75" customHeight="1" spans="22:22">
      <c r="V504" s="99"/>
    </row>
    <row r="505" ht="15.75" customHeight="1" spans="22:22">
      <c r="V505" s="99"/>
    </row>
    <row r="506" ht="15.75" customHeight="1" spans="22:22">
      <c r="V506" s="99"/>
    </row>
    <row r="507" ht="15.75" customHeight="1" spans="22:22">
      <c r="V507" s="99"/>
    </row>
    <row r="508" ht="15.75" customHeight="1" spans="22:22">
      <c r="V508" s="99"/>
    </row>
    <row r="509" ht="15.75" customHeight="1" spans="22:22">
      <c r="V509" s="99"/>
    </row>
    <row r="510" ht="15.75" customHeight="1" spans="22:22">
      <c r="V510" s="99"/>
    </row>
    <row r="511" ht="15.75" customHeight="1" spans="22:22">
      <c r="V511" s="99"/>
    </row>
    <row r="512" ht="15.75" customHeight="1" spans="22:22">
      <c r="V512" s="99"/>
    </row>
    <row r="513" ht="15.75" customHeight="1" spans="22:22">
      <c r="V513" s="99"/>
    </row>
    <row r="514" ht="15.75" customHeight="1" spans="22:22">
      <c r="V514" s="99"/>
    </row>
    <row r="515" ht="15.75" customHeight="1" spans="22:22">
      <c r="V515" s="99"/>
    </row>
    <row r="516" ht="15.75" customHeight="1" spans="22:22">
      <c r="V516" s="99"/>
    </row>
    <row r="517" ht="15.75" customHeight="1" spans="22:22">
      <c r="V517" s="99"/>
    </row>
    <row r="518" ht="15.75" customHeight="1" spans="22:22">
      <c r="V518" s="99"/>
    </row>
    <row r="519" ht="15.75" customHeight="1" spans="22:22">
      <c r="V519" s="99"/>
    </row>
    <row r="520" ht="15.75" customHeight="1" spans="22:22">
      <c r="V520" s="99"/>
    </row>
    <row r="521" ht="15.75" customHeight="1" spans="22:22">
      <c r="V521" s="99"/>
    </row>
    <row r="522" ht="15.75" customHeight="1" spans="22:22">
      <c r="V522" s="99"/>
    </row>
    <row r="523" ht="15.75" customHeight="1" spans="22:22">
      <c r="V523" s="99"/>
    </row>
    <row r="524" ht="15.75" customHeight="1" spans="22:22">
      <c r="V524" s="99"/>
    </row>
    <row r="525" ht="15.75" customHeight="1" spans="22:22">
      <c r="V525" s="99"/>
    </row>
    <row r="526" ht="15.75" customHeight="1" spans="22:22">
      <c r="V526" s="99"/>
    </row>
    <row r="527" ht="15.75" customHeight="1" spans="22:22">
      <c r="V527" s="99"/>
    </row>
    <row r="528" ht="15.75" customHeight="1" spans="22:22">
      <c r="V528" s="99"/>
    </row>
    <row r="529" ht="15.75" customHeight="1" spans="22:22">
      <c r="V529" s="99"/>
    </row>
    <row r="530" ht="15.75" customHeight="1" spans="22:22">
      <c r="V530" s="99"/>
    </row>
    <row r="531" ht="15.75" customHeight="1" spans="22:22">
      <c r="V531" s="99"/>
    </row>
    <row r="532" ht="15.75" customHeight="1" spans="22:22">
      <c r="V532" s="99"/>
    </row>
    <row r="533" ht="15.75" customHeight="1" spans="22:22">
      <c r="V533" s="99"/>
    </row>
    <row r="534" ht="15.75" customHeight="1" spans="22:22">
      <c r="V534" s="99"/>
    </row>
    <row r="535" ht="15.75" customHeight="1" spans="22:22">
      <c r="V535" s="99"/>
    </row>
    <row r="536" ht="15.75" customHeight="1" spans="22:22">
      <c r="V536" s="99"/>
    </row>
    <row r="537" ht="15.75" customHeight="1" spans="22:22">
      <c r="V537" s="99"/>
    </row>
    <row r="538" ht="15.75" customHeight="1" spans="22:22">
      <c r="V538" s="99"/>
    </row>
    <row r="539" ht="15.75" customHeight="1" spans="22:22">
      <c r="V539" s="99"/>
    </row>
    <row r="540" ht="15.75" customHeight="1" spans="22:22">
      <c r="V540" s="99"/>
    </row>
    <row r="541" ht="15.75" customHeight="1" spans="22:22">
      <c r="V541" s="99"/>
    </row>
    <row r="542" ht="15.75" customHeight="1" spans="22:22">
      <c r="V542" s="99"/>
    </row>
    <row r="543" ht="15.75" customHeight="1" spans="22:22">
      <c r="V543" s="99"/>
    </row>
    <row r="544" ht="15.75" customHeight="1" spans="22:22">
      <c r="V544" s="99"/>
    </row>
    <row r="545" ht="15.75" customHeight="1" spans="22:22">
      <c r="V545" s="99"/>
    </row>
    <row r="546" ht="15.75" customHeight="1" spans="22:22">
      <c r="V546" s="99"/>
    </row>
    <row r="547" ht="15.75" customHeight="1" spans="22:22">
      <c r="V547" s="99"/>
    </row>
    <row r="548" ht="15.75" customHeight="1" spans="22:22">
      <c r="V548" s="99"/>
    </row>
    <row r="549" ht="15.75" customHeight="1" spans="22:22">
      <c r="V549" s="99"/>
    </row>
    <row r="550" ht="15.75" customHeight="1" spans="22:22">
      <c r="V550" s="99"/>
    </row>
    <row r="551" ht="15.75" customHeight="1" spans="22:22">
      <c r="V551" s="99"/>
    </row>
    <row r="552" ht="15.75" customHeight="1" spans="22:22">
      <c r="V552" s="99"/>
    </row>
    <row r="553" ht="15.75" customHeight="1" spans="22:22">
      <c r="V553" s="99"/>
    </row>
    <row r="554" ht="15.75" customHeight="1" spans="22:22">
      <c r="V554" s="99"/>
    </row>
    <row r="555" ht="15.75" customHeight="1" spans="22:22">
      <c r="V555" s="99"/>
    </row>
    <row r="556" ht="15.75" customHeight="1" spans="22:22">
      <c r="V556" s="99"/>
    </row>
    <row r="557" ht="15.75" customHeight="1" spans="22:22">
      <c r="V557" s="99"/>
    </row>
    <row r="558" ht="15.75" customHeight="1" spans="22:22">
      <c r="V558" s="99"/>
    </row>
    <row r="559" ht="15.75" customHeight="1" spans="22:22">
      <c r="V559" s="99"/>
    </row>
    <row r="560" ht="15.75" customHeight="1" spans="22:22">
      <c r="V560" s="99"/>
    </row>
    <row r="561" ht="15.75" customHeight="1" spans="22:22">
      <c r="V561" s="99"/>
    </row>
    <row r="562" ht="15.75" customHeight="1" spans="22:22">
      <c r="V562" s="99"/>
    </row>
    <row r="563" ht="15.75" customHeight="1" spans="22:22">
      <c r="V563" s="99"/>
    </row>
    <row r="564" ht="15.75" customHeight="1" spans="22:22">
      <c r="V564" s="99"/>
    </row>
    <row r="565" ht="15.75" customHeight="1" spans="22:22">
      <c r="V565" s="99"/>
    </row>
    <row r="566" ht="15.75" customHeight="1" spans="22:22">
      <c r="V566" s="99"/>
    </row>
    <row r="567" ht="15.75" customHeight="1" spans="22:22">
      <c r="V567" s="99"/>
    </row>
    <row r="568" ht="15.75" customHeight="1" spans="22:22">
      <c r="V568" s="99"/>
    </row>
    <row r="569" ht="15.75" customHeight="1" spans="22:22">
      <c r="V569" s="99"/>
    </row>
    <row r="570" ht="15.75" customHeight="1" spans="22:22">
      <c r="V570" s="99"/>
    </row>
    <row r="571" ht="15.75" customHeight="1" spans="22:22">
      <c r="V571" s="99"/>
    </row>
    <row r="572" ht="15.75" customHeight="1" spans="22:22">
      <c r="V572" s="99"/>
    </row>
    <row r="573" ht="15.75" customHeight="1" spans="22:22">
      <c r="V573" s="99"/>
    </row>
    <row r="574" ht="15.75" customHeight="1" spans="22:22">
      <c r="V574" s="99"/>
    </row>
    <row r="575" ht="15.75" customHeight="1" spans="22:22">
      <c r="V575" s="99"/>
    </row>
    <row r="576" ht="15.75" customHeight="1" spans="22:22">
      <c r="V576" s="99"/>
    </row>
    <row r="577" ht="15.75" customHeight="1" spans="22:22">
      <c r="V577" s="99"/>
    </row>
    <row r="578" ht="15.75" customHeight="1" spans="22:22">
      <c r="V578" s="99"/>
    </row>
    <row r="579" ht="15.75" customHeight="1" spans="22:22">
      <c r="V579" s="99"/>
    </row>
    <row r="580" ht="15.75" customHeight="1" spans="22:22">
      <c r="V580" s="99"/>
    </row>
    <row r="581" ht="15.75" customHeight="1" spans="22:22">
      <c r="V581" s="99"/>
    </row>
    <row r="582" ht="15.75" customHeight="1" spans="22:22">
      <c r="V582" s="99"/>
    </row>
    <row r="583" ht="15.75" customHeight="1" spans="22:22">
      <c r="V583" s="99"/>
    </row>
    <row r="584" ht="15.75" customHeight="1" spans="22:22">
      <c r="V584" s="99"/>
    </row>
    <row r="585" ht="15.75" customHeight="1" spans="22:22">
      <c r="V585" s="99"/>
    </row>
    <row r="586" ht="15.75" customHeight="1" spans="22:22">
      <c r="V586" s="99"/>
    </row>
    <row r="587" ht="15.75" customHeight="1" spans="22:22">
      <c r="V587" s="99"/>
    </row>
    <row r="588" ht="15.75" customHeight="1" spans="22:22">
      <c r="V588" s="99"/>
    </row>
    <row r="589" ht="15.75" customHeight="1" spans="22:22">
      <c r="V589" s="99"/>
    </row>
    <row r="590" ht="15.75" customHeight="1" spans="22:22">
      <c r="V590" s="99"/>
    </row>
    <row r="591" ht="15.75" customHeight="1" spans="22:22">
      <c r="V591" s="99"/>
    </row>
    <row r="592" ht="15.75" customHeight="1" spans="22:22">
      <c r="V592" s="99"/>
    </row>
    <row r="593" ht="15.75" customHeight="1" spans="22:22">
      <c r="V593" s="99"/>
    </row>
    <row r="594" ht="15.75" customHeight="1" spans="22:22">
      <c r="V594" s="99"/>
    </row>
    <row r="595" ht="15.75" customHeight="1" spans="22:22">
      <c r="V595" s="99"/>
    </row>
    <row r="596" ht="15.75" customHeight="1" spans="22:22">
      <c r="V596" s="99"/>
    </row>
    <row r="597" ht="15.75" customHeight="1" spans="22:22">
      <c r="V597" s="99"/>
    </row>
    <row r="598" ht="15.75" customHeight="1" spans="22:22">
      <c r="V598" s="99"/>
    </row>
    <row r="599" ht="15.75" customHeight="1" spans="22:22">
      <c r="V599" s="99"/>
    </row>
    <row r="600" ht="15.75" customHeight="1" spans="22:22">
      <c r="V600" s="99"/>
    </row>
    <row r="601" ht="15.75" customHeight="1" spans="22:22">
      <c r="V601" s="99"/>
    </row>
    <row r="602" ht="15.75" customHeight="1" spans="22:22">
      <c r="V602" s="99"/>
    </row>
    <row r="603" ht="15.75" customHeight="1" spans="22:22">
      <c r="V603" s="99"/>
    </row>
    <row r="604" ht="15.75" customHeight="1" spans="22:22">
      <c r="V604" s="99"/>
    </row>
    <row r="605" ht="15.75" customHeight="1" spans="22:22">
      <c r="V605" s="99"/>
    </row>
    <row r="606" ht="15.75" customHeight="1" spans="22:22">
      <c r="V606" s="99"/>
    </row>
    <row r="607" ht="15.75" customHeight="1" spans="22:22">
      <c r="V607" s="99"/>
    </row>
    <row r="608" ht="15.75" customHeight="1" spans="22:22">
      <c r="V608" s="99"/>
    </row>
    <row r="609" ht="15.75" customHeight="1" spans="22:22">
      <c r="V609" s="99"/>
    </row>
    <row r="610" ht="15.75" customHeight="1" spans="22:22">
      <c r="V610" s="99"/>
    </row>
    <row r="611" ht="15.75" customHeight="1" spans="22:22">
      <c r="V611" s="99"/>
    </row>
    <row r="612" ht="15.75" customHeight="1" spans="22:22">
      <c r="V612" s="99"/>
    </row>
    <row r="613" ht="15.75" customHeight="1" spans="22:22">
      <c r="V613" s="99"/>
    </row>
    <row r="614" ht="15.75" customHeight="1" spans="22:22">
      <c r="V614" s="99"/>
    </row>
    <row r="615" ht="15.75" customHeight="1" spans="22:22">
      <c r="V615" s="99"/>
    </row>
    <row r="616" ht="15.75" customHeight="1" spans="22:22">
      <c r="V616" s="99"/>
    </row>
    <row r="617" ht="15.75" customHeight="1" spans="22:22">
      <c r="V617" s="99"/>
    </row>
    <row r="618" ht="15.75" customHeight="1" spans="22:22">
      <c r="V618" s="99"/>
    </row>
    <row r="619" ht="15.75" customHeight="1" spans="22:22">
      <c r="V619" s="99"/>
    </row>
    <row r="620" ht="15.75" customHeight="1" spans="22:22">
      <c r="V620" s="99"/>
    </row>
    <row r="621" ht="15.75" customHeight="1" spans="22:22">
      <c r="V621" s="99"/>
    </row>
    <row r="622" ht="15.75" customHeight="1" spans="22:22">
      <c r="V622" s="99"/>
    </row>
    <row r="623" ht="15.75" customHeight="1" spans="22:22">
      <c r="V623" s="99"/>
    </row>
    <row r="624" ht="15.75" customHeight="1" spans="22:22">
      <c r="V624" s="99"/>
    </row>
    <row r="625" ht="15.75" customHeight="1" spans="22:22">
      <c r="V625" s="99"/>
    </row>
    <row r="626" ht="15.75" customHeight="1" spans="22:22">
      <c r="V626" s="99"/>
    </row>
    <row r="627" ht="15.75" customHeight="1" spans="22:22">
      <c r="V627" s="99"/>
    </row>
    <row r="628" ht="15.75" customHeight="1" spans="22:22">
      <c r="V628" s="99"/>
    </row>
    <row r="629" ht="15.75" customHeight="1" spans="22:22">
      <c r="V629" s="99"/>
    </row>
    <row r="630" ht="15.75" customHeight="1" spans="22:22">
      <c r="V630" s="99"/>
    </row>
    <row r="631" ht="15.75" customHeight="1" spans="22:22">
      <c r="V631" s="99"/>
    </row>
    <row r="632" ht="15.75" customHeight="1" spans="22:22">
      <c r="V632" s="99"/>
    </row>
    <row r="633" ht="15.75" customHeight="1" spans="22:22">
      <c r="V633" s="99"/>
    </row>
    <row r="634" ht="15.75" customHeight="1" spans="22:22">
      <c r="V634" s="99"/>
    </row>
    <row r="635" ht="15.75" customHeight="1" spans="22:22">
      <c r="V635" s="99"/>
    </row>
    <row r="636" ht="15.75" customHeight="1" spans="22:22">
      <c r="V636" s="99"/>
    </row>
    <row r="637" ht="15.75" customHeight="1" spans="22:22">
      <c r="V637" s="99"/>
    </row>
    <row r="638" ht="15.75" customHeight="1" spans="22:22">
      <c r="V638" s="99"/>
    </row>
    <row r="639" ht="15.75" customHeight="1" spans="22:22">
      <c r="V639" s="99"/>
    </row>
    <row r="640" ht="15.75" customHeight="1" spans="22:22">
      <c r="V640" s="99"/>
    </row>
    <row r="641" ht="15.75" customHeight="1" spans="22:22">
      <c r="V641" s="99"/>
    </row>
    <row r="642" ht="15.75" customHeight="1" spans="22:22">
      <c r="V642" s="99"/>
    </row>
    <row r="643" ht="15.75" customHeight="1" spans="22:22">
      <c r="V643" s="99"/>
    </row>
    <row r="644" ht="15.75" customHeight="1" spans="22:22">
      <c r="V644" s="99"/>
    </row>
    <row r="645" ht="15.75" customHeight="1" spans="22:22">
      <c r="V645" s="99"/>
    </row>
    <row r="646" ht="15.75" customHeight="1" spans="22:22">
      <c r="V646" s="99"/>
    </row>
    <row r="647" ht="15.75" customHeight="1" spans="22:22">
      <c r="V647" s="99"/>
    </row>
    <row r="648" ht="15.75" customHeight="1" spans="22:22">
      <c r="V648" s="99"/>
    </row>
    <row r="649" ht="15.75" customHeight="1" spans="22:22">
      <c r="V649" s="99"/>
    </row>
    <row r="650" ht="15.75" customHeight="1" spans="22:22">
      <c r="V650" s="99"/>
    </row>
    <row r="651" ht="15.75" customHeight="1" spans="22:22">
      <c r="V651" s="99"/>
    </row>
    <row r="652" ht="15.75" customHeight="1" spans="22:22">
      <c r="V652" s="99"/>
    </row>
    <row r="653" ht="15.75" customHeight="1" spans="22:22">
      <c r="V653" s="99"/>
    </row>
    <row r="654" ht="15.75" customHeight="1" spans="22:22">
      <c r="V654" s="99"/>
    </row>
    <row r="655" ht="15.75" customHeight="1" spans="22:22">
      <c r="V655" s="99"/>
    </row>
    <row r="656" ht="15.75" customHeight="1" spans="22:22">
      <c r="V656" s="99"/>
    </row>
    <row r="657" ht="15.75" customHeight="1" spans="22:22">
      <c r="V657" s="99"/>
    </row>
    <row r="658" ht="15.75" customHeight="1" spans="22:22">
      <c r="V658" s="99"/>
    </row>
    <row r="659" ht="15.75" customHeight="1" spans="22:22">
      <c r="V659" s="99"/>
    </row>
    <row r="660" ht="15.75" customHeight="1" spans="22:22">
      <c r="V660" s="99"/>
    </row>
    <row r="661" ht="15.75" customHeight="1" spans="22:22">
      <c r="V661" s="99"/>
    </row>
    <row r="662" ht="15.75" customHeight="1" spans="22:22">
      <c r="V662" s="99"/>
    </row>
    <row r="663" ht="15.75" customHeight="1" spans="22:22">
      <c r="V663" s="99"/>
    </row>
    <row r="664" ht="15.75" customHeight="1" spans="22:22">
      <c r="V664" s="99"/>
    </row>
    <row r="665" ht="15.75" customHeight="1" spans="22:22">
      <c r="V665" s="99"/>
    </row>
    <row r="666" ht="15.75" customHeight="1" spans="22:22">
      <c r="V666" s="99"/>
    </row>
    <row r="667" ht="15.75" customHeight="1" spans="22:22">
      <c r="V667" s="99"/>
    </row>
    <row r="668" ht="15.75" customHeight="1" spans="22:22">
      <c r="V668" s="99"/>
    </row>
    <row r="669" ht="15.75" customHeight="1" spans="22:22">
      <c r="V669" s="99"/>
    </row>
    <row r="670" ht="15.75" customHeight="1" spans="22:22">
      <c r="V670" s="99"/>
    </row>
    <row r="671" ht="15.75" customHeight="1" spans="22:22">
      <c r="V671" s="99"/>
    </row>
    <row r="672" ht="15.75" customHeight="1" spans="22:22">
      <c r="V672" s="99"/>
    </row>
    <row r="673" ht="15.75" customHeight="1" spans="22:22">
      <c r="V673" s="99"/>
    </row>
    <row r="674" ht="15.75" customHeight="1" spans="22:22">
      <c r="V674" s="99"/>
    </row>
    <row r="675" ht="15.75" customHeight="1" spans="22:22">
      <c r="V675" s="99"/>
    </row>
    <row r="676" ht="15.75" customHeight="1" spans="22:22">
      <c r="V676" s="99"/>
    </row>
    <row r="677" ht="15.75" customHeight="1" spans="22:22">
      <c r="V677" s="99"/>
    </row>
    <row r="678" ht="15.75" customHeight="1" spans="22:22">
      <c r="V678" s="99"/>
    </row>
    <row r="679" ht="15.75" customHeight="1" spans="22:22">
      <c r="V679" s="99"/>
    </row>
    <row r="680" ht="15.75" customHeight="1" spans="22:22">
      <c r="V680" s="99"/>
    </row>
    <row r="681" ht="15.75" customHeight="1" spans="22:22">
      <c r="V681" s="99"/>
    </row>
    <row r="682" ht="15.75" customHeight="1" spans="22:22">
      <c r="V682" s="99"/>
    </row>
    <row r="683" ht="15.75" customHeight="1" spans="22:22">
      <c r="V683" s="99"/>
    </row>
    <row r="684" ht="15.75" customHeight="1" spans="22:22">
      <c r="V684" s="99"/>
    </row>
    <row r="685" ht="15.75" customHeight="1" spans="22:22">
      <c r="V685" s="99"/>
    </row>
    <row r="686" ht="15.75" customHeight="1" spans="22:22">
      <c r="V686" s="99"/>
    </row>
    <row r="687" ht="15.75" customHeight="1" spans="22:22">
      <c r="V687" s="99"/>
    </row>
    <row r="688" ht="15.75" customHeight="1" spans="22:22">
      <c r="V688" s="99"/>
    </row>
    <row r="689" ht="15.75" customHeight="1" spans="22:22">
      <c r="V689" s="99"/>
    </row>
    <row r="690" ht="15.75" customHeight="1" spans="22:22">
      <c r="V690" s="99"/>
    </row>
    <row r="691" ht="15.75" customHeight="1" spans="22:22">
      <c r="V691" s="99"/>
    </row>
    <row r="692" ht="15.75" customHeight="1" spans="22:22">
      <c r="V692" s="99"/>
    </row>
    <row r="693" ht="15.75" customHeight="1" spans="22:22">
      <c r="V693" s="99"/>
    </row>
    <row r="694" ht="15.75" customHeight="1" spans="22:22">
      <c r="V694" s="99"/>
    </row>
    <row r="695" ht="15.75" customHeight="1" spans="22:22">
      <c r="V695" s="99"/>
    </row>
    <row r="696" ht="15.75" customHeight="1" spans="22:22">
      <c r="V696" s="99"/>
    </row>
    <row r="697" ht="15.75" customHeight="1" spans="22:22">
      <c r="V697" s="99"/>
    </row>
    <row r="698" ht="15.75" customHeight="1" spans="22:22">
      <c r="V698" s="99"/>
    </row>
    <row r="699" ht="15.75" customHeight="1" spans="22:22">
      <c r="V699" s="99"/>
    </row>
    <row r="700" ht="15.75" customHeight="1" spans="22:22">
      <c r="V700" s="99"/>
    </row>
    <row r="701" ht="15.75" customHeight="1" spans="22:22">
      <c r="V701" s="99"/>
    </row>
    <row r="702" ht="15.75" customHeight="1" spans="22:22">
      <c r="V702" s="99"/>
    </row>
    <row r="703" ht="15.75" customHeight="1" spans="22:22">
      <c r="V703" s="99"/>
    </row>
    <row r="704" ht="15.75" customHeight="1" spans="22:22">
      <c r="V704" s="99"/>
    </row>
    <row r="705" ht="15.75" customHeight="1" spans="22:22">
      <c r="V705" s="99"/>
    </row>
    <row r="706" ht="15.75" customHeight="1" spans="22:22">
      <c r="V706" s="99"/>
    </row>
    <row r="707" ht="15.75" customHeight="1" spans="22:22">
      <c r="V707" s="99"/>
    </row>
    <row r="708" ht="15.75" customHeight="1" spans="22:22">
      <c r="V708" s="99"/>
    </row>
    <row r="709" ht="15.75" customHeight="1" spans="22:22">
      <c r="V709" s="99"/>
    </row>
    <row r="710" ht="15.75" customHeight="1" spans="22:22">
      <c r="V710" s="99"/>
    </row>
    <row r="711" ht="15.75" customHeight="1" spans="22:22">
      <c r="V711" s="99"/>
    </row>
    <row r="712" ht="15.75" customHeight="1" spans="22:22">
      <c r="V712" s="99"/>
    </row>
    <row r="713" ht="15.75" customHeight="1" spans="22:22">
      <c r="V713" s="99"/>
    </row>
    <row r="714" ht="15.75" customHeight="1" spans="22:22">
      <c r="V714" s="99"/>
    </row>
    <row r="715" ht="15.75" customHeight="1" spans="22:22">
      <c r="V715" s="99"/>
    </row>
    <row r="716" ht="15.75" customHeight="1" spans="22:22">
      <c r="V716" s="99"/>
    </row>
    <row r="717" ht="15.75" customHeight="1" spans="22:22">
      <c r="V717" s="99"/>
    </row>
    <row r="718" ht="15.75" customHeight="1" spans="22:22">
      <c r="V718" s="99"/>
    </row>
    <row r="719" ht="15.75" customHeight="1" spans="22:22">
      <c r="V719" s="99"/>
    </row>
    <row r="720" ht="15.75" customHeight="1" spans="22:22">
      <c r="V720" s="99"/>
    </row>
    <row r="721" ht="15.75" customHeight="1" spans="22:22">
      <c r="V721" s="99"/>
    </row>
    <row r="722" ht="15.75" customHeight="1" spans="22:22">
      <c r="V722" s="99"/>
    </row>
    <row r="723" ht="15.75" customHeight="1" spans="22:22">
      <c r="V723" s="99"/>
    </row>
    <row r="724" ht="15.75" customHeight="1" spans="22:22">
      <c r="V724" s="99"/>
    </row>
    <row r="725" ht="15.75" customHeight="1" spans="22:22">
      <c r="V725" s="99"/>
    </row>
    <row r="726" ht="15.75" customHeight="1" spans="22:22">
      <c r="V726" s="99"/>
    </row>
    <row r="727" ht="15.75" customHeight="1" spans="22:22">
      <c r="V727" s="99"/>
    </row>
    <row r="728" ht="15.75" customHeight="1" spans="22:22">
      <c r="V728" s="99"/>
    </row>
    <row r="729" ht="15.75" customHeight="1" spans="22:22">
      <c r="V729" s="99"/>
    </row>
    <row r="730" ht="15.75" customHeight="1" spans="22:22">
      <c r="V730" s="99"/>
    </row>
    <row r="731" ht="15.75" customHeight="1" spans="22:22">
      <c r="V731" s="99"/>
    </row>
    <row r="732" ht="15.75" customHeight="1" spans="22:22">
      <c r="V732" s="99"/>
    </row>
    <row r="733" ht="15.75" customHeight="1" spans="22:22">
      <c r="V733" s="99"/>
    </row>
    <row r="734" ht="15.75" customHeight="1" spans="22:22">
      <c r="V734" s="99"/>
    </row>
    <row r="735" ht="15.75" customHeight="1" spans="22:22">
      <c r="V735" s="99"/>
    </row>
    <row r="736" ht="15.75" customHeight="1" spans="22:22">
      <c r="V736" s="99"/>
    </row>
    <row r="737" ht="15.75" customHeight="1" spans="22:22">
      <c r="V737" s="99"/>
    </row>
    <row r="738" ht="15.75" customHeight="1" spans="22:22">
      <c r="V738" s="99"/>
    </row>
    <row r="739" ht="15.75" customHeight="1" spans="22:22">
      <c r="V739" s="99"/>
    </row>
    <row r="740" ht="15.75" customHeight="1" spans="22:22">
      <c r="V740" s="99"/>
    </row>
    <row r="741" ht="15.75" customHeight="1" spans="22:22">
      <c r="V741" s="99"/>
    </row>
    <row r="742" ht="15.75" customHeight="1" spans="22:22">
      <c r="V742" s="99"/>
    </row>
    <row r="743" ht="15.75" customHeight="1" spans="22:22">
      <c r="V743" s="99"/>
    </row>
    <row r="744" ht="15.75" customHeight="1" spans="22:22">
      <c r="V744" s="99"/>
    </row>
    <row r="745" ht="15.75" customHeight="1" spans="22:22">
      <c r="V745" s="99"/>
    </row>
    <row r="746" ht="15.75" customHeight="1" spans="22:22">
      <c r="V746" s="99"/>
    </row>
    <row r="747" ht="15.75" customHeight="1" spans="22:22">
      <c r="V747" s="99"/>
    </row>
    <row r="748" ht="15.75" customHeight="1" spans="22:22">
      <c r="V748" s="99"/>
    </row>
    <row r="749" ht="15.75" customHeight="1" spans="22:22">
      <c r="V749" s="99"/>
    </row>
    <row r="750" ht="15.75" customHeight="1" spans="22:22">
      <c r="V750" s="99"/>
    </row>
    <row r="751" ht="15.75" customHeight="1" spans="22:22">
      <c r="V751" s="99"/>
    </row>
    <row r="752" ht="15.75" customHeight="1" spans="22:22">
      <c r="V752" s="99"/>
    </row>
    <row r="753" ht="15.75" customHeight="1" spans="22:22">
      <c r="V753" s="99"/>
    </row>
    <row r="754" ht="15.75" customHeight="1" spans="22:22">
      <c r="V754" s="99"/>
    </row>
    <row r="755" ht="15.75" customHeight="1" spans="22:22">
      <c r="V755" s="99"/>
    </row>
    <row r="756" ht="15.75" customHeight="1" spans="22:22">
      <c r="V756" s="99"/>
    </row>
    <row r="757" ht="15.75" customHeight="1" spans="22:22">
      <c r="V757" s="99"/>
    </row>
    <row r="758" ht="15.75" customHeight="1" spans="22:22">
      <c r="V758" s="99"/>
    </row>
    <row r="759" ht="15.75" customHeight="1" spans="22:22">
      <c r="V759" s="99"/>
    </row>
    <row r="760" ht="15.75" customHeight="1" spans="22:22">
      <c r="V760" s="99"/>
    </row>
    <row r="761" ht="15.75" customHeight="1" spans="22:22">
      <c r="V761" s="99"/>
    </row>
    <row r="762" ht="15.75" customHeight="1" spans="22:22">
      <c r="V762" s="99"/>
    </row>
    <row r="763" ht="15.75" customHeight="1" spans="22:22">
      <c r="V763" s="99"/>
    </row>
    <row r="764" ht="15.75" customHeight="1" spans="22:22">
      <c r="V764" s="99"/>
    </row>
    <row r="765" ht="15.75" customHeight="1" spans="22:22">
      <c r="V765" s="99"/>
    </row>
    <row r="766" ht="15.75" customHeight="1" spans="22:22">
      <c r="V766" s="99"/>
    </row>
    <row r="767" ht="15.75" customHeight="1" spans="22:22">
      <c r="V767" s="99"/>
    </row>
    <row r="768" ht="15.75" customHeight="1" spans="22:22">
      <c r="V768" s="99"/>
    </row>
    <row r="769" ht="15.75" customHeight="1" spans="22:22">
      <c r="V769" s="99"/>
    </row>
    <row r="770" ht="15.75" customHeight="1" spans="22:22">
      <c r="V770" s="99"/>
    </row>
    <row r="771" ht="15.75" customHeight="1" spans="22:22">
      <c r="V771" s="99"/>
    </row>
    <row r="772" ht="15.75" customHeight="1" spans="22:22">
      <c r="V772" s="99"/>
    </row>
    <row r="773" ht="15.75" customHeight="1" spans="22:22">
      <c r="V773" s="99"/>
    </row>
    <row r="774" ht="15.75" customHeight="1" spans="22:22">
      <c r="V774" s="99"/>
    </row>
    <row r="775" ht="15.75" customHeight="1" spans="22:22">
      <c r="V775" s="99"/>
    </row>
    <row r="776" ht="15.75" customHeight="1" spans="22:22">
      <c r="V776" s="99"/>
    </row>
    <row r="777" ht="15.75" customHeight="1" spans="22:22">
      <c r="V777" s="99"/>
    </row>
    <row r="778" ht="15.75" customHeight="1" spans="22:22">
      <c r="V778" s="99"/>
    </row>
    <row r="779" ht="15.75" customHeight="1" spans="22:22">
      <c r="V779" s="99"/>
    </row>
    <row r="780" ht="15.75" customHeight="1" spans="22:22">
      <c r="V780" s="99"/>
    </row>
    <row r="781" ht="15.75" customHeight="1" spans="22:22">
      <c r="V781" s="99"/>
    </row>
    <row r="782" ht="15.75" customHeight="1" spans="22:22">
      <c r="V782" s="99"/>
    </row>
    <row r="783" ht="15.75" customHeight="1" spans="22:22">
      <c r="V783" s="99"/>
    </row>
    <row r="784" ht="15.75" customHeight="1" spans="22:22">
      <c r="V784" s="99"/>
    </row>
    <row r="785" ht="15.75" customHeight="1" spans="22:22">
      <c r="V785" s="99"/>
    </row>
    <row r="786" ht="15.75" customHeight="1" spans="22:22">
      <c r="V786" s="99"/>
    </row>
    <row r="787" ht="15.75" customHeight="1" spans="22:22">
      <c r="V787" s="99"/>
    </row>
    <row r="788" ht="15.75" customHeight="1" spans="22:22">
      <c r="V788" s="99"/>
    </row>
    <row r="789" ht="15.75" customHeight="1" spans="22:22">
      <c r="V789" s="99"/>
    </row>
    <row r="790" ht="15.75" customHeight="1" spans="22:22">
      <c r="V790" s="99"/>
    </row>
    <row r="791" ht="15.75" customHeight="1" spans="22:22">
      <c r="V791" s="99"/>
    </row>
    <row r="792" ht="15.75" customHeight="1" spans="22:22">
      <c r="V792" s="99"/>
    </row>
    <row r="793" ht="15.75" customHeight="1" spans="22:22">
      <c r="V793" s="99"/>
    </row>
    <row r="794" ht="15.75" customHeight="1" spans="22:22">
      <c r="V794" s="99"/>
    </row>
    <row r="795" ht="15.75" customHeight="1" spans="22:22">
      <c r="V795" s="99"/>
    </row>
    <row r="796" ht="15.75" customHeight="1" spans="22:22">
      <c r="V796" s="99"/>
    </row>
    <row r="797" ht="15.75" customHeight="1" spans="22:22">
      <c r="V797" s="99"/>
    </row>
    <row r="798" ht="15.75" customHeight="1" spans="22:22">
      <c r="V798" s="99"/>
    </row>
    <row r="799" ht="15.75" customHeight="1" spans="22:22">
      <c r="V799" s="99"/>
    </row>
    <row r="800" ht="15.75" customHeight="1" spans="22:22">
      <c r="V800" s="99"/>
    </row>
    <row r="801" ht="15.75" customHeight="1" spans="22:22">
      <c r="V801" s="99"/>
    </row>
    <row r="802" ht="15.75" customHeight="1" spans="22:22">
      <c r="V802" s="99"/>
    </row>
    <row r="803" ht="15.75" customHeight="1" spans="22:22">
      <c r="V803" s="99"/>
    </row>
    <row r="804" ht="15.75" customHeight="1" spans="22:22">
      <c r="V804" s="99"/>
    </row>
    <row r="805" ht="15.75" customHeight="1" spans="22:22">
      <c r="V805" s="99"/>
    </row>
    <row r="806" ht="15.75" customHeight="1" spans="22:22">
      <c r="V806" s="99"/>
    </row>
    <row r="807" ht="15.75" customHeight="1" spans="22:22">
      <c r="V807" s="99"/>
    </row>
    <row r="808" ht="15.75" customHeight="1" spans="22:22">
      <c r="V808" s="99"/>
    </row>
    <row r="809" ht="15.75" customHeight="1" spans="22:22">
      <c r="V809" s="99"/>
    </row>
    <row r="810" ht="15.75" customHeight="1" spans="22:22">
      <c r="V810" s="99"/>
    </row>
    <row r="811" ht="15.75" customHeight="1" spans="22:22">
      <c r="V811" s="99"/>
    </row>
    <row r="812" ht="15.75" customHeight="1" spans="22:22">
      <c r="V812" s="99"/>
    </row>
    <row r="813" ht="15.75" customHeight="1" spans="22:22">
      <c r="V813" s="99"/>
    </row>
    <row r="814" ht="15.75" customHeight="1" spans="22:22">
      <c r="V814" s="99"/>
    </row>
    <row r="815" ht="15.75" customHeight="1" spans="22:22">
      <c r="V815" s="99"/>
    </row>
    <row r="816" ht="15.75" customHeight="1" spans="22:22">
      <c r="V816" s="99"/>
    </row>
    <row r="817" ht="15.75" customHeight="1" spans="22:22">
      <c r="V817" s="99"/>
    </row>
    <row r="818" ht="15.75" customHeight="1" spans="22:22">
      <c r="V818" s="99"/>
    </row>
    <row r="819" ht="15.75" customHeight="1" spans="22:22">
      <c r="V819" s="99"/>
    </row>
    <row r="820" ht="15.75" customHeight="1" spans="22:22">
      <c r="V820" s="99"/>
    </row>
    <row r="821" ht="15.75" customHeight="1" spans="22:22">
      <c r="V821" s="99"/>
    </row>
    <row r="822" ht="15.75" customHeight="1" spans="22:22">
      <c r="V822" s="99"/>
    </row>
    <row r="823" ht="15.75" customHeight="1" spans="22:22">
      <c r="V823" s="99"/>
    </row>
    <row r="824" ht="15.75" customHeight="1" spans="22:22">
      <c r="V824" s="99"/>
    </row>
    <row r="825" ht="15.75" customHeight="1" spans="22:22">
      <c r="V825" s="99"/>
    </row>
    <row r="826" ht="15.75" customHeight="1" spans="22:22">
      <c r="V826" s="99"/>
    </row>
    <row r="827" ht="15.75" customHeight="1" spans="22:22">
      <c r="V827" s="99"/>
    </row>
    <row r="828" ht="15.75" customHeight="1" spans="22:22">
      <c r="V828" s="99"/>
    </row>
    <row r="829" ht="15.75" customHeight="1" spans="22:22">
      <c r="V829" s="99"/>
    </row>
    <row r="830" ht="15.75" customHeight="1" spans="22:22">
      <c r="V830" s="99"/>
    </row>
    <row r="831" ht="15.75" customHeight="1" spans="22:22">
      <c r="V831" s="99"/>
    </row>
    <row r="832" ht="15.75" customHeight="1" spans="22:22">
      <c r="V832" s="99"/>
    </row>
    <row r="833" ht="15.75" customHeight="1" spans="22:22">
      <c r="V833" s="99"/>
    </row>
    <row r="834" ht="15.75" customHeight="1" spans="22:22">
      <c r="V834" s="99"/>
    </row>
    <row r="835" ht="15.75" customHeight="1" spans="22:22">
      <c r="V835" s="99"/>
    </row>
    <row r="836" ht="15.75" customHeight="1" spans="22:22">
      <c r="V836" s="99"/>
    </row>
    <row r="837" ht="15.75" customHeight="1" spans="22:22">
      <c r="V837" s="99"/>
    </row>
    <row r="838" ht="15.75" customHeight="1" spans="22:22">
      <c r="V838" s="99"/>
    </row>
    <row r="839" ht="15.75" customHeight="1" spans="22:22">
      <c r="V839" s="99"/>
    </row>
    <row r="840" ht="15.75" customHeight="1" spans="22:22">
      <c r="V840" s="99"/>
    </row>
    <row r="841" ht="15.75" customHeight="1" spans="22:22">
      <c r="V841" s="99"/>
    </row>
    <row r="842" ht="15.75" customHeight="1" spans="22:22">
      <c r="V842" s="99"/>
    </row>
    <row r="843" ht="15.75" customHeight="1" spans="22:22">
      <c r="V843" s="99"/>
    </row>
    <row r="844" ht="15.75" customHeight="1" spans="22:22">
      <c r="V844" s="99"/>
    </row>
    <row r="845" ht="15.75" customHeight="1" spans="22:22">
      <c r="V845" s="99"/>
    </row>
    <row r="846" ht="15.75" customHeight="1" spans="22:22">
      <c r="V846" s="99"/>
    </row>
    <row r="847" ht="15.75" customHeight="1" spans="22:22">
      <c r="V847" s="99"/>
    </row>
    <row r="848" ht="15.75" customHeight="1" spans="22:22">
      <c r="V848" s="99"/>
    </row>
    <row r="849" ht="15.75" customHeight="1" spans="22:22">
      <c r="V849" s="99"/>
    </row>
    <row r="850" ht="15.75" customHeight="1" spans="22:22">
      <c r="V850" s="99"/>
    </row>
    <row r="851" ht="15.75" customHeight="1" spans="22:22">
      <c r="V851" s="99"/>
    </row>
    <row r="852" ht="15.75" customHeight="1" spans="22:22">
      <c r="V852" s="99"/>
    </row>
    <row r="853" ht="15.75" customHeight="1" spans="22:22">
      <c r="V853" s="99"/>
    </row>
    <row r="854" ht="15.75" customHeight="1" spans="22:22">
      <c r="V854" s="99"/>
    </row>
    <row r="855" ht="15.75" customHeight="1" spans="22:22">
      <c r="V855" s="99"/>
    </row>
    <row r="856" ht="15.75" customHeight="1" spans="22:22">
      <c r="V856" s="99"/>
    </row>
    <row r="857" ht="15.75" customHeight="1" spans="22:22">
      <c r="V857" s="99"/>
    </row>
    <row r="858" ht="15.75" customHeight="1" spans="22:22">
      <c r="V858" s="99"/>
    </row>
    <row r="859" ht="15.75" customHeight="1" spans="22:22">
      <c r="V859" s="99"/>
    </row>
    <row r="860" ht="15.75" customHeight="1" spans="22:22">
      <c r="V860" s="99"/>
    </row>
    <row r="861" ht="15.75" customHeight="1" spans="22:22">
      <c r="V861" s="99"/>
    </row>
    <row r="862" ht="15.75" customHeight="1" spans="22:22">
      <c r="V862" s="99"/>
    </row>
    <row r="863" ht="15.75" customHeight="1" spans="22:22">
      <c r="V863" s="99"/>
    </row>
    <row r="864" ht="15.75" customHeight="1" spans="22:22">
      <c r="V864" s="99"/>
    </row>
    <row r="865" ht="15.75" customHeight="1" spans="22:22">
      <c r="V865" s="99"/>
    </row>
    <row r="866" ht="15.75" customHeight="1" spans="22:22">
      <c r="V866" s="99"/>
    </row>
    <row r="867" ht="15.75" customHeight="1" spans="22:22">
      <c r="V867" s="99"/>
    </row>
    <row r="868" ht="15.75" customHeight="1" spans="22:22">
      <c r="V868" s="99"/>
    </row>
    <row r="869" ht="15.75" customHeight="1" spans="22:22">
      <c r="V869" s="99"/>
    </row>
    <row r="870" ht="15.75" customHeight="1" spans="22:22">
      <c r="V870" s="99"/>
    </row>
    <row r="871" ht="15.75" customHeight="1" spans="22:22">
      <c r="V871" s="99"/>
    </row>
    <row r="872" ht="15.75" customHeight="1" spans="22:22">
      <c r="V872" s="99"/>
    </row>
    <row r="873" ht="15.75" customHeight="1" spans="22:22">
      <c r="V873" s="99"/>
    </row>
    <row r="874" ht="15.75" customHeight="1" spans="22:22">
      <c r="V874" s="99"/>
    </row>
    <row r="875" ht="15.75" customHeight="1" spans="22:22">
      <c r="V875" s="99"/>
    </row>
    <row r="876" ht="15.75" customHeight="1" spans="22:22">
      <c r="V876" s="99"/>
    </row>
    <row r="877" ht="15.75" customHeight="1" spans="22:22">
      <c r="V877" s="99"/>
    </row>
    <row r="878" ht="15.75" customHeight="1" spans="22:22">
      <c r="V878" s="99"/>
    </row>
    <row r="879" ht="15.75" customHeight="1" spans="22:22">
      <c r="V879" s="99"/>
    </row>
    <row r="880" ht="15.75" customHeight="1" spans="22:22">
      <c r="V880" s="99"/>
    </row>
    <row r="881" ht="15.75" customHeight="1" spans="22:22">
      <c r="V881" s="99"/>
    </row>
    <row r="882" ht="15.75" customHeight="1" spans="22:22">
      <c r="V882" s="99"/>
    </row>
    <row r="883" ht="15.75" customHeight="1" spans="22:22">
      <c r="V883" s="99"/>
    </row>
    <row r="884" ht="15.75" customHeight="1" spans="22:22">
      <c r="V884" s="99"/>
    </row>
    <row r="885" ht="15.75" customHeight="1" spans="22:22">
      <c r="V885" s="99"/>
    </row>
    <row r="886" ht="15.75" customHeight="1" spans="22:22">
      <c r="V886" s="99"/>
    </row>
    <row r="887" ht="15.75" customHeight="1" spans="22:22">
      <c r="V887" s="99"/>
    </row>
    <row r="888" ht="15.75" customHeight="1" spans="22:22">
      <c r="V888" s="99"/>
    </row>
    <row r="889" ht="15.75" customHeight="1" spans="22:22">
      <c r="V889" s="99"/>
    </row>
    <row r="890" ht="15.75" customHeight="1" spans="22:22">
      <c r="V890" s="99"/>
    </row>
    <row r="891" ht="15.75" customHeight="1" spans="22:22">
      <c r="V891" s="99"/>
    </row>
    <row r="892" ht="15.75" customHeight="1" spans="22:22">
      <c r="V892" s="99"/>
    </row>
    <row r="893" ht="15.75" customHeight="1" spans="22:22">
      <c r="V893" s="99"/>
    </row>
    <row r="894" ht="15.75" customHeight="1" spans="22:22">
      <c r="V894" s="99"/>
    </row>
    <row r="895" ht="15.75" customHeight="1" spans="22:22">
      <c r="V895" s="99"/>
    </row>
    <row r="896" ht="15.75" customHeight="1" spans="22:22">
      <c r="V896" s="99"/>
    </row>
    <row r="897" ht="15.75" customHeight="1" spans="22:22">
      <c r="V897" s="99"/>
    </row>
    <row r="898" ht="15.75" customHeight="1" spans="22:22">
      <c r="V898" s="99"/>
    </row>
    <row r="899" ht="15.75" customHeight="1" spans="22:22">
      <c r="V899" s="99"/>
    </row>
    <row r="900" ht="15.75" customHeight="1" spans="22:22">
      <c r="V900" s="99"/>
    </row>
    <row r="901" ht="15.75" customHeight="1" spans="22:22">
      <c r="V901" s="99"/>
    </row>
    <row r="902" ht="15.75" customHeight="1" spans="22:22">
      <c r="V902" s="99"/>
    </row>
    <row r="903" ht="15.75" customHeight="1" spans="22:22">
      <c r="V903" s="99"/>
    </row>
    <row r="904" ht="15.75" customHeight="1" spans="22:22">
      <c r="V904" s="99"/>
    </row>
    <row r="905" ht="15.75" customHeight="1" spans="22:22">
      <c r="V905" s="99"/>
    </row>
    <row r="906" ht="15.75" customHeight="1" spans="22:22">
      <c r="V906" s="99"/>
    </row>
    <row r="907" ht="15.75" customHeight="1" spans="22:22">
      <c r="V907" s="99"/>
    </row>
    <row r="908" ht="15.75" customHeight="1" spans="22:22">
      <c r="V908" s="99"/>
    </row>
    <row r="909" ht="15.75" customHeight="1" spans="22:22">
      <c r="V909" s="99"/>
    </row>
    <row r="910" ht="15.75" customHeight="1" spans="22:22">
      <c r="V910" s="99"/>
    </row>
    <row r="911" ht="15.75" customHeight="1" spans="22:22">
      <c r="V911" s="99"/>
    </row>
    <row r="912" ht="15.75" customHeight="1" spans="22:22">
      <c r="V912" s="99"/>
    </row>
    <row r="913" ht="15.75" customHeight="1" spans="22:22">
      <c r="V913" s="99"/>
    </row>
    <row r="914" ht="15.75" customHeight="1" spans="22:22">
      <c r="V914" s="99"/>
    </row>
    <row r="915" ht="15.75" customHeight="1" spans="22:22">
      <c r="V915" s="99"/>
    </row>
    <row r="916" ht="15.75" customHeight="1" spans="22:22">
      <c r="V916" s="99"/>
    </row>
    <row r="917" ht="15.75" customHeight="1" spans="22:22">
      <c r="V917" s="99"/>
    </row>
    <row r="918" ht="15.75" customHeight="1" spans="22:22">
      <c r="V918" s="99"/>
    </row>
    <row r="919" ht="15.75" customHeight="1" spans="22:22">
      <c r="V919" s="99"/>
    </row>
    <row r="920" ht="15.75" customHeight="1" spans="22:22">
      <c r="V920" s="99"/>
    </row>
    <row r="921" ht="15.75" customHeight="1" spans="22:22">
      <c r="V921" s="99"/>
    </row>
    <row r="922" ht="15.75" customHeight="1" spans="22:22">
      <c r="V922" s="99"/>
    </row>
    <row r="923" ht="15.75" customHeight="1" spans="22:22">
      <c r="V923" s="99"/>
    </row>
    <row r="924" ht="15.75" customHeight="1" spans="22:22">
      <c r="V924" s="99"/>
    </row>
    <row r="925" ht="15.75" customHeight="1" spans="22:22">
      <c r="V925" s="99"/>
    </row>
    <row r="926" ht="15.75" customHeight="1" spans="22:22">
      <c r="V926" s="99"/>
    </row>
    <row r="927" ht="15.75" customHeight="1" spans="22:22">
      <c r="V927" s="99"/>
    </row>
    <row r="928" ht="15.75" customHeight="1" spans="22:22">
      <c r="V928" s="99"/>
    </row>
    <row r="929" ht="15.75" customHeight="1" spans="22:22">
      <c r="V929" s="99"/>
    </row>
    <row r="930" ht="15.75" customHeight="1" spans="22:22">
      <c r="V930" s="99"/>
    </row>
    <row r="931" ht="15.75" customHeight="1" spans="22:22">
      <c r="V931" s="99"/>
    </row>
    <row r="932" ht="15.75" customHeight="1" spans="22:22">
      <c r="V932" s="99"/>
    </row>
    <row r="933" ht="15.75" customHeight="1" spans="22:22">
      <c r="V933" s="99"/>
    </row>
    <row r="934" ht="15.75" customHeight="1" spans="22:22">
      <c r="V934" s="99"/>
    </row>
    <row r="935" ht="15.75" customHeight="1" spans="22:22">
      <c r="V935" s="99"/>
    </row>
    <row r="936" ht="15.75" customHeight="1" spans="22:22">
      <c r="V936" s="99"/>
    </row>
    <row r="937" ht="15.75" customHeight="1" spans="22:22">
      <c r="V937" s="99"/>
    </row>
    <row r="938" ht="15.75" customHeight="1" spans="22:22">
      <c r="V938" s="99"/>
    </row>
    <row r="939" ht="15.75" customHeight="1" spans="22:22">
      <c r="V939" s="99"/>
    </row>
    <row r="940" ht="15.75" customHeight="1" spans="22:22">
      <c r="V940" s="99"/>
    </row>
    <row r="941" ht="15.75" customHeight="1" spans="22:22">
      <c r="V941" s="99"/>
    </row>
    <row r="942" ht="15.75" customHeight="1" spans="22:22">
      <c r="V942" s="99"/>
    </row>
    <row r="943" ht="15.75" customHeight="1" spans="22:22">
      <c r="V943" s="99"/>
    </row>
    <row r="944" ht="15.75" customHeight="1" spans="22:22">
      <c r="V944" s="99"/>
    </row>
    <row r="945" ht="15.75" customHeight="1" spans="22:22">
      <c r="V945" s="99"/>
    </row>
    <row r="946" ht="15.75" customHeight="1" spans="22:22">
      <c r="V946" s="99"/>
    </row>
    <row r="947" ht="15.75" customHeight="1" spans="22:22">
      <c r="V947" s="99"/>
    </row>
    <row r="948" ht="15.75" customHeight="1" spans="22:22">
      <c r="V948" s="99"/>
    </row>
    <row r="949" ht="15.75" customHeight="1" spans="22:22">
      <c r="V949" s="99"/>
    </row>
    <row r="950" ht="15.75" customHeight="1" spans="22:22">
      <c r="V950" s="99"/>
    </row>
    <row r="951" ht="15.75" customHeight="1" spans="22:22">
      <c r="V951" s="99"/>
    </row>
    <row r="952" ht="15.75" customHeight="1" spans="22:22">
      <c r="V952" s="99"/>
    </row>
    <row r="953" ht="15.75" customHeight="1" spans="22:22">
      <c r="V953" s="99"/>
    </row>
    <row r="954" ht="15.75" customHeight="1" spans="22:22">
      <c r="V954" s="99"/>
    </row>
    <row r="955" ht="15.75" customHeight="1" spans="22:22">
      <c r="V955" s="99"/>
    </row>
    <row r="956" ht="15.75" customHeight="1" spans="22:22">
      <c r="V956" s="99"/>
    </row>
    <row r="957" ht="15.75" customHeight="1" spans="22:22">
      <c r="V957" s="99"/>
    </row>
    <row r="958" ht="15.75" customHeight="1" spans="22:22">
      <c r="V958" s="99"/>
    </row>
    <row r="959" ht="15.75" customHeight="1" spans="22:22">
      <c r="V959" s="99"/>
    </row>
    <row r="960" ht="15.75" customHeight="1" spans="22:22">
      <c r="V960" s="99"/>
    </row>
    <row r="961" ht="15.75" customHeight="1" spans="22:22">
      <c r="V961" s="99"/>
    </row>
    <row r="962" ht="15.75" customHeight="1" spans="22:22">
      <c r="V962" s="99"/>
    </row>
    <row r="963" ht="15.75" customHeight="1" spans="22:22">
      <c r="V963" s="99"/>
    </row>
    <row r="964" ht="15.75" customHeight="1" spans="22:22">
      <c r="V964" s="99"/>
    </row>
    <row r="965" ht="15.75" customHeight="1" spans="22:22">
      <c r="V965" s="99"/>
    </row>
    <row r="966" ht="15.75" customHeight="1" spans="22:22">
      <c r="V966" s="99"/>
    </row>
    <row r="967" ht="15.75" customHeight="1" spans="22:22">
      <c r="V967" s="99"/>
    </row>
    <row r="968" ht="15.75" customHeight="1" spans="22:22">
      <c r="V968" s="99"/>
    </row>
    <row r="969" ht="15.75" customHeight="1" spans="22:22">
      <c r="V969" s="99"/>
    </row>
    <row r="970" ht="15.75" customHeight="1" spans="22:22">
      <c r="V970" s="99"/>
    </row>
    <row r="971" ht="15.75" customHeight="1" spans="22:22">
      <c r="V971" s="99"/>
    </row>
    <row r="972" ht="15.75" customHeight="1" spans="22:22">
      <c r="V972" s="99"/>
    </row>
    <row r="973" ht="15.75" customHeight="1" spans="22:22">
      <c r="V973" s="99"/>
    </row>
    <row r="974" ht="15.75" customHeight="1" spans="22:22">
      <c r="V974" s="99"/>
    </row>
    <row r="975" ht="15.75" customHeight="1" spans="22:22">
      <c r="V975" s="99"/>
    </row>
    <row r="976" ht="15.75" customHeight="1" spans="22:22">
      <c r="V976" s="99"/>
    </row>
    <row r="977" ht="15.75" customHeight="1" spans="22:22">
      <c r="V977" s="99"/>
    </row>
    <row r="978" ht="15.75" customHeight="1" spans="22:22">
      <c r="V978" s="99"/>
    </row>
    <row r="979" ht="15.75" customHeight="1" spans="22:22">
      <c r="V979" s="99"/>
    </row>
    <row r="980" ht="15.75" customHeight="1" spans="22:22">
      <c r="V980" s="99"/>
    </row>
    <row r="981" ht="15.75" customHeight="1" spans="22:22">
      <c r="V981" s="99"/>
    </row>
    <row r="982" ht="15.75" customHeight="1" spans="22:22">
      <c r="V982" s="99"/>
    </row>
    <row r="983" ht="15.75" customHeight="1" spans="22:22">
      <c r="V983" s="99"/>
    </row>
    <row r="984" ht="15.75" customHeight="1" spans="22:22">
      <c r="V984" s="99"/>
    </row>
    <row r="985" ht="15.75" customHeight="1" spans="22:22">
      <c r="V985" s="99"/>
    </row>
    <row r="986" ht="15.75" customHeight="1" spans="22:22">
      <c r="V986" s="99"/>
    </row>
    <row r="987" ht="15.75" customHeight="1" spans="22:22">
      <c r="V987" s="99"/>
    </row>
    <row r="988" ht="15.75" customHeight="1" spans="22:22">
      <c r="V988" s="99"/>
    </row>
    <row r="989" ht="15.75" customHeight="1" spans="22:22">
      <c r="V989" s="99"/>
    </row>
    <row r="990" ht="15.75" customHeight="1" spans="22:22">
      <c r="V990" s="99"/>
    </row>
    <row r="991" ht="15.75" customHeight="1" spans="22:22">
      <c r="V991" s="99"/>
    </row>
    <row r="992" ht="15.75" customHeight="1" spans="22:22">
      <c r="V992" s="99"/>
    </row>
    <row r="993" ht="15.75" customHeight="1" spans="22:22">
      <c r="V993" s="99"/>
    </row>
    <row r="994" ht="15.75" customHeight="1" spans="22:22">
      <c r="V994" s="99"/>
    </row>
    <row r="995" ht="15.75" customHeight="1" spans="22:22">
      <c r="V995" s="99"/>
    </row>
    <row r="996" ht="15.75" customHeight="1" spans="22:22">
      <c r="V996" s="99"/>
    </row>
    <row r="997" ht="15.75" customHeight="1" spans="22:22">
      <c r="V997" s="99"/>
    </row>
    <row r="998" ht="15.75" customHeight="1" spans="22:22">
      <c r="V998" s="99"/>
    </row>
    <row r="999" ht="15.75" customHeight="1" spans="22:22">
      <c r="V999" s="99"/>
    </row>
    <row r="1000" ht="15.75" customHeight="1" spans="22:22">
      <c r="V1000" s="99"/>
    </row>
  </sheetData>
  <customSheetViews>
    <customSheetView guid="{BCA4C585-C249-4BB0-8EE7-E4361962E073}" filter="1" showAutoFilter="1">
      <autoFilter ref="D7:BG352"/>
    </customSheetView>
  </customSheetViews>
  <mergeCells count="8">
    <mergeCell ref="AG5:BF5"/>
    <mergeCell ref="AG6:AJ6"/>
    <mergeCell ref="AK6:AN6"/>
    <mergeCell ref="AO6:AR6"/>
    <mergeCell ref="AS6:AV6"/>
    <mergeCell ref="AW6:BA6"/>
    <mergeCell ref="BB6:BF6"/>
    <mergeCell ref="AF2:AF6"/>
  </mergeCells>
  <dataValidations count="4">
    <dataValidation type="list" allowBlank="1" showInputMessage="1" showErrorMessage="1" prompt="Add the new address in sheet data under column City Address" sqref="M63:N63 M8:M62 M64:M352">
      <formula1>'dropdown list'!$I$3:$I$107</formula1>
    </dataValidation>
    <dataValidation type="list" allowBlank="1" showErrorMessage="1" sqref="F8:F352">
      <formula1>"LM,AMM,Youth,Children"</formula1>
    </dataValidation>
    <dataValidation type="list" allowBlank="1" showErrorMessage="1" sqref="K8:K352">
      <formula1>'dropdown list'!$H$3:$H$4</formula1>
    </dataValidation>
    <dataValidation type="list" allowBlank="1" showErrorMessage="1" sqref="W8:W352">
      <formula1>"Yes,No,To be decided"</formula1>
    </dataValidation>
  </dataValidations>
  <pageMargins left="0.7" right="0.7" top="0.75" bottom="0.75" header="0" footer="0"/>
  <pageSetup paperSize="1" orientation="portrait"/>
  <headerFooter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1002"/>
  <sheetViews>
    <sheetView showGridLines="0" workbookViewId="0">
      <selection activeCell="A1" sqref="A1"/>
    </sheetView>
  </sheetViews>
  <sheetFormatPr defaultColWidth="12.6333333333333" defaultRowHeight="15" customHeight="1"/>
  <cols>
    <col min="1" max="1" width="3.88333333333333" customWidth="1"/>
    <col min="2" max="2" width="21.6333333333333" customWidth="1"/>
    <col min="3" max="3" width="17.3833333333333" customWidth="1"/>
    <col min="4" max="4" width="20" customWidth="1"/>
    <col min="5" max="5" width="17.3833333333333" customWidth="1"/>
    <col min="6" max="6" width="19" customWidth="1"/>
    <col min="7" max="7" width="4.25" customWidth="1"/>
    <col min="8" max="8" width="14.3833333333333" customWidth="1"/>
    <col min="9" max="9" width="32.25" customWidth="1"/>
    <col min="10" max="10" width="12" customWidth="1"/>
    <col min="11" max="26" width="14.3833333333333" customWidth="1"/>
  </cols>
  <sheetData>
    <row r="2" ht="13.8" spans="2:10">
      <c r="B2" s="23" t="s">
        <v>4119</v>
      </c>
      <c r="C2" s="23" t="s">
        <v>12</v>
      </c>
      <c r="D2" s="23" t="s">
        <v>4120</v>
      </c>
      <c r="E2" s="23" t="s">
        <v>4121</v>
      </c>
      <c r="F2" s="23" t="s">
        <v>4122</v>
      </c>
      <c r="H2" s="23" t="s">
        <v>4014</v>
      </c>
      <c r="I2" s="24" t="s">
        <v>4016</v>
      </c>
      <c r="J2" s="23" t="s">
        <v>4123</v>
      </c>
    </row>
    <row r="3" ht="13.8" spans="2:10">
      <c r="B3" s="25" t="s">
        <v>79</v>
      </c>
      <c r="C3" s="25" t="s">
        <v>2189</v>
      </c>
      <c r="D3" s="25" t="s">
        <v>2617</v>
      </c>
      <c r="E3" s="25" t="s">
        <v>80</v>
      </c>
      <c r="F3" s="25" t="s">
        <v>1664</v>
      </c>
      <c r="H3" s="25" t="s">
        <v>1642</v>
      </c>
      <c r="I3" s="25" t="s">
        <v>1292</v>
      </c>
      <c r="J3" s="25" t="s">
        <v>79</v>
      </c>
    </row>
    <row r="4" ht="13.8" spans="2:10">
      <c r="B4" s="26" t="s">
        <v>51</v>
      </c>
      <c r="C4" s="25" t="s">
        <v>2383</v>
      </c>
      <c r="D4" s="25" t="s">
        <v>2423</v>
      </c>
      <c r="E4" s="25" t="s">
        <v>125</v>
      </c>
      <c r="F4" s="25" t="s">
        <v>1719</v>
      </c>
      <c r="H4" s="26" t="s">
        <v>57</v>
      </c>
      <c r="I4" s="25" t="s">
        <v>143</v>
      </c>
      <c r="J4" s="26" t="s">
        <v>51</v>
      </c>
    </row>
    <row r="5" ht="13.8" spans="2:10">
      <c r="C5" s="25" t="s">
        <v>2184</v>
      </c>
      <c r="D5" s="25" t="s">
        <v>2185</v>
      </c>
      <c r="E5" s="25" t="s">
        <v>85</v>
      </c>
      <c r="F5" s="25" t="s">
        <v>1640</v>
      </c>
      <c r="I5" s="25" t="s">
        <v>224</v>
      </c>
    </row>
    <row r="6" ht="13.8" spans="2:10">
      <c r="C6" s="25" t="s">
        <v>2177</v>
      </c>
      <c r="D6" s="25" t="s">
        <v>2205</v>
      </c>
      <c r="E6" s="25" t="s">
        <v>52</v>
      </c>
      <c r="F6" s="25" t="s">
        <v>1651</v>
      </c>
      <c r="I6" s="25" t="s">
        <v>200</v>
      </c>
    </row>
    <row r="7" ht="13.8" spans="2:10">
      <c r="C7" s="26" t="s">
        <v>2181</v>
      </c>
      <c r="D7" s="25" t="s">
        <v>1767</v>
      </c>
      <c r="E7" s="25" t="s">
        <v>177</v>
      </c>
      <c r="F7" s="25" t="s">
        <v>1677</v>
      </c>
      <c r="I7" s="25" t="s">
        <v>3337</v>
      </c>
    </row>
    <row r="8" ht="13.8" spans="2:10">
      <c r="D8" s="25" t="s">
        <v>2286</v>
      </c>
      <c r="E8" s="25" t="s">
        <v>396</v>
      </c>
      <c r="F8" s="25" t="s">
        <v>1648</v>
      </c>
      <c r="I8" s="25" t="s">
        <v>59</v>
      </c>
    </row>
    <row r="9" ht="13.8" spans="2:10">
      <c r="D9" s="25" t="s">
        <v>1648</v>
      </c>
      <c r="E9" s="25" t="s">
        <v>196</v>
      </c>
      <c r="F9" s="26" t="s">
        <v>1682</v>
      </c>
      <c r="I9" s="25" t="s">
        <v>241</v>
      </c>
    </row>
    <row r="10" ht="13.8" spans="2:10">
      <c r="D10" s="25" t="s">
        <v>2178</v>
      </c>
      <c r="E10" s="25" t="s">
        <v>236</v>
      </c>
      <c r="I10" s="25" t="s">
        <v>399</v>
      </c>
    </row>
    <row r="11" ht="13.8" spans="2:10">
      <c r="D11" s="25" t="s">
        <v>2212</v>
      </c>
      <c r="E11" s="25" t="s">
        <v>309</v>
      </c>
      <c r="I11" s="25" t="s">
        <v>884</v>
      </c>
    </row>
    <row r="12" ht="13.8" spans="2:10">
      <c r="D12" s="25" t="s">
        <v>1742</v>
      </c>
      <c r="E12" s="25" t="s">
        <v>274</v>
      </c>
      <c r="I12" s="25" t="s">
        <v>2713</v>
      </c>
    </row>
    <row r="13" ht="13.8" spans="2:10">
      <c r="D13" s="25" t="s">
        <v>2182</v>
      </c>
      <c r="E13" s="25" t="s">
        <v>380</v>
      </c>
      <c r="I13" s="25" t="s">
        <v>909</v>
      </c>
    </row>
    <row r="14" ht="13.8" spans="2:10">
      <c r="D14" s="26" t="s">
        <v>2231</v>
      </c>
      <c r="E14" s="25" t="s">
        <v>566</v>
      </c>
      <c r="I14" s="25" t="s">
        <v>712</v>
      </c>
    </row>
    <row r="15" ht="13.8" spans="2:10">
      <c r="E15" s="26" t="s">
        <v>91</v>
      </c>
      <c r="I15" s="25" t="s">
        <v>313</v>
      </c>
    </row>
    <row r="16" ht="13.8" spans="2:10">
      <c r="I16" s="25" t="s">
        <v>1390</v>
      </c>
    </row>
    <row r="17" ht="13.8" spans="4:9">
      <c r="I17" s="25" t="s">
        <v>1016</v>
      </c>
    </row>
    <row r="18" ht="13.8" spans="4:9">
      <c r="D18" s="23" t="s">
        <v>4124</v>
      </c>
      <c r="E18" s="23" t="s">
        <v>4125</v>
      </c>
      <c r="F18" s="23" t="s">
        <v>4126</v>
      </c>
      <c r="I18" s="25" t="s">
        <v>1070</v>
      </c>
    </row>
    <row r="19" ht="13.8" spans="4:9">
      <c r="D19" s="25" t="s">
        <v>81</v>
      </c>
      <c r="E19" s="25" t="s">
        <v>81</v>
      </c>
      <c r="F19" s="25" t="s">
        <v>81</v>
      </c>
      <c r="I19" s="25" t="s">
        <v>524</v>
      </c>
    </row>
    <row r="20" ht="13.8" spans="4:9">
      <c r="D20" s="25" t="s">
        <v>92</v>
      </c>
      <c r="E20" s="25" t="s">
        <v>92</v>
      </c>
      <c r="F20" s="25" t="s">
        <v>92</v>
      </c>
      <c r="I20" s="25" t="s">
        <v>1626</v>
      </c>
    </row>
    <row r="21" ht="15.75" customHeight="1" spans="4:9">
      <c r="D21" s="26" t="s">
        <v>126</v>
      </c>
      <c r="E21" s="25" t="s">
        <v>126</v>
      </c>
      <c r="F21" s="26" t="s">
        <v>126</v>
      </c>
      <c r="I21" s="25" t="s">
        <v>673</v>
      </c>
    </row>
    <row r="22" ht="15.75" customHeight="1" spans="4:9">
      <c r="E22" s="26" t="s">
        <v>53</v>
      </c>
      <c r="I22" s="25" t="s">
        <v>334</v>
      </c>
    </row>
    <row r="23" ht="15.75" customHeight="1" spans="4:9">
      <c r="E23" s="27"/>
      <c r="I23" s="25" t="s">
        <v>2128</v>
      </c>
    </row>
    <row r="24" ht="15.75" customHeight="1" spans="4:9">
      <c r="I24" s="25" t="s">
        <v>2862</v>
      </c>
    </row>
    <row r="25" ht="15.75" customHeight="1" spans="4:9">
      <c r="I25" s="25" t="s">
        <v>994</v>
      </c>
    </row>
    <row r="26" ht="15.75" customHeight="1" spans="4:9">
      <c r="I26" s="25" t="s">
        <v>281</v>
      </c>
    </row>
    <row r="27" ht="15.75" customHeight="1" spans="4:9">
      <c r="I27" s="25" t="s">
        <v>1222</v>
      </c>
    </row>
    <row r="28" ht="15.75" customHeight="1" spans="4:9">
      <c r="I28" s="25" t="s">
        <v>129</v>
      </c>
    </row>
    <row r="29" ht="15.75" customHeight="1" spans="4:9">
      <c r="I29" s="25" t="s">
        <v>1402</v>
      </c>
    </row>
    <row r="30" ht="15.75" customHeight="1" spans="4:9">
      <c r="I30" s="25" t="s">
        <v>648</v>
      </c>
    </row>
    <row r="31" ht="15.75" customHeight="1" spans="4:9">
      <c r="I31" s="25" t="s">
        <v>939</v>
      </c>
    </row>
    <row r="32" ht="15.75" customHeight="1" spans="4:9">
      <c r="I32" s="25" t="s">
        <v>1723</v>
      </c>
    </row>
    <row r="33" ht="15.75" customHeight="1" spans="9:9">
      <c r="I33" s="25" t="s">
        <v>460</v>
      </c>
    </row>
    <row r="34" ht="15.75" customHeight="1" spans="9:9">
      <c r="I34" s="25" t="s">
        <v>1502</v>
      </c>
    </row>
    <row r="35" ht="15.75" customHeight="1" spans="9:9">
      <c r="I35" s="25" t="s">
        <v>1567</v>
      </c>
    </row>
    <row r="36" ht="15.75" customHeight="1" spans="9:9">
      <c r="I36" s="25" t="s">
        <v>2236</v>
      </c>
    </row>
    <row r="37" ht="15.75" customHeight="1" spans="9:9">
      <c r="I37" s="28" t="s">
        <v>613</v>
      </c>
    </row>
    <row r="38" ht="15.75" customHeight="1" spans="9:9">
      <c r="I38" s="25" t="s">
        <v>163</v>
      </c>
    </row>
    <row r="39" ht="15.75" customHeight="1" spans="9:9">
      <c r="I39" s="25" t="s">
        <v>1031</v>
      </c>
    </row>
    <row r="40" ht="15.75" customHeight="1" spans="9:9">
      <c r="I40" s="25" t="s">
        <v>1211</v>
      </c>
    </row>
    <row r="41" ht="15.75" customHeight="1" spans="9:9">
      <c r="I41" s="25" t="s">
        <v>617</v>
      </c>
    </row>
    <row r="42" ht="15.75" customHeight="1" spans="9:9">
      <c r="I42" s="25" t="s">
        <v>1326</v>
      </c>
    </row>
    <row r="43" ht="15.75" customHeight="1" spans="9:9">
      <c r="I43" s="25" t="s">
        <v>665</v>
      </c>
    </row>
    <row r="44" ht="15.75" customHeight="1" spans="9:9">
      <c r="I44" s="25" t="s">
        <v>1132</v>
      </c>
    </row>
    <row r="45" ht="15.75" customHeight="1" spans="9:9">
      <c r="I45" s="25" t="s">
        <v>1419</v>
      </c>
    </row>
    <row r="46" ht="15.75" customHeight="1" spans="9:9">
      <c r="I46" s="25" t="s">
        <v>3109</v>
      </c>
    </row>
    <row r="47" ht="15.75" customHeight="1" spans="9:9">
      <c r="I47" s="25" t="s">
        <v>1515</v>
      </c>
    </row>
    <row r="48" ht="15.75" customHeight="1" spans="9:9">
      <c r="I48" s="25" t="s">
        <v>1760</v>
      </c>
    </row>
    <row r="49" ht="15.75" customHeight="1" spans="9:9">
      <c r="I49" s="25" t="s">
        <v>1112</v>
      </c>
    </row>
    <row r="50" ht="15.75" customHeight="1" spans="9:9">
      <c r="I50" s="25" t="s">
        <v>193</v>
      </c>
    </row>
    <row r="51" ht="15.75" customHeight="1" spans="9:9">
      <c r="I51" s="25" t="s">
        <v>1314</v>
      </c>
    </row>
    <row r="52" ht="15.75" customHeight="1" spans="9:9">
      <c r="I52" s="25" t="s">
        <v>3169</v>
      </c>
    </row>
    <row r="53" ht="15.75" customHeight="1" spans="9:9">
      <c r="I53" s="25" t="s">
        <v>555</v>
      </c>
    </row>
    <row r="54" ht="15.75" customHeight="1" spans="9:9">
      <c r="I54" s="25" t="s">
        <v>1307</v>
      </c>
    </row>
    <row r="55" ht="15.75" customHeight="1" spans="9:9">
      <c r="I55" s="25" t="s">
        <v>495</v>
      </c>
    </row>
    <row r="56" ht="15.75" customHeight="1" spans="9:9">
      <c r="I56" s="28" t="s">
        <v>4127</v>
      </c>
    </row>
    <row r="57" ht="15.75" customHeight="1" spans="9:9">
      <c r="I57" s="25" t="s">
        <v>2109</v>
      </c>
    </row>
    <row r="58" ht="15.75" customHeight="1" spans="9:9">
      <c r="I58" s="25" t="s">
        <v>1531</v>
      </c>
    </row>
    <row r="59" ht="15.75" customHeight="1" spans="9:9">
      <c r="I59" s="25" t="s">
        <v>957</v>
      </c>
    </row>
    <row r="60" ht="15.75" customHeight="1" spans="9:9">
      <c r="I60" s="25" t="s">
        <v>183</v>
      </c>
    </row>
    <row r="61" ht="15.75" customHeight="1" spans="9:9">
      <c r="I61" s="25" t="s">
        <v>1837</v>
      </c>
    </row>
    <row r="62" ht="15.75" customHeight="1" spans="9:9">
      <c r="I62" s="25" t="s">
        <v>208</v>
      </c>
    </row>
    <row r="63" ht="15.75" customHeight="1" spans="9:9">
      <c r="I63" s="25" t="s">
        <v>478</v>
      </c>
    </row>
    <row r="64" ht="15.75" customHeight="1" spans="9:9">
      <c r="I64" s="25" t="s">
        <v>1583</v>
      </c>
    </row>
    <row r="65" ht="15.75" customHeight="1" spans="9:9">
      <c r="I65" s="25" t="s">
        <v>354</v>
      </c>
    </row>
    <row r="66" ht="15.75" customHeight="1" spans="9:9">
      <c r="I66" s="25" t="s">
        <v>692</v>
      </c>
    </row>
    <row r="67" ht="15.75" customHeight="1" spans="9:9">
      <c r="I67" s="25" t="s">
        <v>89</v>
      </c>
    </row>
    <row r="68" ht="15.75" customHeight="1" spans="9:9">
      <c r="I68" s="25" t="s">
        <v>1088</v>
      </c>
    </row>
    <row r="69" ht="15.75" customHeight="1" spans="9:9">
      <c r="I69" s="25" t="s">
        <v>1021</v>
      </c>
    </row>
    <row r="70" ht="15.75" customHeight="1" spans="9:9">
      <c r="I70" s="25" t="s">
        <v>96</v>
      </c>
    </row>
    <row r="71" ht="15.75" customHeight="1" spans="9:9">
      <c r="I71" s="25" t="s">
        <v>1545</v>
      </c>
    </row>
    <row r="72" ht="15.75" customHeight="1" spans="9:9">
      <c r="I72" s="25" t="s">
        <v>328</v>
      </c>
    </row>
    <row r="73" ht="15.75" customHeight="1" spans="9:9">
      <c r="I73" s="25" t="s">
        <v>384</v>
      </c>
    </row>
    <row r="74" ht="15.75" customHeight="1" spans="9:9">
      <c r="I74" s="25" t="s">
        <v>1276</v>
      </c>
    </row>
    <row r="75" ht="15.75" customHeight="1" spans="9:9">
      <c r="I75" s="25" t="s">
        <v>368</v>
      </c>
    </row>
    <row r="76" ht="15.75" customHeight="1" spans="9:9">
      <c r="I76" s="25" t="s">
        <v>298</v>
      </c>
    </row>
    <row r="77" ht="15.75" customHeight="1" spans="9:9">
      <c r="I77" s="25" t="s">
        <v>600</v>
      </c>
    </row>
    <row r="78" ht="15.75" customHeight="1" spans="9:9">
      <c r="I78" s="25" t="s">
        <v>2826</v>
      </c>
    </row>
    <row r="79" ht="15.75" customHeight="1" spans="9:9">
      <c r="I79" s="25" t="s">
        <v>895</v>
      </c>
    </row>
    <row r="80" ht="15.75" customHeight="1" spans="9:9">
      <c r="I80" s="25" t="s">
        <v>757</v>
      </c>
    </row>
    <row r="81" ht="15.75" customHeight="1" spans="9:9">
      <c r="I81" s="25" t="s">
        <v>1436</v>
      </c>
    </row>
    <row r="82" ht="15.75" customHeight="1" spans="9:9">
      <c r="I82" s="25" t="s">
        <v>1206</v>
      </c>
    </row>
    <row r="83" ht="15.75" customHeight="1" spans="9:9">
      <c r="I83" s="25" t="s">
        <v>687</v>
      </c>
    </row>
    <row r="84" ht="15.75" customHeight="1" spans="9:9">
      <c r="I84" s="25" t="s">
        <v>820</v>
      </c>
    </row>
    <row r="85" ht="15.75" customHeight="1" spans="9:9">
      <c r="I85" s="25" t="s">
        <v>258</v>
      </c>
    </row>
    <row r="86" ht="15.75" customHeight="1" spans="9:9">
      <c r="I86" s="25"/>
    </row>
    <row r="87" ht="15.75" customHeight="1" spans="9:9">
      <c r="I87" s="25"/>
    </row>
    <row r="88" ht="15.75" customHeight="1" spans="9:9">
      <c r="I88" s="25"/>
    </row>
    <row r="89" ht="15.75" customHeight="1" spans="9:9">
      <c r="I89" s="25"/>
    </row>
    <row r="90" ht="15.75" customHeight="1" spans="9:9">
      <c r="I90" s="26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" footer="0"/>
  <pageSetup paperSize="1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0"/>
  <sheetViews>
    <sheetView workbookViewId="0">
      <selection activeCell="A1" sqref="A1"/>
    </sheetView>
  </sheetViews>
  <sheetFormatPr defaultColWidth="12.6333333333333" defaultRowHeight="15" customHeight="1"/>
  <cols>
    <col min="1" max="1" width="10" customWidth="1"/>
    <col min="2" max="2" width="12.6333333333333" customWidth="1"/>
    <col min="3" max="3" width="12.8833333333333" customWidth="1"/>
    <col min="4" max="4" width="10" customWidth="1"/>
    <col min="5" max="5" width="28.1333333333333" customWidth="1"/>
    <col min="6" max="6" width="20" customWidth="1"/>
    <col min="7" max="7" width="11.6333333333333" customWidth="1"/>
    <col min="8" max="8" width="11.25" customWidth="1"/>
    <col min="9" max="9" width="24.6333333333333" customWidth="1"/>
    <col min="10" max="10" width="20.3833333333333" customWidth="1"/>
    <col min="11" max="11" width="30.6333333333333" customWidth="1"/>
    <col min="12" max="12" width="14.6333333333333" customWidth="1"/>
    <col min="13" max="13" width="29.3833333333333" customWidth="1"/>
    <col min="14" max="14" width="11.3833333333333" customWidth="1"/>
    <col min="15" max="15" width="9.25" customWidth="1"/>
    <col min="16" max="16" width="6.25" customWidth="1"/>
    <col min="17" max="17" width="6.75" customWidth="1"/>
    <col min="18" max="18" width="10.8833333333333" customWidth="1"/>
    <col min="19" max="26" width="14.3833333333333" customWidth="1"/>
  </cols>
  <sheetData>
    <row r="1" ht="13.8" spans="1:18">
      <c r="A1" s="12" t="s">
        <v>4128</v>
      </c>
      <c r="B1" s="12" t="s">
        <v>12</v>
      </c>
      <c r="C1" s="12" t="s">
        <v>13</v>
      </c>
      <c r="D1" s="12" t="s">
        <v>15</v>
      </c>
      <c r="E1" s="12" t="s">
        <v>4129</v>
      </c>
      <c r="F1" s="13" t="s">
        <v>18</v>
      </c>
      <c r="G1" s="13" t="s">
        <v>17</v>
      </c>
      <c r="H1" s="13" t="s">
        <v>19</v>
      </c>
      <c r="I1" s="13" t="s">
        <v>21</v>
      </c>
      <c r="J1" s="13" t="s">
        <v>22</v>
      </c>
      <c r="K1" s="13" t="s">
        <v>23</v>
      </c>
      <c r="L1" s="13" t="s">
        <v>24</v>
      </c>
      <c r="M1" s="13" t="s">
        <v>25</v>
      </c>
      <c r="N1" s="14" t="s">
        <v>26</v>
      </c>
      <c r="O1" s="13" t="s">
        <v>28</v>
      </c>
      <c r="P1" s="13" t="s">
        <v>29</v>
      </c>
      <c r="Q1" s="13" t="s">
        <v>30</v>
      </c>
      <c r="R1" s="15" t="s">
        <v>27</v>
      </c>
    </row>
    <row r="2" ht="13.8" hidden="1" spans="1:18">
      <c r="A2" s="12" t="s">
        <v>51</v>
      </c>
      <c r="B2" s="12" t="s">
        <v>2189</v>
      </c>
      <c r="C2" s="12" t="s">
        <v>4130</v>
      </c>
      <c r="D2" s="12" t="s">
        <v>4131</v>
      </c>
      <c r="E2" s="12" t="str">
        <f t="shared" ref="E2:E171" si="0">_xlfn.CONCAT(F2," ",G2)</f>
        <v>Jeehan Jane Castillejo</v>
      </c>
      <c r="F2" s="13" t="s">
        <v>2476</v>
      </c>
      <c r="G2" s="13" t="s">
        <v>2462</v>
      </c>
      <c r="H2" s="13" t="s">
        <v>818</v>
      </c>
      <c r="I2" s="13" t="s">
        <v>2477</v>
      </c>
      <c r="J2" s="13" t="s">
        <v>200</v>
      </c>
      <c r="K2" s="13" t="s">
        <v>2465</v>
      </c>
      <c r="L2" s="13" t="s">
        <v>2478</v>
      </c>
      <c r="M2" s="13" t="s">
        <v>2479</v>
      </c>
      <c r="N2" s="16">
        <v>35796</v>
      </c>
      <c r="O2" s="13"/>
      <c r="P2" s="13"/>
      <c r="Q2" s="13"/>
      <c r="R2" s="17">
        <f ca="1" t="shared" ref="R2:R3" si="1">(TODAY()-N2)/365</f>
        <v>28.8356164383562</v>
      </c>
    </row>
    <row r="3" ht="13.8" hidden="1" spans="1:18">
      <c r="A3" s="12" t="s">
        <v>51</v>
      </c>
      <c r="B3" s="12" t="s">
        <v>2189</v>
      </c>
      <c r="C3" s="12" t="s">
        <v>4130</v>
      </c>
      <c r="D3" s="12" t="s">
        <v>4132</v>
      </c>
      <c r="E3" s="12" t="str">
        <f t="shared" si="0"/>
        <v>Arabea Bless Taloban</v>
      </c>
      <c r="F3" s="13" t="s">
        <v>3062</v>
      </c>
      <c r="G3" s="13" t="s">
        <v>937</v>
      </c>
      <c r="H3" s="13" t="s">
        <v>554</v>
      </c>
      <c r="I3" s="13" t="s">
        <v>3063</v>
      </c>
      <c r="J3" s="18" t="s">
        <v>200</v>
      </c>
      <c r="K3" s="13"/>
      <c r="L3" s="13" t="s">
        <v>3064</v>
      </c>
      <c r="M3" s="13" t="s">
        <v>3065</v>
      </c>
      <c r="N3" s="16">
        <v>38867</v>
      </c>
      <c r="O3" s="13"/>
      <c r="P3" s="13"/>
      <c r="Q3" s="13"/>
      <c r="R3" s="17">
        <f ca="1" t="shared" si="1"/>
        <v>20.4219178082192</v>
      </c>
    </row>
    <row r="4" ht="13.8" hidden="1" spans="1:18">
      <c r="A4" s="12" t="s">
        <v>79</v>
      </c>
      <c r="B4" s="12" t="s">
        <v>2189</v>
      </c>
      <c r="C4" s="12" t="s">
        <v>4130</v>
      </c>
      <c r="D4" s="12" t="s">
        <v>4131</v>
      </c>
      <c r="E4" s="12" t="str">
        <f t="shared" si="0"/>
        <v>Lindsay Dagupen </v>
      </c>
      <c r="F4" s="13" t="s">
        <v>4133</v>
      </c>
      <c r="G4" s="13"/>
      <c r="H4" s="13"/>
      <c r="I4" s="13"/>
      <c r="J4" s="13"/>
      <c r="K4" s="13"/>
      <c r="L4" s="13"/>
      <c r="M4" s="13"/>
      <c r="N4" s="14"/>
      <c r="O4" s="13"/>
      <c r="P4" s="13"/>
      <c r="Q4" s="13"/>
      <c r="R4" s="17"/>
    </row>
    <row r="5" ht="13.8" hidden="1" spans="1:18">
      <c r="A5" s="12" t="s">
        <v>79</v>
      </c>
      <c r="B5" s="12" t="s">
        <v>2189</v>
      </c>
      <c r="C5" s="12" t="s">
        <v>4130</v>
      </c>
      <c r="D5" s="12" t="s">
        <v>4134</v>
      </c>
      <c r="E5" s="12" t="str">
        <f t="shared" si="0"/>
        <v>Journey Ryan Bañez</v>
      </c>
      <c r="F5" s="13" t="s">
        <v>2330</v>
      </c>
      <c r="G5" s="13" t="s">
        <v>349</v>
      </c>
      <c r="H5" s="13"/>
      <c r="I5" s="13"/>
      <c r="J5" s="13"/>
      <c r="K5" s="13"/>
      <c r="L5" s="13"/>
      <c r="M5" s="13"/>
      <c r="N5" s="14"/>
      <c r="O5" s="13"/>
      <c r="P5" s="13"/>
      <c r="Q5" s="13"/>
      <c r="R5" s="17"/>
    </row>
    <row r="6" ht="13.8" hidden="1" spans="1:18">
      <c r="A6" s="12" t="s">
        <v>79</v>
      </c>
      <c r="B6" s="12" t="s">
        <v>2189</v>
      </c>
      <c r="C6" s="12" t="s">
        <v>4135</v>
      </c>
      <c r="D6" s="12" t="s">
        <v>4131</v>
      </c>
      <c r="E6" s="12" t="str">
        <f t="shared" si="0"/>
        <v>Chalisa Jasmine Tacbas</v>
      </c>
      <c r="F6" s="13" t="s">
        <v>3054</v>
      </c>
      <c r="G6" s="13" t="s">
        <v>1498</v>
      </c>
      <c r="H6" s="13"/>
      <c r="I6" s="13"/>
      <c r="J6" s="13"/>
      <c r="K6" s="13"/>
      <c r="L6" s="13"/>
      <c r="M6" s="13"/>
      <c r="N6" s="14"/>
      <c r="O6" s="13"/>
      <c r="P6" s="13"/>
      <c r="Q6" s="13"/>
      <c r="R6" s="17"/>
    </row>
    <row r="7" ht="13.8" hidden="1" spans="1:18">
      <c r="A7" s="12" t="s">
        <v>79</v>
      </c>
      <c r="B7" s="12" t="s">
        <v>2383</v>
      </c>
      <c r="C7" s="12" t="s">
        <v>4130</v>
      </c>
      <c r="D7" s="12" t="s">
        <v>4131</v>
      </c>
      <c r="E7" s="12" t="str">
        <f t="shared" si="0"/>
        <v>Lovely Donaire</v>
      </c>
      <c r="F7" s="13" t="s">
        <v>2639</v>
      </c>
      <c r="G7" s="13" t="s">
        <v>920</v>
      </c>
      <c r="H7" s="13"/>
      <c r="I7" s="13"/>
      <c r="J7" s="13"/>
      <c r="K7" s="13"/>
      <c r="L7" s="13"/>
      <c r="M7" s="13"/>
      <c r="N7" s="14"/>
      <c r="O7" s="13"/>
      <c r="P7" s="13"/>
      <c r="Q7" s="13"/>
      <c r="R7" s="17"/>
    </row>
    <row r="8" ht="13.8" hidden="1" spans="1:18">
      <c r="A8" s="12" t="s">
        <v>79</v>
      </c>
      <c r="B8" s="12" t="s">
        <v>2184</v>
      </c>
      <c r="C8" s="12" t="s">
        <v>4130</v>
      </c>
      <c r="D8" s="12" t="s">
        <v>4131</v>
      </c>
      <c r="E8" s="12" t="str">
        <f t="shared" si="0"/>
        <v>Ivan Gayados </v>
      </c>
      <c r="F8" s="19" t="s">
        <v>4136</v>
      </c>
      <c r="G8" s="13"/>
      <c r="H8" s="13"/>
      <c r="I8" s="13"/>
      <c r="J8" s="13"/>
      <c r="K8" s="13"/>
      <c r="L8" s="13"/>
      <c r="M8" s="13"/>
      <c r="N8" s="14"/>
      <c r="O8" s="13"/>
      <c r="P8" s="13"/>
      <c r="Q8" s="13"/>
      <c r="R8" s="17"/>
    </row>
    <row r="9" ht="13.8" hidden="1" spans="1:18">
      <c r="A9" s="12" t="s">
        <v>79</v>
      </c>
      <c r="B9" s="12" t="s">
        <v>2184</v>
      </c>
      <c r="C9" s="12" t="s">
        <v>4130</v>
      </c>
      <c r="D9" s="12" t="s">
        <v>4131</v>
      </c>
      <c r="E9" s="12" t="str">
        <f t="shared" si="0"/>
        <v>Frederick Mago </v>
      </c>
      <c r="F9" s="19" t="s">
        <v>4137</v>
      </c>
      <c r="G9" s="13"/>
      <c r="H9" s="13"/>
      <c r="I9" s="13"/>
      <c r="J9" s="13"/>
      <c r="K9" s="13"/>
      <c r="L9" s="13"/>
      <c r="M9" s="13"/>
      <c r="N9" s="14"/>
      <c r="O9" s="13"/>
      <c r="P9" s="13"/>
      <c r="Q9" s="13"/>
      <c r="R9" s="17"/>
    </row>
    <row r="10" ht="13.8" hidden="1" spans="1:18">
      <c r="A10" s="12" t="s">
        <v>79</v>
      </c>
      <c r="B10" s="12" t="s">
        <v>2177</v>
      </c>
      <c r="C10" s="12" t="s">
        <v>4130</v>
      </c>
      <c r="D10" s="12" t="s">
        <v>4131</v>
      </c>
      <c r="E10" s="12" t="str">
        <f t="shared" si="0"/>
        <v>Mark Roston Mamolang</v>
      </c>
      <c r="F10" s="13" t="s">
        <v>4138</v>
      </c>
      <c r="G10" s="13" t="s">
        <v>4139</v>
      </c>
      <c r="H10" s="13"/>
      <c r="I10" s="13"/>
      <c r="J10" s="13"/>
      <c r="K10" s="13"/>
      <c r="L10" s="13"/>
      <c r="M10" s="13"/>
      <c r="N10" s="14"/>
      <c r="O10" s="13"/>
      <c r="P10" s="13"/>
      <c r="Q10" s="13"/>
      <c r="R10" s="17"/>
    </row>
    <row r="11" ht="13.8" hidden="1" spans="1:18">
      <c r="A11" s="12" t="s">
        <v>51</v>
      </c>
      <c r="B11" s="12" t="s">
        <v>2181</v>
      </c>
      <c r="C11" s="12" t="s">
        <v>4130</v>
      </c>
      <c r="D11" s="12" t="s">
        <v>4131</v>
      </c>
      <c r="E11" s="12" t="str">
        <f t="shared" si="0"/>
        <v>Kurt Rhanz Gabryl Pacsi</v>
      </c>
      <c r="F11" s="13" t="s">
        <v>2894</v>
      </c>
      <c r="G11" s="13" t="s">
        <v>1289</v>
      </c>
      <c r="H11" s="13" t="s">
        <v>493</v>
      </c>
      <c r="I11" s="13" t="s">
        <v>4140</v>
      </c>
      <c r="J11" s="13" t="s">
        <v>4141</v>
      </c>
      <c r="K11" s="13"/>
      <c r="L11" s="13"/>
      <c r="M11" s="13"/>
      <c r="N11" s="14">
        <v>40140</v>
      </c>
      <c r="O11" s="13"/>
      <c r="P11" s="13"/>
      <c r="Q11" s="13"/>
      <c r="R11" s="17">
        <f ca="1">(TODAY()-N11)/365</f>
        <v>16.9342465753425</v>
      </c>
    </row>
    <row r="12" ht="13.8" hidden="1" spans="1:18">
      <c r="A12" s="12" t="s">
        <v>79</v>
      </c>
      <c r="B12" s="12" t="s">
        <v>2181</v>
      </c>
      <c r="C12" s="12" t="s">
        <v>4130</v>
      </c>
      <c r="D12" s="12" t="s">
        <v>4131</v>
      </c>
      <c r="E12" s="12" t="str">
        <f t="shared" si="0"/>
        <v>Grant De Guzman </v>
      </c>
      <c r="F12" s="13" t="s">
        <v>4142</v>
      </c>
      <c r="G12" s="13"/>
      <c r="H12" s="13"/>
      <c r="I12" s="13"/>
      <c r="J12" s="13"/>
      <c r="K12" s="13"/>
      <c r="L12" s="13"/>
      <c r="M12" s="13"/>
      <c r="N12" s="14"/>
      <c r="O12" s="13"/>
      <c r="P12" s="13"/>
      <c r="Q12" s="13"/>
      <c r="R12" s="17"/>
    </row>
    <row r="13" ht="13.8" hidden="1" spans="1:18">
      <c r="A13" s="12" t="s">
        <v>79</v>
      </c>
      <c r="B13" s="12" t="s">
        <v>2181</v>
      </c>
      <c r="C13" s="12" t="s">
        <v>4130</v>
      </c>
      <c r="D13" s="12" t="s">
        <v>4131</v>
      </c>
      <c r="E13" s="12" t="str">
        <f t="shared" si="0"/>
        <v>Sandy De Guzman </v>
      </c>
      <c r="F13" s="13" t="s">
        <v>4143</v>
      </c>
      <c r="G13" s="13"/>
      <c r="H13" s="13"/>
      <c r="I13" s="13"/>
      <c r="J13" s="13"/>
      <c r="K13" s="13"/>
      <c r="L13" s="13"/>
      <c r="M13" s="13"/>
      <c r="N13" s="14"/>
      <c r="O13" s="13"/>
      <c r="P13" s="13"/>
      <c r="Q13" s="13"/>
      <c r="R13" s="17"/>
    </row>
    <row r="14" ht="13.8" hidden="1" spans="1:18">
      <c r="A14" s="12" t="s">
        <v>79</v>
      </c>
      <c r="B14" s="12" t="s">
        <v>2181</v>
      </c>
      <c r="C14" s="12" t="s">
        <v>4130</v>
      </c>
      <c r="D14" s="12" t="s">
        <v>4131</v>
      </c>
      <c r="E14" s="12" t="str">
        <f t="shared" si="0"/>
        <v>Claude De Ausen </v>
      </c>
      <c r="F14" s="13" t="s">
        <v>4144</v>
      </c>
      <c r="G14" s="13"/>
      <c r="H14" s="13"/>
      <c r="I14" s="13"/>
      <c r="J14" s="13"/>
      <c r="K14" s="13"/>
      <c r="L14" s="13"/>
      <c r="M14" s="13"/>
      <c r="N14" s="14"/>
      <c r="O14" s="13"/>
      <c r="P14" s="13"/>
      <c r="Q14" s="13"/>
      <c r="R14" s="17"/>
    </row>
    <row r="15" ht="13.8" hidden="1" spans="1:18">
      <c r="A15" s="12" t="s">
        <v>51</v>
      </c>
      <c r="B15" s="12" t="s">
        <v>2181</v>
      </c>
      <c r="C15" s="12" t="s">
        <v>4130</v>
      </c>
      <c r="D15" s="12" t="s">
        <v>4131</v>
      </c>
      <c r="E15" s="12" t="str">
        <f t="shared" si="0"/>
        <v>Alechk Tamo</v>
      </c>
      <c r="F15" s="13" t="s">
        <v>3070</v>
      </c>
      <c r="G15" s="13" t="s">
        <v>1528</v>
      </c>
      <c r="H15" s="13" t="s">
        <v>818</v>
      </c>
      <c r="I15" s="13" t="s">
        <v>3071</v>
      </c>
      <c r="J15" s="13" t="s">
        <v>1531</v>
      </c>
      <c r="L15" s="13" t="s">
        <v>3072</v>
      </c>
      <c r="M15" s="20" t="s">
        <v>3073</v>
      </c>
      <c r="N15" s="14">
        <v>39510</v>
      </c>
      <c r="O15" s="13"/>
      <c r="P15" s="13"/>
      <c r="Q15" s="13"/>
      <c r="R15" s="17">
        <f ca="1" t="shared" ref="R15:R19" si="2">(TODAY()-N15)/365</f>
        <v>18.6602739726027</v>
      </c>
    </row>
    <row r="16" ht="13.8" hidden="1" spans="1:18">
      <c r="A16" s="12" t="s">
        <v>51</v>
      </c>
      <c r="B16" s="12" t="s">
        <v>2189</v>
      </c>
      <c r="C16" s="12" t="s">
        <v>4145</v>
      </c>
      <c r="D16" s="12" t="s">
        <v>4131</v>
      </c>
      <c r="E16" s="12" t="str">
        <f t="shared" si="0"/>
        <v>Jonaira Castillejo</v>
      </c>
      <c r="F16" s="13" t="s">
        <v>2463</v>
      </c>
      <c r="G16" s="13" t="s">
        <v>2462</v>
      </c>
      <c r="H16" s="13"/>
      <c r="I16" s="13" t="s">
        <v>2464</v>
      </c>
      <c r="J16" s="13" t="s">
        <v>687</v>
      </c>
      <c r="K16" s="13" t="s">
        <v>2465</v>
      </c>
      <c r="L16" s="13" t="s">
        <v>2466</v>
      </c>
      <c r="M16" s="20" t="s">
        <v>2467</v>
      </c>
      <c r="N16" s="14">
        <v>34766</v>
      </c>
      <c r="O16" s="13"/>
      <c r="P16" s="13"/>
      <c r="Q16" s="13"/>
      <c r="R16" s="17">
        <f ca="1" t="shared" si="2"/>
        <v>31.6575342465753</v>
      </c>
    </row>
    <row r="17" ht="13.8" hidden="1" spans="1:18">
      <c r="A17" s="12" t="s">
        <v>51</v>
      </c>
      <c r="B17" s="12" t="s">
        <v>2189</v>
      </c>
      <c r="C17" s="12" t="s">
        <v>4145</v>
      </c>
      <c r="D17" s="12" t="s">
        <v>4132</v>
      </c>
      <c r="E17" s="12" t="str">
        <f t="shared" si="0"/>
        <v>Hervie Kate Badilla</v>
      </c>
      <c r="F17" s="13" t="s">
        <v>2254</v>
      </c>
      <c r="G17" s="13" t="s">
        <v>2253</v>
      </c>
      <c r="H17" s="13"/>
      <c r="I17" s="13" t="s">
        <v>2255</v>
      </c>
      <c r="J17" s="18" t="s">
        <v>590</v>
      </c>
      <c r="K17" s="13"/>
      <c r="L17" s="13" t="s">
        <v>2256</v>
      </c>
      <c r="M17" s="13" t="s">
        <v>2257</v>
      </c>
      <c r="N17" s="16">
        <v>36822</v>
      </c>
      <c r="O17" s="13"/>
      <c r="P17" s="13"/>
      <c r="Q17" s="13"/>
      <c r="R17" s="17">
        <f ca="1" t="shared" si="2"/>
        <v>26.0246575342466</v>
      </c>
    </row>
    <row r="18" ht="13.8" hidden="1" spans="1:18">
      <c r="A18" s="12" t="s">
        <v>51</v>
      </c>
      <c r="B18" s="12" t="s">
        <v>2189</v>
      </c>
      <c r="C18" s="12" t="s">
        <v>4145</v>
      </c>
      <c r="D18" s="12" t="s">
        <v>4131</v>
      </c>
      <c r="E18" s="12" t="str">
        <f t="shared" si="0"/>
        <v>Geraldine Marijoe banaag</v>
      </c>
      <c r="F18" s="13" t="s">
        <v>2312</v>
      </c>
      <c r="G18" s="13" t="s">
        <v>4146</v>
      </c>
      <c r="H18" s="13" t="s">
        <v>628</v>
      </c>
      <c r="I18" s="13" t="s">
        <v>2313</v>
      </c>
      <c r="J18" s="13" t="s">
        <v>399</v>
      </c>
      <c r="K18" s="13"/>
      <c r="L18" s="13" t="s">
        <v>2314</v>
      </c>
      <c r="M18" s="20" t="s">
        <v>2315</v>
      </c>
      <c r="N18" s="14">
        <v>39730</v>
      </c>
      <c r="O18" s="13"/>
      <c r="P18" s="13"/>
      <c r="Q18" s="13"/>
      <c r="R18" s="17">
        <f ca="1" t="shared" si="2"/>
        <v>18.0575342465753</v>
      </c>
    </row>
    <row r="19" ht="13.8" hidden="1" spans="1:18">
      <c r="A19" s="12" t="s">
        <v>51</v>
      </c>
      <c r="B19" s="12" t="s">
        <v>2189</v>
      </c>
      <c r="C19" s="12" t="s">
        <v>4145</v>
      </c>
      <c r="D19" s="12" t="s">
        <v>4131</v>
      </c>
      <c r="E19" s="12" t="str">
        <f t="shared" si="0"/>
        <v>Aldgeryne Faith banaag</v>
      </c>
      <c r="F19" s="13" t="s">
        <v>2323</v>
      </c>
      <c r="G19" s="13" t="s">
        <v>4146</v>
      </c>
      <c r="H19" s="13" t="s">
        <v>628</v>
      </c>
      <c r="I19" s="13" t="s">
        <v>2313</v>
      </c>
      <c r="J19" s="13" t="s">
        <v>399</v>
      </c>
      <c r="K19" s="13"/>
      <c r="L19" s="13" t="s">
        <v>2324</v>
      </c>
      <c r="M19" s="20" t="s">
        <v>2325</v>
      </c>
      <c r="N19" s="14">
        <v>40722</v>
      </c>
      <c r="O19" s="13"/>
      <c r="P19" s="13"/>
      <c r="Q19" s="13"/>
      <c r="R19" s="17">
        <f ca="1" t="shared" si="2"/>
        <v>15.3397260273973</v>
      </c>
    </row>
    <row r="20" ht="13.8" hidden="1" spans="1:18">
      <c r="A20" s="12" t="s">
        <v>79</v>
      </c>
      <c r="B20" s="12" t="s">
        <v>2189</v>
      </c>
      <c r="C20" s="12" t="s">
        <v>4145</v>
      </c>
      <c r="D20" s="12" t="s">
        <v>4134</v>
      </c>
      <c r="E20" s="12" t="str">
        <f t="shared" si="0"/>
        <v>Nathaniel Prado</v>
      </c>
      <c r="F20" s="13" t="s">
        <v>2357</v>
      </c>
      <c r="G20" s="13" t="s">
        <v>1333</v>
      </c>
      <c r="H20" s="13"/>
      <c r="I20" s="13"/>
      <c r="J20" s="13"/>
      <c r="K20" s="13"/>
      <c r="L20" s="13"/>
      <c r="M20" s="13"/>
      <c r="N20" s="14"/>
      <c r="O20" s="13"/>
      <c r="P20" s="13"/>
      <c r="Q20" s="13"/>
      <c r="R20" s="17"/>
    </row>
    <row r="21" ht="15.75" hidden="1" customHeight="1" spans="1:18">
      <c r="A21" s="12" t="s">
        <v>79</v>
      </c>
      <c r="B21" s="12" t="s">
        <v>2184</v>
      </c>
      <c r="C21" s="12" t="s">
        <v>4145</v>
      </c>
      <c r="D21" s="12" t="s">
        <v>4131</v>
      </c>
      <c r="E21" s="12" t="str">
        <f t="shared" si="0"/>
        <v>Timothy Cutay </v>
      </c>
      <c r="F21" s="19" t="s">
        <v>4147</v>
      </c>
      <c r="G21" s="13"/>
      <c r="H21" s="13"/>
      <c r="I21" s="13"/>
      <c r="J21" s="13"/>
      <c r="K21" s="13"/>
      <c r="L21" s="13"/>
      <c r="M21" s="13"/>
      <c r="N21" s="14"/>
      <c r="O21" s="13"/>
      <c r="P21" s="13"/>
      <c r="Q21" s="13"/>
      <c r="R21" s="17"/>
    </row>
    <row r="22" ht="15.75" hidden="1" customHeight="1" spans="1:18">
      <c r="A22" s="12" t="s">
        <v>79</v>
      </c>
      <c r="B22" s="12" t="s">
        <v>2184</v>
      </c>
      <c r="C22" s="12" t="s">
        <v>4145</v>
      </c>
      <c r="D22" s="12" t="s">
        <v>4131</v>
      </c>
      <c r="E22" s="12" t="str">
        <f t="shared" si="0"/>
        <v>Oliver Castro </v>
      </c>
      <c r="F22" s="19" t="s">
        <v>4148</v>
      </c>
      <c r="G22" s="13"/>
      <c r="H22" s="13"/>
      <c r="I22" s="13"/>
      <c r="J22" s="13"/>
      <c r="K22" s="13"/>
      <c r="L22" s="13"/>
      <c r="M22" s="13"/>
      <c r="N22" s="14"/>
      <c r="O22" s="13"/>
      <c r="P22" s="13"/>
      <c r="Q22" s="13"/>
      <c r="R22" s="17"/>
    </row>
    <row r="23" ht="15.75" hidden="1" customHeight="1" spans="1:18">
      <c r="A23" s="12" t="s">
        <v>51</v>
      </c>
      <c r="B23" s="12" t="s">
        <v>2177</v>
      </c>
      <c r="C23" s="12" t="s">
        <v>4145</v>
      </c>
      <c r="D23" s="12" t="s">
        <v>4131</v>
      </c>
      <c r="E23" s="12" t="str">
        <f t="shared" si="0"/>
        <v>Shieba Pino</v>
      </c>
      <c r="F23" s="13" t="s">
        <v>2926</v>
      </c>
      <c r="G23" s="13" t="s">
        <v>2925</v>
      </c>
      <c r="H23" s="13" t="s">
        <v>161</v>
      </c>
      <c r="I23" s="13"/>
      <c r="J23" s="13"/>
      <c r="K23" s="13" t="s">
        <v>2927</v>
      </c>
      <c r="L23" s="13" t="s">
        <v>2928</v>
      </c>
      <c r="M23" s="20" t="s">
        <v>2929</v>
      </c>
      <c r="N23" s="14">
        <v>36511</v>
      </c>
      <c r="O23" s="13"/>
      <c r="P23" s="13"/>
      <c r="Q23" s="13"/>
      <c r="R23" s="17">
        <f ca="1" t="shared" ref="R23:R25" si="3">(TODAY()-N23)/365</f>
        <v>26.8767123287671</v>
      </c>
    </row>
    <row r="24" ht="15.75" hidden="1" customHeight="1" spans="1:18">
      <c r="A24" s="12" t="s">
        <v>51</v>
      </c>
      <c r="B24" s="12" t="s">
        <v>2177</v>
      </c>
      <c r="C24" s="12" t="s">
        <v>4145</v>
      </c>
      <c r="D24" s="12" t="s">
        <v>4131</v>
      </c>
      <c r="E24" s="12" t="str">
        <f t="shared" si="0"/>
        <v>Katrina Maguddayao</v>
      </c>
      <c r="F24" s="13" t="s">
        <v>2792</v>
      </c>
      <c r="G24" s="13" t="s">
        <v>2791</v>
      </c>
      <c r="H24" s="13"/>
      <c r="I24" s="13"/>
      <c r="J24" s="13"/>
      <c r="K24" s="13" t="s">
        <v>2793</v>
      </c>
      <c r="L24" s="13" t="s">
        <v>2794</v>
      </c>
      <c r="M24" s="13" t="s">
        <v>2795</v>
      </c>
      <c r="N24" s="16">
        <v>36766</v>
      </c>
      <c r="O24" s="13"/>
      <c r="P24" s="13"/>
      <c r="Q24" s="13"/>
      <c r="R24" s="17">
        <f ca="1" t="shared" si="3"/>
        <v>26.1780821917808</v>
      </c>
    </row>
    <row r="25" ht="15.75" hidden="1" customHeight="1" spans="1:18">
      <c r="A25" s="12" t="s">
        <v>51</v>
      </c>
      <c r="B25" s="12" t="s">
        <v>2181</v>
      </c>
      <c r="C25" s="12" t="s">
        <v>4145</v>
      </c>
      <c r="D25" s="12" t="s">
        <v>4131</v>
      </c>
      <c r="E25" s="12" t="str">
        <f t="shared" si="0"/>
        <v>Sherman AJ Daiwey</v>
      </c>
      <c r="F25" s="13" t="s">
        <v>2558</v>
      </c>
      <c r="G25" s="13" t="s">
        <v>843</v>
      </c>
      <c r="H25" s="13" t="s">
        <v>161</v>
      </c>
      <c r="I25" s="13" t="s">
        <v>845</v>
      </c>
      <c r="J25" s="13" t="s">
        <v>163</v>
      </c>
      <c r="K25" s="13"/>
      <c r="L25" s="13" t="s">
        <v>2559</v>
      </c>
      <c r="M25" s="20" t="s">
        <v>2560</v>
      </c>
      <c r="N25" s="14">
        <v>39808</v>
      </c>
      <c r="O25" s="13"/>
      <c r="P25" s="13"/>
      <c r="Q25" s="13"/>
      <c r="R25" s="17">
        <f ca="1" t="shared" si="3"/>
        <v>17.8438356164384</v>
      </c>
    </row>
    <row r="26" ht="15.75" hidden="1" customHeight="1" spans="1:18">
      <c r="A26" s="12" t="s">
        <v>79</v>
      </c>
      <c r="B26" s="12" t="s">
        <v>2181</v>
      </c>
      <c r="C26" s="12" t="s">
        <v>4145</v>
      </c>
      <c r="D26" s="12" t="s">
        <v>4131</v>
      </c>
      <c r="E26" s="12" t="str">
        <f t="shared" si="0"/>
        <v>Tristan Jade Langgoy </v>
      </c>
      <c r="F26" s="13" t="s">
        <v>4149</v>
      </c>
      <c r="G26" s="13"/>
      <c r="H26" s="13"/>
      <c r="I26" s="13"/>
      <c r="J26" s="13"/>
      <c r="K26" s="13"/>
      <c r="L26" s="13"/>
      <c r="M26" s="13"/>
      <c r="N26" s="14"/>
      <c r="O26" s="13"/>
      <c r="P26" s="13"/>
      <c r="Q26" s="13"/>
      <c r="R26" s="17"/>
    </row>
    <row r="27" ht="15.75" hidden="1" customHeight="1" spans="1:18">
      <c r="A27" s="12" t="s">
        <v>79</v>
      </c>
      <c r="B27" s="12" t="s">
        <v>2181</v>
      </c>
      <c r="C27" s="12" t="s">
        <v>4145</v>
      </c>
      <c r="D27" s="12" t="s">
        <v>4131</v>
      </c>
      <c r="E27" s="12" t="str">
        <f t="shared" si="0"/>
        <v>Ben Orowan </v>
      </c>
      <c r="F27" s="13" t="s">
        <v>4150</v>
      </c>
      <c r="G27" s="13"/>
      <c r="H27" s="13"/>
      <c r="I27" s="13"/>
      <c r="J27" s="13"/>
      <c r="K27" s="13"/>
      <c r="L27" s="13"/>
      <c r="M27" s="13"/>
      <c r="N27" s="14"/>
      <c r="O27" s="13"/>
      <c r="P27" s="13"/>
      <c r="Q27" s="13"/>
      <c r="R27" s="17"/>
    </row>
    <row r="28" ht="15.75" hidden="1" customHeight="1" spans="1:18">
      <c r="A28" s="12" t="s">
        <v>79</v>
      </c>
      <c r="B28" s="12" t="s">
        <v>2181</v>
      </c>
      <c r="C28" s="12" t="s">
        <v>4145</v>
      </c>
      <c r="D28" s="12" t="s">
        <v>4131</v>
      </c>
      <c r="E28" s="12" t="str">
        <f t="shared" si="0"/>
        <v>Elena Liwes </v>
      </c>
      <c r="F28" s="13" t="s">
        <v>4151</v>
      </c>
      <c r="G28" s="13"/>
      <c r="H28" s="13"/>
      <c r="I28" s="13"/>
      <c r="J28" s="13"/>
      <c r="K28" s="13"/>
      <c r="L28" s="13"/>
      <c r="M28" s="13"/>
      <c r="N28" s="14"/>
      <c r="O28" s="13"/>
      <c r="P28" s="13"/>
      <c r="Q28" s="13"/>
      <c r="R28" s="17"/>
    </row>
    <row r="29" ht="15.75" hidden="1" customHeight="1" spans="1:18">
      <c r="A29" s="12" t="s">
        <v>79</v>
      </c>
      <c r="B29" s="12" t="s">
        <v>2189</v>
      </c>
      <c r="C29" s="12" t="s">
        <v>4135</v>
      </c>
      <c r="D29" s="12" t="s">
        <v>4131</v>
      </c>
      <c r="E29" s="12" t="str">
        <f t="shared" si="0"/>
        <v>Chloe Kodiamat </v>
      </c>
      <c r="F29" s="13" t="s">
        <v>4152</v>
      </c>
      <c r="G29" s="13"/>
      <c r="H29" s="13"/>
      <c r="I29" s="13"/>
      <c r="J29" s="13"/>
      <c r="K29" s="13"/>
      <c r="L29" s="13"/>
      <c r="M29" s="13"/>
      <c r="N29" s="14"/>
      <c r="O29" s="13"/>
      <c r="P29" s="13"/>
      <c r="Q29" s="13"/>
      <c r="R29" s="17"/>
    </row>
    <row r="30" ht="15.75" hidden="1" customHeight="1" spans="1:18">
      <c r="A30" s="12" t="s">
        <v>51</v>
      </c>
      <c r="B30" s="12" t="s">
        <v>2177</v>
      </c>
      <c r="C30" s="12" t="s">
        <v>4135</v>
      </c>
      <c r="D30" s="12" t="s">
        <v>4131</v>
      </c>
      <c r="E30" s="12" t="str">
        <f t="shared" si="0"/>
        <v>Marvie Daligayong</v>
      </c>
      <c r="F30" s="13" t="s">
        <v>2576</v>
      </c>
      <c r="G30" s="13" t="s">
        <v>4153</v>
      </c>
      <c r="H30" s="13" t="s">
        <v>161</v>
      </c>
      <c r="I30" s="13" t="s">
        <v>2577</v>
      </c>
      <c r="J30" s="13" t="s">
        <v>687</v>
      </c>
      <c r="K30" s="13" t="s">
        <v>2578</v>
      </c>
      <c r="L30" s="13" t="s">
        <v>2579</v>
      </c>
      <c r="M30" s="20" t="s">
        <v>2580</v>
      </c>
      <c r="N30" s="14">
        <v>38074</v>
      </c>
      <c r="O30" s="13"/>
      <c r="P30" s="13"/>
      <c r="Q30" s="13"/>
      <c r="R30" s="17">
        <f ca="1" t="shared" ref="R30:R31" si="4">(TODAY()-N30)/365</f>
        <v>22.5945205479452</v>
      </c>
    </row>
    <row r="31" ht="15.75" hidden="1" customHeight="1" spans="1:18">
      <c r="A31" s="12" t="s">
        <v>51</v>
      </c>
      <c r="B31" s="12" t="s">
        <v>2189</v>
      </c>
      <c r="C31" s="12" t="s">
        <v>4135</v>
      </c>
      <c r="D31" s="12" t="s">
        <v>4131</v>
      </c>
      <c r="E31" s="12" t="str">
        <f t="shared" si="0"/>
        <v>Hiede Cattleyah Dangla</v>
      </c>
      <c r="F31" s="13" t="s">
        <v>2590</v>
      </c>
      <c r="G31" s="13" t="s">
        <v>852</v>
      </c>
      <c r="H31" s="13"/>
      <c r="I31" s="13" t="s">
        <v>2591</v>
      </c>
      <c r="J31" s="13" t="s">
        <v>4154</v>
      </c>
      <c r="K31" s="13"/>
      <c r="L31" s="13" t="s">
        <v>866</v>
      </c>
      <c r="M31" s="13" t="s">
        <v>2592</v>
      </c>
      <c r="N31" s="16">
        <v>38634</v>
      </c>
      <c r="O31" s="13"/>
      <c r="P31" s="13"/>
      <c r="Q31" s="13"/>
      <c r="R31" s="17">
        <f ca="1" t="shared" si="4"/>
        <v>21.0602739726027</v>
      </c>
    </row>
    <row r="32" ht="15.75" hidden="1" customHeight="1" spans="1:18">
      <c r="A32" s="12" t="s">
        <v>79</v>
      </c>
      <c r="B32" s="12" t="s">
        <v>2181</v>
      </c>
      <c r="C32" s="12" t="s">
        <v>4135</v>
      </c>
      <c r="D32" s="12" t="s">
        <v>4131</v>
      </c>
      <c r="E32" s="12" t="str">
        <f t="shared" si="0"/>
        <v>Jhake Rhey Coyasan </v>
      </c>
      <c r="F32" s="13" t="s">
        <v>4155</v>
      </c>
      <c r="G32" s="13"/>
      <c r="H32" s="13"/>
      <c r="I32" s="13"/>
      <c r="J32" s="13"/>
      <c r="K32" s="13"/>
      <c r="L32" s="13"/>
      <c r="M32" s="13"/>
      <c r="N32" s="14"/>
      <c r="O32" s="13"/>
      <c r="P32" s="13"/>
      <c r="Q32" s="13"/>
      <c r="R32" s="17"/>
    </row>
    <row r="33" ht="15.75" hidden="1" customHeight="1" spans="1:18">
      <c r="A33" s="12" t="s">
        <v>51</v>
      </c>
      <c r="B33" s="12" t="s">
        <v>2189</v>
      </c>
      <c r="C33" s="12" t="s">
        <v>4135</v>
      </c>
      <c r="D33" s="12" t="s">
        <v>4131</v>
      </c>
      <c r="E33" s="12" t="str">
        <f t="shared" si="0"/>
        <v>Jubilee Prado</v>
      </c>
      <c r="F33" s="13" t="s">
        <v>348</v>
      </c>
      <c r="G33" s="13" t="s">
        <v>1333</v>
      </c>
      <c r="H33" s="13" t="s">
        <v>1041</v>
      </c>
      <c r="I33" s="13">
        <v>266</v>
      </c>
      <c r="J33" s="18" t="s">
        <v>4156</v>
      </c>
      <c r="K33" s="13"/>
      <c r="L33" s="13" t="s">
        <v>2948</v>
      </c>
      <c r="M33" s="13"/>
      <c r="N33" s="14">
        <v>36609</v>
      </c>
      <c r="O33" s="13"/>
      <c r="P33" s="13"/>
      <c r="Q33" s="13"/>
      <c r="R33" s="17">
        <f ca="1" t="shared" ref="R33:R36" si="5">(TODAY()-N33)/365</f>
        <v>26.6082191780822</v>
      </c>
    </row>
    <row r="34" ht="15.75" hidden="1" customHeight="1" spans="1:18">
      <c r="A34" s="12" t="s">
        <v>51</v>
      </c>
      <c r="B34" s="12" t="s">
        <v>2189</v>
      </c>
      <c r="C34" s="12" t="s">
        <v>4157</v>
      </c>
      <c r="D34" s="12" t="s">
        <v>4131</v>
      </c>
      <c r="E34" s="12" t="str">
        <f t="shared" si="0"/>
        <v>Juneafel Kate Lipaen</v>
      </c>
      <c r="F34" s="13" t="s">
        <v>2761</v>
      </c>
      <c r="G34" s="13" t="s">
        <v>1056</v>
      </c>
      <c r="H34" s="13" t="s">
        <v>161</v>
      </c>
      <c r="I34" s="13" t="s">
        <v>2762</v>
      </c>
      <c r="J34" s="13" t="s">
        <v>163</v>
      </c>
      <c r="K34" s="13"/>
      <c r="L34" s="13" t="s">
        <v>2763</v>
      </c>
      <c r="M34" s="20" t="s">
        <v>2764</v>
      </c>
      <c r="N34" s="14">
        <v>38888</v>
      </c>
      <c r="O34" s="13"/>
      <c r="P34" s="13"/>
      <c r="Q34" s="13"/>
      <c r="R34" s="17">
        <f ca="1" t="shared" si="5"/>
        <v>20.3643835616438</v>
      </c>
    </row>
    <row r="35" ht="15.75" hidden="1" customHeight="1" spans="1:18">
      <c r="A35" s="12" t="s">
        <v>51</v>
      </c>
      <c r="B35" s="12" t="s">
        <v>2189</v>
      </c>
      <c r="C35" s="12" t="s">
        <v>4135</v>
      </c>
      <c r="D35" s="12" t="s">
        <v>4131</v>
      </c>
      <c r="E35" s="12" t="str">
        <f t="shared" si="0"/>
        <v>Mira Grace Quintero</v>
      </c>
      <c r="F35" s="13" t="s">
        <v>2972</v>
      </c>
      <c r="G35" s="13" t="s">
        <v>1400</v>
      </c>
      <c r="H35" s="13" t="s">
        <v>818</v>
      </c>
      <c r="I35" s="13">
        <v>198</v>
      </c>
      <c r="J35" s="13" t="s">
        <v>1402</v>
      </c>
      <c r="L35" s="13" t="s">
        <v>2973</v>
      </c>
      <c r="M35" s="20" t="s">
        <v>2974</v>
      </c>
      <c r="N35" s="14">
        <v>40650</v>
      </c>
      <c r="O35" s="13"/>
      <c r="P35" s="13"/>
      <c r="Q35" s="13"/>
      <c r="R35" s="17">
        <f ca="1" t="shared" si="5"/>
        <v>15.5369863013699</v>
      </c>
    </row>
    <row r="36" ht="15.75" hidden="1" customHeight="1" spans="1:18">
      <c r="A36" s="12" t="s">
        <v>51</v>
      </c>
      <c r="B36" s="12" t="s">
        <v>2181</v>
      </c>
      <c r="C36" s="12" t="s">
        <v>4135</v>
      </c>
      <c r="D36" s="12" t="s">
        <v>4131</v>
      </c>
      <c r="E36" s="12" t="str">
        <f t="shared" si="0"/>
        <v>Alvin Noel Gayados</v>
      </c>
      <c r="F36" s="13" t="s">
        <v>2696</v>
      </c>
      <c r="G36" s="13" t="s">
        <v>979</v>
      </c>
      <c r="H36" s="13" t="s">
        <v>113</v>
      </c>
      <c r="I36" s="13" t="s">
        <v>2697</v>
      </c>
      <c r="J36" s="18" t="s">
        <v>2698</v>
      </c>
      <c r="K36" s="13"/>
      <c r="L36" s="13" t="s">
        <v>2699</v>
      </c>
      <c r="M36" s="13" t="s">
        <v>2700</v>
      </c>
      <c r="N36" s="16">
        <v>35781</v>
      </c>
      <c r="O36" s="13"/>
      <c r="P36" s="13"/>
      <c r="Q36" s="13"/>
      <c r="R36" s="17">
        <f ca="1" t="shared" si="5"/>
        <v>28.8767123287671</v>
      </c>
    </row>
    <row r="37" ht="15.75" hidden="1" customHeight="1" spans="1:18">
      <c r="A37" s="12" t="s">
        <v>79</v>
      </c>
      <c r="B37" s="12" t="s">
        <v>2189</v>
      </c>
      <c r="C37" s="12" t="s">
        <v>4135</v>
      </c>
      <c r="D37" s="12" t="s">
        <v>4131</v>
      </c>
      <c r="E37" s="12" t="str">
        <f t="shared" si="0"/>
        <v>Harnelle Castro** </v>
      </c>
      <c r="F37" s="13" t="s">
        <v>4158</v>
      </c>
      <c r="G37" s="13"/>
      <c r="H37" s="13"/>
      <c r="I37" s="13"/>
      <c r="J37" s="13"/>
      <c r="K37" s="13"/>
      <c r="L37" s="13"/>
      <c r="M37" s="13"/>
      <c r="N37" s="14"/>
      <c r="O37" s="13"/>
      <c r="P37" s="13"/>
      <c r="Q37" s="13"/>
      <c r="R37" s="17"/>
    </row>
    <row r="38" ht="15.75" hidden="1" customHeight="1" spans="1:18">
      <c r="A38" s="12" t="s">
        <v>51</v>
      </c>
      <c r="B38" s="12" t="s">
        <v>2383</v>
      </c>
      <c r="C38" s="12" t="s">
        <v>4135</v>
      </c>
      <c r="D38" s="12" t="s">
        <v>4131</v>
      </c>
      <c r="E38" s="12" t="str">
        <f t="shared" si="0"/>
        <v>Aira May Wakit</v>
      </c>
      <c r="F38" s="13" t="s">
        <v>3151</v>
      </c>
      <c r="G38" s="13" t="s">
        <v>1597</v>
      </c>
      <c r="H38" s="13" t="s">
        <v>2148</v>
      </c>
      <c r="I38" s="13"/>
      <c r="J38" s="13" t="s">
        <v>4159</v>
      </c>
      <c r="K38" s="13"/>
      <c r="L38" s="13" t="s">
        <v>3152</v>
      </c>
      <c r="M38" s="13"/>
      <c r="N38" s="16">
        <v>40682</v>
      </c>
      <c r="O38" s="13"/>
      <c r="P38" s="13"/>
      <c r="Q38" s="13"/>
      <c r="R38" s="17">
        <f ca="1">(TODAY()-N38)/365</f>
        <v>15.4493150684932</v>
      </c>
    </row>
    <row r="39" ht="15.75" hidden="1" customHeight="1" spans="1:18">
      <c r="A39" s="12" t="s">
        <v>79</v>
      </c>
      <c r="B39" s="12" t="s">
        <v>2181</v>
      </c>
      <c r="C39" s="12" t="s">
        <v>4135</v>
      </c>
      <c r="D39" s="12" t="s">
        <v>4131</v>
      </c>
      <c r="E39" s="12" t="str">
        <f t="shared" si="0"/>
        <v>Shadrac Cayat </v>
      </c>
      <c r="F39" s="13" t="s">
        <v>4160</v>
      </c>
      <c r="G39" s="13"/>
      <c r="H39" s="13"/>
      <c r="I39" s="13"/>
      <c r="J39" s="13"/>
      <c r="K39" s="13"/>
      <c r="L39" s="13"/>
      <c r="M39" s="13"/>
      <c r="N39" s="14"/>
      <c r="O39" s="13"/>
      <c r="P39" s="13"/>
      <c r="Q39" s="13"/>
      <c r="R39" s="17"/>
    </row>
    <row r="40" ht="15.75" hidden="1" customHeight="1" spans="1:18">
      <c r="A40" s="12" t="s">
        <v>79</v>
      </c>
      <c r="B40" s="12" t="s">
        <v>2184</v>
      </c>
      <c r="C40" s="12" t="s">
        <v>4135</v>
      </c>
      <c r="D40" s="12" t="s">
        <v>4131</v>
      </c>
      <c r="E40" s="12" t="str">
        <f t="shared" si="0"/>
        <v>Jessamin delos Trinos </v>
      </c>
      <c r="F40" s="19" t="s">
        <v>4161</v>
      </c>
      <c r="G40" s="13"/>
      <c r="H40" s="13"/>
      <c r="I40" s="13"/>
      <c r="J40" s="13"/>
      <c r="K40" s="13"/>
      <c r="L40" s="13"/>
      <c r="M40" s="13"/>
      <c r="N40" s="14"/>
      <c r="O40" s="13"/>
      <c r="P40" s="13"/>
      <c r="Q40" s="13"/>
      <c r="R40" s="17"/>
    </row>
    <row r="41" ht="15.75" hidden="1" customHeight="1" spans="1:18">
      <c r="A41" s="12" t="s">
        <v>51</v>
      </c>
      <c r="B41" s="12" t="s">
        <v>2189</v>
      </c>
      <c r="C41" s="12" t="s">
        <v>4162</v>
      </c>
      <c r="D41" s="12" t="s">
        <v>4134</v>
      </c>
      <c r="E41" s="12" t="str">
        <f t="shared" si="0"/>
        <v>Geralyn Minog</v>
      </c>
      <c r="F41" s="13" t="s">
        <v>2834</v>
      </c>
      <c r="G41" s="13" t="s">
        <v>1204</v>
      </c>
      <c r="H41" s="13"/>
      <c r="I41" s="21">
        <v>33</v>
      </c>
      <c r="J41" s="18" t="s">
        <v>1206</v>
      </c>
      <c r="K41" s="13"/>
      <c r="L41" s="13" t="s">
        <v>2835</v>
      </c>
      <c r="M41" s="13"/>
      <c r="N41" s="16">
        <v>33933</v>
      </c>
      <c r="O41" s="13"/>
      <c r="P41" s="13"/>
      <c r="Q41" s="13"/>
      <c r="R41" s="17">
        <f ca="1" t="shared" ref="R41:R44" si="6">(TODAY()-N41)/365</f>
        <v>33.9397260273973</v>
      </c>
    </row>
    <row r="42" ht="15.75" hidden="1" customHeight="1" spans="1:18">
      <c r="A42" s="12" t="s">
        <v>51</v>
      </c>
      <c r="B42" s="12" t="s">
        <v>2189</v>
      </c>
      <c r="C42" s="12" t="s">
        <v>4162</v>
      </c>
      <c r="D42" s="12" t="s">
        <v>4131</v>
      </c>
      <c r="E42" s="12" t="str">
        <f t="shared" si="0"/>
        <v>Guiana Tayaban</v>
      </c>
      <c r="F42" s="13" t="s">
        <v>3108</v>
      </c>
      <c r="G42" s="13" t="s">
        <v>3107</v>
      </c>
      <c r="H42" s="13"/>
      <c r="I42" s="21">
        <v>306</v>
      </c>
      <c r="J42" s="13" t="s">
        <v>3109</v>
      </c>
      <c r="K42" s="13" t="s">
        <v>3110</v>
      </c>
      <c r="L42" s="13" t="s">
        <v>3111</v>
      </c>
      <c r="M42" s="13" t="s">
        <v>3112</v>
      </c>
      <c r="N42" s="16">
        <v>36309</v>
      </c>
      <c r="O42" s="13"/>
      <c r="P42" s="13"/>
      <c r="Q42" s="13"/>
      <c r="R42" s="17">
        <f ca="1" t="shared" si="6"/>
        <v>27.4301369863014</v>
      </c>
    </row>
    <row r="43" ht="15.75" hidden="1" customHeight="1" spans="1:18">
      <c r="A43" s="12" t="s">
        <v>51</v>
      </c>
      <c r="B43" s="12" t="s">
        <v>2189</v>
      </c>
      <c r="C43" s="12" t="s">
        <v>4162</v>
      </c>
      <c r="D43" s="12" t="s">
        <v>4131</v>
      </c>
      <c r="E43" s="12" t="str">
        <f t="shared" si="0"/>
        <v>Krisha Camille Cruz</v>
      </c>
      <c r="F43" s="13" t="s">
        <v>2530</v>
      </c>
      <c r="G43" s="13" t="s">
        <v>753</v>
      </c>
      <c r="H43" s="13" t="s">
        <v>113</v>
      </c>
      <c r="I43" s="13" t="s">
        <v>2531</v>
      </c>
      <c r="J43" s="18" t="s">
        <v>495</v>
      </c>
      <c r="K43" s="13"/>
      <c r="L43" s="13" t="s">
        <v>2532</v>
      </c>
      <c r="M43" s="13" t="s">
        <v>2533</v>
      </c>
      <c r="N43" s="16">
        <v>38458</v>
      </c>
      <c r="O43" s="13"/>
      <c r="P43" s="13"/>
      <c r="Q43" s="13"/>
      <c r="R43" s="17">
        <f ca="1" t="shared" si="6"/>
        <v>21.5424657534247</v>
      </c>
    </row>
    <row r="44" ht="15.75" hidden="1" customHeight="1" spans="1:18">
      <c r="A44" s="12" t="s">
        <v>51</v>
      </c>
      <c r="B44" s="12" t="s">
        <v>2189</v>
      </c>
      <c r="C44" s="12" t="s">
        <v>4162</v>
      </c>
      <c r="D44" s="12" t="s">
        <v>4132</v>
      </c>
      <c r="E44" s="12" t="str">
        <f t="shared" si="0"/>
        <v>Rafael Jemiah Tapnio</v>
      </c>
      <c r="F44" s="13" t="s">
        <v>3097</v>
      </c>
      <c r="G44" s="13" t="s">
        <v>1543</v>
      </c>
      <c r="H44" s="13" t="s">
        <v>538</v>
      </c>
      <c r="I44" s="13" t="s">
        <v>3098</v>
      </c>
      <c r="J44" s="13" t="s">
        <v>3099</v>
      </c>
      <c r="K44" s="13" t="s">
        <v>3100</v>
      </c>
      <c r="L44" s="13" t="s">
        <v>3101</v>
      </c>
      <c r="M44" s="20" t="s">
        <v>3102</v>
      </c>
      <c r="N44" s="14">
        <v>40140</v>
      </c>
      <c r="O44" s="13"/>
      <c r="P44" s="13"/>
      <c r="Q44" s="13"/>
      <c r="R44" s="17">
        <f ca="1" t="shared" si="6"/>
        <v>16.9342465753425</v>
      </c>
    </row>
    <row r="45" ht="15.75" hidden="1" customHeight="1" spans="1:18">
      <c r="A45" s="12" t="s">
        <v>79</v>
      </c>
      <c r="B45" s="12" t="s">
        <v>2184</v>
      </c>
      <c r="C45" s="12" t="s">
        <v>4162</v>
      </c>
      <c r="D45" s="12" t="s">
        <v>4131</v>
      </c>
      <c r="E45" s="12" t="str">
        <f t="shared" si="0"/>
        <v>Froxh Zion A. Antonio </v>
      </c>
      <c r="F45" s="19" t="s">
        <v>4163</v>
      </c>
      <c r="G45" s="13"/>
      <c r="H45" s="13"/>
      <c r="I45" s="13"/>
      <c r="J45" s="13"/>
      <c r="K45" s="13"/>
      <c r="L45" s="13"/>
      <c r="M45" s="13"/>
      <c r="N45" s="14"/>
      <c r="O45" s="13"/>
      <c r="P45" s="13"/>
      <c r="Q45" s="13"/>
      <c r="R45" s="17"/>
    </row>
    <row r="46" ht="15.75" hidden="1" customHeight="1" spans="1:18">
      <c r="A46" s="12" t="s">
        <v>51</v>
      </c>
      <c r="B46" s="12" t="s">
        <v>2177</v>
      </c>
      <c r="C46" s="12" t="s">
        <v>4162</v>
      </c>
      <c r="D46" s="12" t="s">
        <v>4131</v>
      </c>
      <c r="E46" s="12" t="str">
        <f t="shared" si="0"/>
        <v>Jeremiah Josh Manadao</v>
      </c>
      <c r="F46" s="13" t="s">
        <v>2818</v>
      </c>
      <c r="G46" s="13" t="s">
        <v>2806</v>
      </c>
      <c r="H46" s="13" t="s">
        <v>493</v>
      </c>
      <c r="I46" s="13">
        <v>55</v>
      </c>
      <c r="J46" s="13" t="s">
        <v>1419</v>
      </c>
      <c r="K46" s="13" t="s">
        <v>2808</v>
      </c>
      <c r="L46" s="13" t="s">
        <v>2817</v>
      </c>
      <c r="M46" s="20" t="s">
        <v>2819</v>
      </c>
      <c r="N46" s="14">
        <v>36163</v>
      </c>
      <c r="O46" s="13"/>
      <c r="P46" s="13"/>
      <c r="Q46" s="13"/>
      <c r="R46" s="17">
        <f ca="1">(TODAY()-N46)/365</f>
        <v>27.8301369863014</v>
      </c>
    </row>
    <row r="47" ht="15.75" hidden="1" customHeight="1" spans="1:18">
      <c r="A47" s="12" t="s">
        <v>79</v>
      </c>
      <c r="B47" s="12" t="s">
        <v>2177</v>
      </c>
      <c r="C47" s="12" t="s">
        <v>4162</v>
      </c>
      <c r="D47" s="12" t="s">
        <v>4131</v>
      </c>
      <c r="E47" s="12" t="str">
        <f t="shared" si="0"/>
        <v>Charles Agpalo </v>
      </c>
      <c r="F47" s="13" t="s">
        <v>4164</v>
      </c>
      <c r="G47" s="13"/>
      <c r="H47" s="13"/>
      <c r="I47" s="13"/>
      <c r="J47" s="13"/>
      <c r="K47" s="13"/>
      <c r="L47" s="13"/>
      <c r="M47" s="13"/>
      <c r="N47" s="14"/>
      <c r="O47" s="13"/>
      <c r="P47" s="13"/>
      <c r="Q47" s="13"/>
      <c r="R47" s="17"/>
    </row>
    <row r="48" ht="15.75" hidden="1" customHeight="1" spans="1:18">
      <c r="A48" s="12" t="s">
        <v>51</v>
      </c>
      <c r="B48" s="12" t="s">
        <v>2181</v>
      </c>
      <c r="C48" s="12" t="s">
        <v>4162</v>
      </c>
      <c r="D48" s="12" t="s">
        <v>4131</v>
      </c>
      <c r="E48" s="12" t="str">
        <f t="shared" si="0"/>
        <v>Trisha Joyce Dacanay</v>
      </c>
      <c r="F48" s="13" t="s">
        <v>2547</v>
      </c>
      <c r="G48" s="13" t="s">
        <v>816</v>
      </c>
      <c r="H48" s="13"/>
      <c r="I48" s="13" t="s">
        <v>2548</v>
      </c>
      <c r="J48" s="18" t="s">
        <v>820</v>
      </c>
      <c r="K48" s="13"/>
      <c r="L48" s="13" t="s">
        <v>2549</v>
      </c>
      <c r="M48" s="20" t="s">
        <v>2550</v>
      </c>
      <c r="N48" s="14">
        <v>37497</v>
      </c>
      <c r="O48" s="13"/>
      <c r="P48" s="13"/>
      <c r="Q48" s="13"/>
      <c r="R48" s="17">
        <f ca="1" t="shared" ref="R48:R49" si="7">(TODAY()-N48)/365</f>
        <v>24.1753424657534</v>
      </c>
    </row>
    <row r="49" ht="15.75" hidden="1" customHeight="1" spans="1:18">
      <c r="A49" s="12" t="s">
        <v>51</v>
      </c>
      <c r="B49" s="12" t="s">
        <v>2181</v>
      </c>
      <c r="C49" s="12" t="s">
        <v>4162</v>
      </c>
      <c r="D49" s="12" t="s">
        <v>4131</v>
      </c>
      <c r="E49" s="12" t="str">
        <f t="shared" si="0"/>
        <v>Arianah Venisse Dacanay</v>
      </c>
      <c r="F49" s="13" t="s">
        <v>2553</v>
      </c>
      <c r="G49" s="13" t="s">
        <v>816</v>
      </c>
      <c r="H49" s="13" t="s">
        <v>818</v>
      </c>
      <c r="I49" s="13" t="s">
        <v>2548</v>
      </c>
      <c r="J49" s="18" t="s">
        <v>820</v>
      </c>
      <c r="K49" s="13"/>
      <c r="L49" s="13" t="s">
        <v>2554</v>
      </c>
      <c r="M49" s="20" t="s">
        <v>2555</v>
      </c>
      <c r="N49" s="14">
        <v>40301</v>
      </c>
      <c r="O49" s="13"/>
      <c r="P49" s="13"/>
      <c r="Q49" s="13"/>
      <c r="R49" s="17">
        <f ca="1" t="shared" si="7"/>
        <v>16.4931506849315</v>
      </c>
    </row>
    <row r="50" ht="15.75" hidden="1" customHeight="1" spans="1:18">
      <c r="A50" s="12" t="s">
        <v>79</v>
      </c>
      <c r="B50" s="12" t="s">
        <v>2181</v>
      </c>
      <c r="C50" s="12" t="s">
        <v>4162</v>
      </c>
      <c r="D50" s="12" t="s">
        <v>4131</v>
      </c>
      <c r="E50" s="12" t="str">
        <f t="shared" si="0"/>
        <v>Faith De Guzman </v>
      </c>
      <c r="F50" s="13" t="s">
        <v>4165</v>
      </c>
      <c r="G50" s="13"/>
      <c r="H50" s="13"/>
      <c r="I50" s="13"/>
      <c r="J50" s="13"/>
      <c r="K50" s="13"/>
      <c r="L50" s="13"/>
      <c r="M50" s="13"/>
      <c r="N50" s="14"/>
      <c r="O50" s="13"/>
      <c r="P50" s="13"/>
      <c r="Q50" s="13"/>
      <c r="R50" s="17"/>
    </row>
    <row r="51" ht="15.75" hidden="1" customHeight="1" spans="1:18">
      <c r="A51" s="12" t="s">
        <v>79</v>
      </c>
      <c r="B51" s="12" t="s">
        <v>2181</v>
      </c>
      <c r="C51" s="12" t="s">
        <v>4162</v>
      </c>
      <c r="D51" s="12" t="s">
        <v>4131</v>
      </c>
      <c r="E51" s="12" t="str">
        <f t="shared" si="0"/>
        <v>Femy Akiapat </v>
      </c>
      <c r="F51" s="13" t="s">
        <v>4166</v>
      </c>
      <c r="G51" s="13"/>
      <c r="H51" s="13"/>
      <c r="I51" s="13"/>
      <c r="J51" s="13"/>
      <c r="K51" s="13"/>
      <c r="L51" s="13"/>
      <c r="M51" s="13"/>
      <c r="N51" s="14"/>
      <c r="O51" s="13"/>
      <c r="P51" s="13"/>
      <c r="Q51" s="13"/>
      <c r="R51" s="17"/>
    </row>
    <row r="52" ht="15.75" hidden="1" customHeight="1" spans="1:18">
      <c r="A52" s="12" t="s">
        <v>79</v>
      </c>
      <c r="B52" s="12" t="s">
        <v>2181</v>
      </c>
      <c r="C52" s="12" t="s">
        <v>4162</v>
      </c>
      <c r="D52" s="12" t="s">
        <v>4131</v>
      </c>
      <c r="E52" s="12" t="str">
        <f t="shared" si="0"/>
        <v>Danielle Mamaril</v>
      </c>
      <c r="F52" s="13" t="s">
        <v>2805</v>
      </c>
      <c r="G52" s="13" t="s">
        <v>1153</v>
      </c>
      <c r="H52" s="13"/>
      <c r="I52" s="13"/>
      <c r="J52" s="13"/>
      <c r="K52" s="13"/>
      <c r="L52" s="13"/>
      <c r="M52" s="13"/>
      <c r="N52" s="14"/>
      <c r="O52" s="13"/>
      <c r="P52" s="13"/>
      <c r="Q52" s="13"/>
      <c r="R52" s="17"/>
    </row>
    <row r="53" ht="15.75" hidden="1" customHeight="1" spans="1:18">
      <c r="A53" s="12" t="s">
        <v>79</v>
      </c>
      <c r="B53" s="12" t="s">
        <v>2181</v>
      </c>
      <c r="C53" s="12" t="s">
        <v>4162</v>
      </c>
      <c r="D53" s="12" t="s">
        <v>4131</v>
      </c>
      <c r="E53" s="12" t="str">
        <f t="shared" si="0"/>
        <v>Axel Alcantara</v>
      </c>
      <c r="F53" s="13" t="s">
        <v>2203</v>
      </c>
      <c r="G53" s="13" t="s">
        <v>2202</v>
      </c>
      <c r="H53" s="13"/>
      <c r="I53" s="13"/>
      <c r="J53" s="13"/>
      <c r="K53" s="13"/>
      <c r="L53" s="13"/>
      <c r="M53" s="13"/>
      <c r="N53" s="14"/>
      <c r="O53" s="13"/>
      <c r="P53" s="13"/>
      <c r="Q53" s="13"/>
      <c r="R53" s="17"/>
    </row>
    <row r="54" ht="15.75" hidden="1" customHeight="1" spans="1:18">
      <c r="A54" s="12" t="s">
        <v>51</v>
      </c>
      <c r="B54" s="12" t="s">
        <v>2189</v>
      </c>
      <c r="C54" s="12" t="s">
        <v>4157</v>
      </c>
      <c r="D54" s="12" t="s">
        <v>4132</v>
      </c>
      <c r="E54" s="12" t="str">
        <f t="shared" si="0"/>
        <v>Jamaica Castillejo</v>
      </c>
      <c r="F54" s="13" t="s">
        <v>2484</v>
      </c>
      <c r="G54" s="13" t="s">
        <v>2462</v>
      </c>
      <c r="H54" s="13"/>
      <c r="I54" s="13" t="s">
        <v>2485</v>
      </c>
      <c r="J54" s="13" t="s">
        <v>939</v>
      </c>
      <c r="K54" s="13" t="s">
        <v>2465</v>
      </c>
      <c r="L54" s="13" t="s">
        <v>2475</v>
      </c>
      <c r="M54" s="20" t="s">
        <v>2486</v>
      </c>
      <c r="N54" s="14">
        <v>36730</v>
      </c>
      <c r="O54" s="13"/>
      <c r="P54" s="13"/>
      <c r="Q54" s="13"/>
      <c r="R54" s="17">
        <f ca="1" t="shared" ref="R54:R55" si="8">(TODAY()-N54)/365</f>
        <v>26.2767123287671</v>
      </c>
    </row>
    <row r="55" ht="15.75" hidden="1" customHeight="1" spans="1:18">
      <c r="A55" s="12" t="s">
        <v>51</v>
      </c>
      <c r="B55" s="12" t="s">
        <v>2189</v>
      </c>
      <c r="C55" s="12" t="s">
        <v>4157</v>
      </c>
      <c r="D55" s="12" t="s">
        <v>4131</v>
      </c>
      <c r="E55" s="12" t="str">
        <f t="shared" si="0"/>
        <v>Kleinny May Daskeo</v>
      </c>
      <c r="F55" s="13" t="s">
        <v>2597</v>
      </c>
      <c r="G55" s="13" t="s">
        <v>867</v>
      </c>
      <c r="H55" s="13" t="s">
        <v>1041</v>
      </c>
      <c r="I55" s="13" t="s">
        <v>4167</v>
      </c>
      <c r="J55" s="13" t="s">
        <v>4168</v>
      </c>
      <c r="K55" s="13"/>
      <c r="L55" s="13" t="s">
        <v>2598</v>
      </c>
      <c r="M55" s="13"/>
      <c r="N55" s="16">
        <v>40734</v>
      </c>
      <c r="O55" s="13"/>
      <c r="P55" s="13"/>
      <c r="Q55" s="13"/>
      <c r="R55" s="17">
        <f ca="1" t="shared" si="8"/>
        <v>15.3068493150685</v>
      </c>
    </row>
    <row r="56" ht="15.75" hidden="1" customHeight="1" spans="1:18">
      <c r="A56" s="12" t="s">
        <v>79</v>
      </c>
      <c r="B56" s="12" t="s">
        <v>2189</v>
      </c>
      <c r="C56" s="12" t="s">
        <v>4157</v>
      </c>
      <c r="D56" s="12" t="s">
        <v>4134</v>
      </c>
      <c r="E56" s="12" t="str">
        <f t="shared" si="0"/>
        <v>Aurony John Taloban</v>
      </c>
      <c r="F56" s="13" t="s">
        <v>3061</v>
      </c>
      <c r="G56" s="13" t="s">
        <v>937</v>
      </c>
      <c r="H56" s="13"/>
      <c r="I56" s="13"/>
      <c r="J56" s="13"/>
      <c r="K56" s="13"/>
      <c r="L56" s="13"/>
      <c r="M56" s="13"/>
      <c r="N56" s="14"/>
      <c r="O56" s="13"/>
      <c r="P56" s="13"/>
      <c r="Q56" s="13"/>
      <c r="R56" s="17"/>
    </row>
    <row r="57" ht="15.75" hidden="1" customHeight="1" spans="1:18">
      <c r="A57" s="12" t="s">
        <v>79</v>
      </c>
      <c r="B57" s="12" t="s">
        <v>2189</v>
      </c>
      <c r="C57" s="12" t="s">
        <v>4157</v>
      </c>
      <c r="D57" s="12" t="s">
        <v>4131</v>
      </c>
      <c r="E57" s="12" t="str">
        <f t="shared" si="0"/>
        <v>Khyzer Clark Guiamas Daskeo </v>
      </c>
      <c r="F57" s="13" t="s">
        <v>4169</v>
      </c>
      <c r="G57" s="13"/>
      <c r="H57" s="13"/>
      <c r="I57" s="13"/>
      <c r="J57" s="13"/>
      <c r="K57" s="13"/>
      <c r="L57" s="13"/>
      <c r="M57" s="13"/>
      <c r="N57" s="14"/>
      <c r="O57" s="13"/>
      <c r="P57" s="13"/>
      <c r="Q57" s="13"/>
      <c r="R57" s="17"/>
    </row>
    <row r="58" ht="15.75" hidden="1" customHeight="1" spans="1:18">
      <c r="A58" s="12" t="s">
        <v>79</v>
      </c>
      <c r="B58" s="12" t="s">
        <v>2383</v>
      </c>
      <c r="C58" s="12" t="s">
        <v>4157</v>
      </c>
      <c r="D58" s="12" t="s">
        <v>4131</v>
      </c>
      <c r="E58" s="12" t="str">
        <f t="shared" si="0"/>
        <v>JM del Rosario</v>
      </c>
      <c r="F58" s="13" t="s">
        <v>4170</v>
      </c>
      <c r="G58" s="13" t="s">
        <v>4171</v>
      </c>
      <c r="H58" s="13"/>
      <c r="I58" s="13"/>
      <c r="J58" s="13"/>
      <c r="K58" s="13"/>
      <c r="L58" s="13"/>
      <c r="M58" s="13"/>
      <c r="N58" s="14"/>
      <c r="O58" s="13"/>
      <c r="P58" s="13"/>
      <c r="Q58" s="13"/>
      <c r="R58" s="17"/>
    </row>
    <row r="59" ht="15.75" hidden="1" customHeight="1" spans="1:18">
      <c r="A59" s="12" t="s">
        <v>79</v>
      </c>
      <c r="B59" s="12" t="s">
        <v>2184</v>
      </c>
      <c r="C59" s="12" t="s">
        <v>4157</v>
      </c>
      <c r="D59" s="12" t="s">
        <v>4131</v>
      </c>
      <c r="E59" s="12" t="str">
        <f t="shared" si="0"/>
        <v>Kurt Mangili </v>
      </c>
      <c r="F59" s="19" t="s">
        <v>4172</v>
      </c>
      <c r="G59" s="13"/>
      <c r="H59" s="13"/>
      <c r="I59" s="13"/>
      <c r="J59" s="13"/>
      <c r="K59" s="13"/>
      <c r="L59" s="13"/>
      <c r="M59" s="13"/>
      <c r="N59" s="14"/>
      <c r="O59" s="13"/>
      <c r="P59" s="13"/>
      <c r="Q59" s="13"/>
      <c r="R59" s="17"/>
    </row>
    <row r="60" ht="15.75" hidden="1" customHeight="1" spans="1:18">
      <c r="A60" s="12" t="s">
        <v>79</v>
      </c>
      <c r="B60" s="12" t="s">
        <v>2184</v>
      </c>
      <c r="C60" s="12" t="s">
        <v>4157</v>
      </c>
      <c r="D60" s="12" t="s">
        <v>4131</v>
      </c>
      <c r="E60" s="12" t="str">
        <f t="shared" si="0"/>
        <v>Kenneth Torres </v>
      </c>
      <c r="F60" s="19" t="s">
        <v>4173</v>
      </c>
      <c r="G60" s="13"/>
      <c r="H60" s="13"/>
      <c r="I60" s="13"/>
      <c r="J60" s="13"/>
      <c r="K60" s="13"/>
      <c r="L60" s="13"/>
      <c r="M60" s="13"/>
      <c r="N60" s="14"/>
      <c r="O60" s="13"/>
      <c r="P60" s="13"/>
      <c r="Q60" s="13"/>
      <c r="R60" s="17"/>
    </row>
    <row r="61" ht="15.75" hidden="1" customHeight="1" spans="1:18">
      <c r="A61" s="12" t="s">
        <v>51</v>
      </c>
      <c r="B61" s="12" t="s">
        <v>2177</v>
      </c>
      <c r="C61" s="12" t="s">
        <v>4157</v>
      </c>
      <c r="D61" s="12" t="s">
        <v>4131</v>
      </c>
      <c r="E61" s="12" t="str">
        <f t="shared" si="0"/>
        <v>Christopher Steve Tinacba</v>
      </c>
      <c r="F61" s="13" t="s">
        <v>3122</v>
      </c>
      <c r="G61" s="13" t="s">
        <v>3121</v>
      </c>
      <c r="H61" s="13" t="s">
        <v>1041</v>
      </c>
      <c r="I61" s="13"/>
      <c r="J61" s="13" t="s">
        <v>59</v>
      </c>
      <c r="K61" s="13" t="s">
        <v>3123</v>
      </c>
      <c r="L61" s="13" t="s">
        <v>3124</v>
      </c>
      <c r="M61" s="13" t="s">
        <v>3125</v>
      </c>
      <c r="N61" s="16">
        <v>35766</v>
      </c>
      <c r="O61" s="13"/>
      <c r="P61" s="13"/>
      <c r="Q61" s="13"/>
      <c r="R61" s="17">
        <f ca="1" t="shared" ref="R61:R64" si="9">(TODAY()-N61)/365</f>
        <v>28.9178082191781</v>
      </c>
    </row>
    <row r="62" ht="15.75" hidden="1" customHeight="1" spans="1:18">
      <c r="A62" s="12" t="s">
        <v>51</v>
      </c>
      <c r="B62" s="12" t="s">
        <v>2177</v>
      </c>
      <c r="C62" s="12" t="s">
        <v>4157</v>
      </c>
      <c r="D62" s="12" t="s">
        <v>4131</v>
      </c>
      <c r="E62" s="12" t="str">
        <f t="shared" si="0"/>
        <v>Jinky Mae Cabbigat</v>
      </c>
      <c r="F62" s="13" t="s">
        <v>2425</v>
      </c>
      <c r="G62" s="13" t="s">
        <v>2424</v>
      </c>
      <c r="H62" s="13" t="s">
        <v>222</v>
      </c>
      <c r="I62" s="13"/>
      <c r="J62" s="13" t="s">
        <v>2236</v>
      </c>
      <c r="K62" s="13" t="s">
        <v>2426</v>
      </c>
      <c r="L62" s="13" t="s">
        <v>2250</v>
      </c>
      <c r="M62" s="20" t="s">
        <v>2427</v>
      </c>
      <c r="N62" s="14">
        <v>37634</v>
      </c>
      <c r="O62" s="13"/>
      <c r="P62" s="13"/>
      <c r="Q62" s="13"/>
      <c r="R62" s="17">
        <f ca="1" t="shared" si="9"/>
        <v>23.8</v>
      </c>
    </row>
    <row r="63" ht="15.75" hidden="1" customHeight="1" spans="1:18">
      <c r="A63" s="12" t="s">
        <v>51</v>
      </c>
      <c r="B63" s="12" t="s">
        <v>2181</v>
      </c>
      <c r="C63" s="12" t="s">
        <v>4157</v>
      </c>
      <c r="D63" s="12" t="s">
        <v>4131</v>
      </c>
      <c r="E63" s="12" t="str">
        <f t="shared" si="0"/>
        <v>Yamiela Andrei Rafael</v>
      </c>
      <c r="F63" s="13" t="s">
        <v>2983</v>
      </c>
      <c r="G63" s="13" t="s">
        <v>2982</v>
      </c>
      <c r="H63" s="13" t="s">
        <v>222</v>
      </c>
      <c r="I63" s="13" t="s">
        <v>2984</v>
      </c>
      <c r="J63" s="13" t="s">
        <v>4174</v>
      </c>
      <c r="K63" s="13"/>
      <c r="L63" s="13"/>
      <c r="M63" s="20" t="s">
        <v>2985</v>
      </c>
      <c r="N63" s="14">
        <v>38716</v>
      </c>
      <c r="O63" s="13"/>
      <c r="P63" s="13"/>
      <c r="Q63" s="13"/>
      <c r="R63" s="17">
        <f ca="1" t="shared" si="9"/>
        <v>20.8356164383562</v>
      </c>
    </row>
    <row r="64" ht="15.75" hidden="1" customHeight="1" spans="1:18">
      <c r="A64" s="12" t="s">
        <v>51</v>
      </c>
      <c r="B64" s="12" t="s">
        <v>2181</v>
      </c>
      <c r="C64" s="12" t="s">
        <v>4157</v>
      </c>
      <c r="D64" s="12" t="s">
        <v>4131</v>
      </c>
      <c r="E64" s="12" t="str">
        <f t="shared" si="0"/>
        <v>Linelle Garcia</v>
      </c>
      <c r="F64" s="13" t="s">
        <v>2681</v>
      </c>
      <c r="G64" s="13" t="s">
        <v>1950</v>
      </c>
      <c r="H64" s="13" t="s">
        <v>222</v>
      </c>
      <c r="I64" s="13" t="s">
        <v>672</v>
      </c>
      <c r="J64" s="13" t="s">
        <v>4175</v>
      </c>
      <c r="K64" s="13"/>
      <c r="L64" s="13" t="s">
        <v>2682</v>
      </c>
      <c r="M64" s="20" t="s">
        <v>2683</v>
      </c>
      <c r="N64" s="14">
        <v>39185</v>
      </c>
      <c r="O64" s="13"/>
      <c r="P64" s="13"/>
      <c r="Q64" s="13"/>
      <c r="R64" s="17">
        <f ca="1" t="shared" si="9"/>
        <v>19.5506849315069</v>
      </c>
    </row>
    <row r="65" ht="15.75" hidden="1" customHeight="1" spans="1:18">
      <c r="A65" s="12" t="s">
        <v>79</v>
      </c>
      <c r="B65" s="12" t="s">
        <v>2184</v>
      </c>
      <c r="C65" s="12" t="s">
        <v>4135</v>
      </c>
      <c r="D65" s="12" t="s">
        <v>4131</v>
      </c>
      <c r="E65" s="12" t="str">
        <f t="shared" si="0"/>
        <v>Cloe Morales </v>
      </c>
      <c r="F65" s="13" t="s">
        <v>4176</v>
      </c>
      <c r="G65" s="13"/>
      <c r="H65" s="13"/>
      <c r="I65" s="13"/>
      <c r="J65" s="13"/>
      <c r="K65" s="13"/>
      <c r="L65" s="13"/>
      <c r="M65" s="13"/>
      <c r="N65" s="14"/>
      <c r="O65" s="13"/>
      <c r="P65" s="13"/>
      <c r="Q65" s="13"/>
      <c r="R65" s="17"/>
    </row>
    <row r="66" ht="15.75" hidden="1" customHeight="1" spans="1:18">
      <c r="A66" s="12" t="s">
        <v>79</v>
      </c>
      <c r="B66" s="12" t="s">
        <v>2181</v>
      </c>
      <c r="C66" s="12" t="s">
        <v>4157</v>
      </c>
      <c r="D66" s="12" t="s">
        <v>4131</v>
      </c>
      <c r="E66" s="12" t="str">
        <f t="shared" si="0"/>
        <v>Chenkie Ngaosi </v>
      </c>
      <c r="F66" s="13" t="s">
        <v>4177</v>
      </c>
      <c r="G66" s="13"/>
      <c r="H66" s="13"/>
      <c r="I66" s="13"/>
      <c r="J66" s="13"/>
      <c r="K66" s="13"/>
      <c r="L66" s="13"/>
      <c r="M66" s="13"/>
      <c r="N66" s="14"/>
      <c r="O66" s="13"/>
      <c r="P66" s="13"/>
      <c r="Q66" s="13"/>
      <c r="R66" s="17"/>
    </row>
    <row r="67" ht="15.75" hidden="1" customHeight="1" spans="1:18">
      <c r="A67" s="12" t="s">
        <v>51</v>
      </c>
      <c r="B67" s="12" t="s">
        <v>2189</v>
      </c>
      <c r="C67" s="12" t="s">
        <v>2185</v>
      </c>
      <c r="D67" s="12" t="s">
        <v>4134</v>
      </c>
      <c r="E67" s="12" t="str">
        <f t="shared" si="0"/>
        <v>Alpha May Albing</v>
      </c>
      <c r="F67" s="13" t="s">
        <v>2199</v>
      </c>
      <c r="G67" s="13" t="s">
        <v>2187</v>
      </c>
      <c r="H67" s="13" t="s">
        <v>239</v>
      </c>
      <c r="I67" s="13" t="s">
        <v>1613</v>
      </c>
      <c r="J67" s="13" t="s">
        <v>1222</v>
      </c>
      <c r="K67" s="13"/>
      <c r="L67" s="13" t="s">
        <v>2200</v>
      </c>
      <c r="M67" s="20" t="s">
        <v>2201</v>
      </c>
      <c r="N67" s="14">
        <v>33888</v>
      </c>
      <c r="O67" s="13"/>
      <c r="P67" s="13"/>
      <c r="Q67" s="13"/>
      <c r="R67" s="17">
        <f ca="1" t="shared" ref="R67:R71" si="10">(TODAY()-N67)/365</f>
        <v>34.0630136986301</v>
      </c>
    </row>
    <row r="68" ht="15.75" hidden="1" customHeight="1" spans="1:18">
      <c r="A68" s="12" t="s">
        <v>51</v>
      </c>
      <c r="B68" s="12" t="s">
        <v>2189</v>
      </c>
      <c r="C68" s="12" t="s">
        <v>2185</v>
      </c>
      <c r="D68" s="12" t="s">
        <v>4132</v>
      </c>
      <c r="E68" s="12" t="str">
        <f t="shared" si="0"/>
        <v>Ramon Christopher Prado</v>
      </c>
      <c r="F68" s="13" t="s">
        <v>2941</v>
      </c>
      <c r="G68" s="13" t="s">
        <v>1333</v>
      </c>
      <c r="H68" s="13" t="s">
        <v>1041</v>
      </c>
      <c r="I68" s="21">
        <v>266</v>
      </c>
      <c r="J68" s="18" t="s">
        <v>4156</v>
      </c>
      <c r="K68" s="13"/>
      <c r="L68" s="13" t="s">
        <v>2943</v>
      </c>
      <c r="M68" s="13" t="s">
        <v>2944</v>
      </c>
      <c r="N68" s="16">
        <v>37248</v>
      </c>
      <c r="O68" s="13"/>
      <c r="P68" s="13"/>
      <c r="Q68" s="13"/>
      <c r="R68" s="17">
        <f ca="1" t="shared" si="10"/>
        <v>24.8575342465753</v>
      </c>
    </row>
    <row r="69" ht="15.75" hidden="1" customHeight="1" spans="1:18">
      <c r="A69" s="12" t="s">
        <v>51</v>
      </c>
      <c r="B69" s="12" t="s">
        <v>2189</v>
      </c>
      <c r="C69" s="12" t="s">
        <v>2185</v>
      </c>
      <c r="D69" s="12" t="s">
        <v>4131</v>
      </c>
      <c r="E69" s="12" t="str">
        <f t="shared" si="0"/>
        <v>Clea Reins Morales</v>
      </c>
      <c r="F69" s="13" t="s">
        <v>2861</v>
      </c>
      <c r="G69" s="13" t="s">
        <v>2859</v>
      </c>
      <c r="H69" s="13" t="s">
        <v>907</v>
      </c>
      <c r="I69" s="21">
        <v>51</v>
      </c>
      <c r="J69" s="13" t="s">
        <v>2862</v>
      </c>
      <c r="K69" s="13"/>
      <c r="L69" s="13" t="s">
        <v>2863</v>
      </c>
      <c r="M69" s="13"/>
      <c r="N69" s="16">
        <v>39022</v>
      </c>
      <c r="O69" s="13"/>
      <c r="P69" s="13"/>
      <c r="Q69" s="13"/>
      <c r="R69" s="17">
        <f ca="1" t="shared" si="10"/>
        <v>19.9972602739726</v>
      </c>
    </row>
    <row r="70" ht="15.75" hidden="1" customHeight="1" spans="1:18">
      <c r="A70" s="12" t="s">
        <v>51</v>
      </c>
      <c r="B70" s="12" t="s">
        <v>2189</v>
      </c>
      <c r="C70" s="12" t="s">
        <v>2185</v>
      </c>
      <c r="D70" s="12" t="s">
        <v>4131</v>
      </c>
      <c r="E70" s="12" t="str">
        <f t="shared" si="0"/>
        <v>Matt Rodjun Wasian</v>
      </c>
      <c r="F70" s="13" t="s">
        <v>3161</v>
      </c>
      <c r="G70" s="13" t="s">
        <v>1611</v>
      </c>
      <c r="H70" s="13" t="s">
        <v>222</v>
      </c>
      <c r="I70" s="13" t="s">
        <v>1613</v>
      </c>
      <c r="J70" s="13" t="s">
        <v>1222</v>
      </c>
      <c r="K70" s="13"/>
      <c r="L70" s="13"/>
      <c r="M70" s="13"/>
      <c r="N70" s="14">
        <v>40481</v>
      </c>
      <c r="O70" s="13"/>
      <c r="P70" s="13"/>
      <c r="Q70" s="13"/>
      <c r="R70" s="17">
        <f ca="1" t="shared" si="10"/>
        <v>16</v>
      </c>
    </row>
    <row r="71" ht="15.75" hidden="1" customHeight="1" spans="1:18">
      <c r="A71" s="12" t="s">
        <v>51</v>
      </c>
      <c r="B71" s="12" t="s">
        <v>2189</v>
      </c>
      <c r="C71" s="12" t="s">
        <v>2185</v>
      </c>
      <c r="D71" s="12" t="s">
        <v>4131</v>
      </c>
      <c r="E71" s="12" t="str">
        <f t="shared" si="0"/>
        <v>Jairo Tristan Wasian</v>
      </c>
      <c r="F71" s="13" t="s">
        <v>3165</v>
      </c>
      <c r="G71" s="13" t="s">
        <v>1611</v>
      </c>
      <c r="H71" s="13" t="s">
        <v>222</v>
      </c>
      <c r="I71" s="13" t="s">
        <v>1613</v>
      </c>
      <c r="J71" s="13" t="s">
        <v>1222</v>
      </c>
      <c r="K71" s="13"/>
      <c r="L71" s="13"/>
      <c r="M71" s="13"/>
      <c r="N71" s="14">
        <v>40998</v>
      </c>
      <c r="O71" s="13"/>
      <c r="P71" s="13"/>
      <c r="Q71" s="13"/>
      <c r="R71" s="17">
        <f ca="1" t="shared" si="10"/>
        <v>14.5835616438356</v>
      </c>
    </row>
    <row r="72" ht="15.75" hidden="1" customHeight="1" spans="1:18">
      <c r="A72" s="12" t="s">
        <v>79</v>
      </c>
      <c r="B72" s="12" t="s">
        <v>2383</v>
      </c>
      <c r="C72" s="12" t="s">
        <v>2185</v>
      </c>
      <c r="D72" s="12" t="s">
        <v>4131</v>
      </c>
      <c r="E72" s="12" t="str">
        <f t="shared" si="0"/>
        <v>Dani dela Cruz</v>
      </c>
      <c r="F72" s="13" t="s">
        <v>2612</v>
      </c>
      <c r="G72" s="13" t="s">
        <v>4178</v>
      </c>
      <c r="H72" s="13"/>
      <c r="I72" s="13"/>
      <c r="J72" s="13"/>
      <c r="K72" s="13"/>
      <c r="L72" s="13"/>
      <c r="M72" s="13"/>
      <c r="N72" s="14"/>
      <c r="O72" s="13"/>
      <c r="P72" s="13"/>
      <c r="Q72" s="13"/>
      <c r="R72" s="17"/>
    </row>
    <row r="73" ht="15.75" hidden="1" customHeight="1" spans="1:18">
      <c r="A73" s="12" t="s">
        <v>79</v>
      </c>
      <c r="B73" s="12" t="s">
        <v>2184</v>
      </c>
      <c r="C73" s="12" t="s">
        <v>2185</v>
      </c>
      <c r="D73" s="12" t="s">
        <v>4131</v>
      </c>
      <c r="E73" s="12" t="str">
        <f t="shared" si="0"/>
        <v>Renalyn Alcoriza </v>
      </c>
      <c r="F73" s="19" t="s">
        <v>4179</v>
      </c>
      <c r="G73" s="13"/>
      <c r="H73" s="13"/>
      <c r="I73" s="13"/>
      <c r="J73" s="13"/>
      <c r="K73" s="13"/>
      <c r="L73" s="13"/>
      <c r="M73" s="13"/>
      <c r="N73" s="14"/>
      <c r="O73" s="13"/>
      <c r="P73" s="13"/>
      <c r="Q73" s="13"/>
      <c r="R73" s="17"/>
    </row>
    <row r="74" ht="15.75" hidden="1" customHeight="1" spans="1:18">
      <c r="A74" s="12" t="s">
        <v>79</v>
      </c>
      <c r="B74" s="12" t="s">
        <v>2184</v>
      </c>
      <c r="C74" s="12" t="s">
        <v>2185</v>
      </c>
      <c r="D74" s="12" t="s">
        <v>4131</v>
      </c>
      <c r="E74" s="12" t="str">
        <f t="shared" si="0"/>
        <v>John Lee Albing </v>
      </c>
      <c r="F74" s="19" t="s">
        <v>4180</v>
      </c>
      <c r="G74" s="13"/>
      <c r="H74" s="13"/>
      <c r="I74" s="13"/>
      <c r="J74" s="13"/>
      <c r="K74" s="13"/>
      <c r="L74" s="13"/>
      <c r="M74" s="13"/>
      <c r="N74" s="14"/>
      <c r="O74" s="13"/>
      <c r="P74" s="13"/>
      <c r="Q74" s="13"/>
      <c r="R74" s="17"/>
    </row>
    <row r="75" ht="15.75" hidden="1" customHeight="1" spans="1:18">
      <c r="A75" s="12" t="s">
        <v>51</v>
      </c>
      <c r="B75" s="12" t="s">
        <v>2181</v>
      </c>
      <c r="C75" s="12" t="s">
        <v>2185</v>
      </c>
      <c r="D75" s="12" t="s">
        <v>4131</v>
      </c>
      <c r="E75" s="12" t="str">
        <f t="shared" si="0"/>
        <v>Havilah Leigh Daiwey</v>
      </c>
      <c r="F75" s="13" t="s">
        <v>2570</v>
      </c>
      <c r="G75" s="13" t="s">
        <v>843</v>
      </c>
      <c r="H75" s="13" t="s">
        <v>161</v>
      </c>
      <c r="I75" s="13" t="s">
        <v>845</v>
      </c>
      <c r="J75" s="13" t="s">
        <v>163</v>
      </c>
      <c r="K75" s="13"/>
      <c r="L75" s="13" t="s">
        <v>2571</v>
      </c>
      <c r="M75" s="20" t="s">
        <v>2572</v>
      </c>
      <c r="N75" s="14">
        <v>36638</v>
      </c>
      <c r="O75" s="13"/>
      <c r="P75" s="13"/>
      <c r="Q75" s="13"/>
      <c r="R75" s="17">
        <f ca="1" t="shared" ref="R75:R76" si="11">(TODAY()-N75)/365</f>
        <v>26.5287671232877</v>
      </c>
    </row>
    <row r="76" ht="15.75" hidden="1" customHeight="1" spans="1:18">
      <c r="A76" s="12" t="s">
        <v>51</v>
      </c>
      <c r="B76" s="12" t="s">
        <v>2181</v>
      </c>
      <c r="C76" s="12" t="s">
        <v>2185</v>
      </c>
      <c r="D76" s="12" t="s">
        <v>4131</v>
      </c>
      <c r="E76" s="12" t="str">
        <f t="shared" si="0"/>
        <v>Jenessa Faith Solis</v>
      </c>
      <c r="F76" s="13" t="s">
        <v>3031</v>
      </c>
      <c r="G76" s="13" t="s">
        <v>3020</v>
      </c>
      <c r="H76" s="13" t="s">
        <v>907</v>
      </c>
      <c r="I76" s="21">
        <v>51</v>
      </c>
      <c r="J76" s="13" t="s">
        <v>2862</v>
      </c>
      <c r="K76" s="13"/>
      <c r="L76" s="13" t="s">
        <v>3032</v>
      </c>
      <c r="M76" s="13" t="s">
        <v>3033</v>
      </c>
      <c r="N76" s="16">
        <v>36809</v>
      </c>
      <c r="O76" s="13"/>
      <c r="P76" s="13"/>
      <c r="Q76" s="13"/>
      <c r="R76" s="17">
        <f ca="1" t="shared" si="11"/>
        <v>26.0602739726027</v>
      </c>
    </row>
    <row r="77" ht="15.75" hidden="1" customHeight="1" spans="1:18">
      <c r="A77" s="12" t="s">
        <v>79</v>
      </c>
      <c r="B77" s="12" t="s">
        <v>2181</v>
      </c>
      <c r="C77" s="12" t="s">
        <v>2185</v>
      </c>
      <c r="D77" s="12" t="s">
        <v>4131</v>
      </c>
      <c r="E77" s="12" t="str">
        <f t="shared" si="0"/>
        <v>Khaizer Diamsay </v>
      </c>
      <c r="F77" s="13" t="s">
        <v>4181</v>
      </c>
      <c r="G77" s="13"/>
      <c r="H77" s="13"/>
      <c r="I77" s="13"/>
      <c r="J77" s="13"/>
      <c r="K77" s="13"/>
      <c r="L77" s="13"/>
      <c r="M77" s="13"/>
      <c r="N77" s="14"/>
      <c r="O77" s="13"/>
      <c r="P77" s="13"/>
      <c r="Q77" s="13"/>
      <c r="R77" s="17"/>
    </row>
    <row r="78" ht="15.75" hidden="1" customHeight="1" spans="1:18">
      <c r="A78" s="12" t="s">
        <v>79</v>
      </c>
      <c r="B78" s="12" t="s">
        <v>2181</v>
      </c>
      <c r="C78" s="12" t="s">
        <v>2185</v>
      </c>
      <c r="D78" s="12" t="s">
        <v>4131</v>
      </c>
      <c r="E78" s="12" t="str">
        <f t="shared" si="0"/>
        <v>Kathleen Torres </v>
      </c>
      <c r="F78" s="13" t="s">
        <v>4182</v>
      </c>
      <c r="G78" s="13"/>
      <c r="H78" s="13"/>
      <c r="I78" s="13"/>
      <c r="J78" s="13"/>
      <c r="K78" s="13"/>
      <c r="L78" s="13"/>
      <c r="M78" s="13"/>
      <c r="N78" s="14"/>
      <c r="O78" s="13"/>
      <c r="P78" s="13"/>
      <c r="Q78" s="13"/>
      <c r="R78" s="17"/>
    </row>
    <row r="79" ht="15.75" hidden="1" customHeight="1" spans="1:18">
      <c r="A79" s="12" t="s">
        <v>51</v>
      </c>
      <c r="B79" s="12" t="s">
        <v>2189</v>
      </c>
      <c r="C79" s="12" t="s">
        <v>2205</v>
      </c>
      <c r="D79" s="12" t="s">
        <v>4134</v>
      </c>
      <c r="E79" s="12" t="str">
        <f t="shared" si="0"/>
        <v>Aubrine Grace Lipaen</v>
      </c>
      <c r="F79" s="13" t="s">
        <v>2771</v>
      </c>
      <c r="G79" s="13" t="s">
        <v>1056</v>
      </c>
      <c r="H79" s="13" t="s">
        <v>161</v>
      </c>
      <c r="I79" s="13" t="s">
        <v>2618</v>
      </c>
      <c r="J79" s="13" t="s">
        <v>163</v>
      </c>
      <c r="K79" s="13"/>
      <c r="L79" s="13" t="s">
        <v>2772</v>
      </c>
      <c r="M79" s="13" t="s">
        <v>2773</v>
      </c>
      <c r="N79" s="16">
        <v>36391</v>
      </c>
      <c r="O79" s="13"/>
      <c r="P79" s="13"/>
      <c r="Q79" s="13"/>
      <c r="R79" s="17">
        <f ca="1" t="shared" ref="R79:R80" si="12">(TODAY()-N79)/365</f>
        <v>27.2054794520548</v>
      </c>
    </row>
    <row r="80" ht="15.75" hidden="1" customHeight="1" spans="1:18">
      <c r="A80" s="12" t="s">
        <v>51</v>
      </c>
      <c r="B80" s="12" t="s">
        <v>2189</v>
      </c>
      <c r="C80" s="12" t="s">
        <v>2205</v>
      </c>
      <c r="D80" s="12" t="s">
        <v>4131</v>
      </c>
      <c r="E80" s="12" t="str">
        <f t="shared" si="0"/>
        <v>Jimuel John Pay-an</v>
      </c>
      <c r="F80" s="13" t="s">
        <v>2914</v>
      </c>
      <c r="G80" s="13" t="s">
        <v>1325</v>
      </c>
      <c r="H80" s="13" t="s">
        <v>161</v>
      </c>
      <c r="I80" s="13" t="s">
        <v>2915</v>
      </c>
      <c r="J80" s="13" t="s">
        <v>163</v>
      </c>
      <c r="K80" s="13"/>
      <c r="L80" s="13" t="s">
        <v>2917</v>
      </c>
      <c r="M80" s="20" t="s">
        <v>2918</v>
      </c>
      <c r="N80" s="14">
        <v>39463</v>
      </c>
      <c r="O80" s="13"/>
      <c r="P80" s="13"/>
      <c r="Q80" s="13"/>
      <c r="R80" s="17">
        <f ca="1" t="shared" si="12"/>
        <v>18.7890410958904</v>
      </c>
    </row>
    <row r="81" ht="15.75" hidden="1" customHeight="1" spans="1:18">
      <c r="A81" s="12" t="s">
        <v>79</v>
      </c>
      <c r="B81" s="12" t="s">
        <v>2189</v>
      </c>
      <c r="C81" s="12" t="s">
        <v>2205</v>
      </c>
      <c r="D81" s="12" t="s">
        <v>4131</v>
      </c>
      <c r="E81" s="12" t="str">
        <f t="shared" si="0"/>
        <v>Alexis Prado </v>
      </c>
      <c r="F81" s="13" t="s">
        <v>4183</v>
      </c>
      <c r="G81" s="13"/>
      <c r="H81" s="13"/>
      <c r="I81" s="13"/>
      <c r="J81" s="13"/>
      <c r="K81" s="13"/>
      <c r="L81" s="13"/>
      <c r="M81" s="13"/>
      <c r="N81" s="14"/>
      <c r="O81" s="13"/>
      <c r="P81" s="13"/>
      <c r="Q81" s="13"/>
      <c r="R81" s="17"/>
    </row>
    <row r="82" ht="15.75" hidden="1" customHeight="1" spans="1:18">
      <c r="A82" s="12" t="s">
        <v>79</v>
      </c>
      <c r="B82" s="12" t="s">
        <v>2189</v>
      </c>
      <c r="C82" s="12" t="s">
        <v>2205</v>
      </c>
      <c r="D82" s="12" t="s">
        <v>4131</v>
      </c>
      <c r="E82" s="12" t="str">
        <f t="shared" si="0"/>
        <v>Tom Jeff Macayya </v>
      </c>
      <c r="F82" s="13" t="s">
        <v>4184</v>
      </c>
      <c r="G82" s="13"/>
      <c r="H82" s="13"/>
      <c r="I82" s="13"/>
      <c r="J82" s="13"/>
      <c r="K82" s="13"/>
      <c r="L82" s="13"/>
      <c r="M82" s="13"/>
      <c r="N82" s="14"/>
      <c r="O82" s="13"/>
      <c r="P82" s="13"/>
      <c r="Q82" s="13"/>
      <c r="R82" s="17"/>
    </row>
    <row r="83" ht="15.75" hidden="1" customHeight="1" spans="1:18">
      <c r="A83" s="12" t="s">
        <v>79</v>
      </c>
      <c r="B83" s="12" t="s">
        <v>2189</v>
      </c>
      <c r="C83" s="12" t="s">
        <v>2205</v>
      </c>
      <c r="D83" s="12" t="s">
        <v>4131</v>
      </c>
      <c r="E83" s="12" t="str">
        <f t="shared" si="0"/>
        <v>Janine Lipaen </v>
      </c>
      <c r="F83" s="13" t="s">
        <v>4185</v>
      </c>
      <c r="G83" s="13"/>
      <c r="H83" s="13"/>
      <c r="I83" s="13"/>
      <c r="J83" s="13"/>
      <c r="K83" s="13"/>
      <c r="L83" s="13"/>
      <c r="M83" s="13"/>
      <c r="N83" s="14"/>
      <c r="O83" s="13"/>
      <c r="P83" s="13"/>
      <c r="Q83" s="13"/>
      <c r="R83" s="17"/>
    </row>
    <row r="84" ht="15.75" hidden="1" customHeight="1" spans="1:18">
      <c r="A84" s="12" t="s">
        <v>79</v>
      </c>
      <c r="B84" s="12" t="s">
        <v>2189</v>
      </c>
      <c r="C84" s="12" t="s">
        <v>2205</v>
      </c>
      <c r="D84" s="12" t="s">
        <v>4132</v>
      </c>
      <c r="E84" s="12" t="str">
        <f t="shared" si="0"/>
        <v>Harell Castro</v>
      </c>
      <c r="F84" s="13" t="s">
        <v>4186</v>
      </c>
      <c r="G84" s="13" t="s">
        <v>670</v>
      </c>
      <c r="H84" s="13"/>
      <c r="I84" s="13"/>
      <c r="J84" s="13"/>
      <c r="K84" s="13"/>
      <c r="L84" s="13"/>
      <c r="M84" s="13"/>
      <c r="N84" s="14"/>
      <c r="O84" s="13"/>
      <c r="P84" s="13"/>
      <c r="Q84" s="13"/>
      <c r="R84" s="17"/>
    </row>
    <row r="85" ht="15.75" hidden="1" customHeight="1" spans="1:18">
      <c r="A85" s="12" t="s">
        <v>79</v>
      </c>
      <c r="B85" s="12" t="s">
        <v>2184</v>
      </c>
      <c r="C85" s="12" t="s">
        <v>2205</v>
      </c>
      <c r="D85" s="12" t="s">
        <v>4131</v>
      </c>
      <c r="E85" s="12" t="str">
        <f t="shared" si="0"/>
        <v>Raymond Ferreras </v>
      </c>
      <c r="F85" s="19" t="s">
        <v>4187</v>
      </c>
      <c r="G85" s="13"/>
      <c r="H85" s="13"/>
      <c r="I85" s="13"/>
      <c r="J85" s="13"/>
      <c r="K85" s="13"/>
      <c r="L85" s="13"/>
      <c r="M85" s="13"/>
      <c r="N85" s="14"/>
      <c r="O85" s="13"/>
      <c r="P85" s="13"/>
      <c r="Q85" s="13"/>
      <c r="R85" s="17"/>
    </row>
    <row r="86" ht="15.75" hidden="1" customHeight="1" spans="1:18">
      <c r="A86" s="12" t="s">
        <v>79</v>
      </c>
      <c r="B86" s="12" t="s">
        <v>2184</v>
      </c>
      <c r="C86" s="12" t="s">
        <v>2205</v>
      </c>
      <c r="D86" s="12" t="s">
        <v>4131</v>
      </c>
      <c r="E86" s="12" t="str">
        <f t="shared" si="0"/>
        <v>Jun Alister </v>
      </c>
      <c r="F86" s="19" t="s">
        <v>4188</v>
      </c>
      <c r="G86" s="13"/>
      <c r="H86" s="13"/>
      <c r="I86" s="13"/>
      <c r="J86" s="13"/>
      <c r="K86" s="13"/>
      <c r="L86" s="13"/>
      <c r="M86" s="13"/>
      <c r="N86" s="14"/>
      <c r="O86" s="13"/>
      <c r="P86" s="13"/>
      <c r="Q86" s="13"/>
      <c r="R86" s="17"/>
    </row>
    <row r="87" ht="15.75" hidden="1" customHeight="1" spans="1:18">
      <c r="A87" s="12" t="s">
        <v>79</v>
      </c>
      <c r="B87" s="12" t="s">
        <v>2177</v>
      </c>
      <c r="C87" s="12" t="s">
        <v>2205</v>
      </c>
      <c r="D87" s="12" t="s">
        <v>4131</v>
      </c>
      <c r="E87" s="12" t="str">
        <f t="shared" si="0"/>
        <v>Kzy Sacla </v>
      </c>
      <c r="F87" s="22" t="s">
        <v>4189</v>
      </c>
      <c r="G87" s="13"/>
      <c r="H87" s="13"/>
      <c r="I87" s="13"/>
      <c r="J87" s="13"/>
      <c r="K87" s="13"/>
      <c r="L87" s="13"/>
      <c r="M87" s="13"/>
      <c r="N87" s="14"/>
      <c r="O87" s="13"/>
      <c r="P87" s="13"/>
      <c r="Q87" s="13"/>
      <c r="R87" s="17"/>
    </row>
    <row r="88" ht="15.75" hidden="1" customHeight="1" spans="1:18">
      <c r="A88" s="12" t="s">
        <v>79</v>
      </c>
      <c r="B88" s="12" t="s">
        <v>2177</v>
      </c>
      <c r="C88" s="12" t="s">
        <v>2205</v>
      </c>
      <c r="D88" s="12" t="s">
        <v>4131</v>
      </c>
      <c r="E88" s="12" t="str">
        <f t="shared" si="0"/>
        <v>Gracelyn Wanas </v>
      </c>
      <c r="F88" s="22" t="s">
        <v>4190</v>
      </c>
      <c r="G88" s="13"/>
      <c r="H88" s="13"/>
      <c r="I88" s="13"/>
      <c r="J88" s="13"/>
      <c r="K88" s="13"/>
      <c r="L88" s="13"/>
      <c r="M88" s="13"/>
      <c r="N88" s="14"/>
      <c r="O88" s="13"/>
      <c r="P88" s="13"/>
      <c r="Q88" s="13"/>
      <c r="R88" s="17"/>
    </row>
    <row r="89" ht="15.75" hidden="1" customHeight="1" spans="1:18">
      <c r="A89" s="12" t="s">
        <v>51</v>
      </c>
      <c r="B89" s="12" t="s">
        <v>2181</v>
      </c>
      <c r="C89" s="12" t="s">
        <v>2205</v>
      </c>
      <c r="D89" s="12" t="s">
        <v>4131</v>
      </c>
      <c r="E89" s="12" t="str">
        <f t="shared" si="0"/>
        <v>Geraldine Feliciano</v>
      </c>
      <c r="F89" s="13" t="s">
        <v>2657</v>
      </c>
      <c r="G89" s="13" t="s">
        <v>2649</v>
      </c>
      <c r="H89" s="13" t="s">
        <v>538</v>
      </c>
      <c r="I89" s="13" t="s">
        <v>2658</v>
      </c>
      <c r="J89" s="13" t="s">
        <v>59</v>
      </c>
      <c r="K89" s="13"/>
      <c r="L89" s="13" t="s">
        <v>2660</v>
      </c>
      <c r="M89" s="20" t="s">
        <v>2661</v>
      </c>
      <c r="N89" s="14">
        <v>35277</v>
      </c>
      <c r="O89" s="13"/>
      <c r="P89" s="13"/>
      <c r="Q89" s="13"/>
      <c r="R89" s="17">
        <f ca="1">(TODAY()-N89)/365</f>
        <v>30.2575342465753</v>
      </c>
    </row>
    <row r="90" ht="15.75" hidden="1" customHeight="1" spans="1:18">
      <c r="A90" s="12" t="s">
        <v>79</v>
      </c>
      <c r="B90" s="12" t="s">
        <v>2181</v>
      </c>
      <c r="C90" s="12" t="s">
        <v>2205</v>
      </c>
      <c r="D90" s="12" t="s">
        <v>4131</v>
      </c>
      <c r="E90" s="12" t="str">
        <f t="shared" si="0"/>
        <v>Clarissa Tacbas </v>
      </c>
      <c r="F90" s="13" t="s">
        <v>4191</v>
      </c>
      <c r="G90" s="13"/>
      <c r="H90" s="13"/>
      <c r="I90" s="13"/>
      <c r="J90" s="13"/>
      <c r="K90" s="13"/>
      <c r="L90" s="13"/>
      <c r="M90" s="13"/>
      <c r="N90" s="14"/>
      <c r="O90" s="13"/>
      <c r="P90" s="13"/>
      <c r="Q90" s="13"/>
      <c r="R90" s="17"/>
    </row>
    <row r="91" ht="15.75" hidden="1" customHeight="1" spans="1:18">
      <c r="A91" s="12" t="s">
        <v>79</v>
      </c>
      <c r="B91" s="12" t="s">
        <v>2181</v>
      </c>
      <c r="C91" s="12" t="s">
        <v>2205</v>
      </c>
      <c r="D91" s="12" t="s">
        <v>4131</v>
      </c>
      <c r="E91" s="12" t="str">
        <f t="shared" si="0"/>
        <v>Liquette Sawad </v>
      </c>
      <c r="F91" s="13" t="s">
        <v>4192</v>
      </c>
      <c r="G91" s="13"/>
      <c r="H91" s="13"/>
      <c r="I91" s="13"/>
      <c r="J91" s="13"/>
      <c r="K91" s="13"/>
      <c r="L91" s="13"/>
      <c r="M91" s="13"/>
      <c r="N91" s="14"/>
      <c r="O91" s="13"/>
      <c r="P91" s="13"/>
      <c r="Q91" s="13"/>
      <c r="R91" s="17"/>
    </row>
    <row r="92" ht="15.75" hidden="1" customHeight="1" spans="1:18">
      <c r="A92" s="12" t="s">
        <v>51</v>
      </c>
      <c r="B92" s="12" t="s">
        <v>2189</v>
      </c>
      <c r="C92" s="12" t="s">
        <v>2186</v>
      </c>
      <c r="D92" s="12" t="s">
        <v>4131</v>
      </c>
      <c r="E92" s="12" t="str">
        <f t="shared" si="0"/>
        <v>Urany Marie Way-yas</v>
      </c>
      <c r="F92" s="13" t="s">
        <v>3167</v>
      </c>
      <c r="G92" s="13" t="s">
        <v>3166</v>
      </c>
      <c r="H92" s="13" t="s">
        <v>628</v>
      </c>
      <c r="I92" s="13" t="s">
        <v>3168</v>
      </c>
      <c r="J92" s="13" t="s">
        <v>3169</v>
      </c>
      <c r="K92" s="13" t="s">
        <v>3170</v>
      </c>
      <c r="L92" s="13" t="s">
        <v>3171</v>
      </c>
      <c r="M92" s="13" t="s">
        <v>3172</v>
      </c>
      <c r="N92" s="16">
        <v>27614</v>
      </c>
      <c r="O92" s="13"/>
      <c r="P92" s="13"/>
      <c r="Q92" s="13"/>
      <c r="R92" s="17">
        <f ca="1" t="shared" ref="R92:R94" si="13">(TODAY()-N92)/365</f>
        <v>51.2520547945205</v>
      </c>
    </row>
    <row r="93" ht="15.75" hidden="1" customHeight="1" spans="1:18">
      <c r="A93" s="12" t="s">
        <v>51</v>
      </c>
      <c r="B93" s="12" t="s">
        <v>2189</v>
      </c>
      <c r="C93" s="12" t="s">
        <v>2186</v>
      </c>
      <c r="D93" s="12" t="s">
        <v>4131</v>
      </c>
      <c r="E93" s="12" t="str">
        <f t="shared" si="0"/>
        <v>Demerie Joy Matias</v>
      </c>
      <c r="F93" s="13" t="s">
        <v>2823</v>
      </c>
      <c r="G93" s="13" t="s">
        <v>1189</v>
      </c>
      <c r="H93" s="13" t="s">
        <v>2824</v>
      </c>
      <c r="I93" s="13" t="s">
        <v>2825</v>
      </c>
      <c r="J93" s="18" t="s">
        <v>2826</v>
      </c>
      <c r="K93" s="13"/>
      <c r="L93" s="13"/>
      <c r="M93" s="13" t="s">
        <v>2827</v>
      </c>
      <c r="N93" s="16">
        <v>30315</v>
      </c>
      <c r="O93" s="13"/>
      <c r="P93" s="13"/>
      <c r="Q93" s="13"/>
      <c r="R93" s="17">
        <f ca="1" t="shared" si="13"/>
        <v>43.8520547945205</v>
      </c>
    </row>
    <row r="94" ht="15.75" hidden="1" customHeight="1" spans="1:18">
      <c r="A94" s="12" t="s">
        <v>51</v>
      </c>
      <c r="B94" s="12" t="s">
        <v>2189</v>
      </c>
      <c r="C94" s="12" t="s">
        <v>2186</v>
      </c>
      <c r="D94" s="12" t="s">
        <v>4131</v>
      </c>
      <c r="E94" s="12" t="str">
        <f t="shared" si="0"/>
        <v>Eriberto Regoso</v>
      </c>
      <c r="F94" s="13" t="s">
        <v>3008</v>
      </c>
      <c r="G94" s="13" t="s">
        <v>3007</v>
      </c>
      <c r="H94" s="13" t="s">
        <v>239</v>
      </c>
      <c r="I94" s="13" t="s">
        <v>1613</v>
      </c>
      <c r="J94" s="13" t="s">
        <v>1222</v>
      </c>
      <c r="K94" s="13"/>
      <c r="L94" s="13" t="s">
        <v>3009</v>
      </c>
      <c r="M94" s="20" t="s">
        <v>3010</v>
      </c>
      <c r="N94" s="14">
        <v>32265</v>
      </c>
      <c r="O94" s="13"/>
      <c r="P94" s="13"/>
      <c r="Q94" s="13"/>
      <c r="R94" s="17">
        <f ca="1" t="shared" si="13"/>
        <v>38.5095890410959</v>
      </c>
    </row>
    <row r="95" ht="15.75" hidden="1" customHeight="1" spans="1:18">
      <c r="A95" s="12" t="s">
        <v>79</v>
      </c>
      <c r="B95" s="12" t="s">
        <v>2189</v>
      </c>
      <c r="C95" s="12" t="s">
        <v>2186</v>
      </c>
      <c r="D95" s="12" t="s">
        <v>4131</v>
      </c>
      <c r="E95" s="12" t="str">
        <f t="shared" si="0"/>
        <v>Rodalyn Tomas</v>
      </c>
      <c r="F95" s="13" t="s">
        <v>3146</v>
      </c>
      <c r="G95" s="13" t="s">
        <v>1563</v>
      </c>
      <c r="H95" s="13"/>
      <c r="I95" s="13"/>
      <c r="J95" s="13"/>
      <c r="K95" s="13"/>
      <c r="L95" s="13"/>
      <c r="M95" s="13"/>
      <c r="N95" s="14"/>
      <c r="O95" s="13"/>
      <c r="P95" s="13"/>
      <c r="Q95" s="13"/>
      <c r="R95" s="17"/>
    </row>
    <row r="96" ht="15.75" hidden="1" customHeight="1" spans="1:18">
      <c r="A96" s="12" t="s">
        <v>79</v>
      </c>
      <c r="B96" s="12" t="s">
        <v>2189</v>
      </c>
      <c r="C96" s="12" t="s">
        <v>2186</v>
      </c>
      <c r="D96" s="12" t="s">
        <v>4132</v>
      </c>
      <c r="E96" s="12" t="str">
        <f t="shared" si="0"/>
        <v>Michael Mendoza</v>
      </c>
      <c r="F96" s="13" t="s">
        <v>2113</v>
      </c>
      <c r="G96" s="13" t="s">
        <v>2833</v>
      </c>
      <c r="H96" s="13"/>
      <c r="I96" s="13"/>
      <c r="J96" s="13"/>
      <c r="K96" s="13"/>
      <c r="L96" s="13"/>
      <c r="M96" s="13"/>
      <c r="N96" s="14"/>
      <c r="O96" s="13"/>
      <c r="P96" s="13"/>
      <c r="Q96" s="13"/>
      <c r="R96" s="17"/>
    </row>
    <row r="97" ht="15.75" hidden="1" customHeight="1" spans="1:18">
      <c r="A97" s="12" t="s">
        <v>79</v>
      </c>
      <c r="B97" s="12" t="s">
        <v>2189</v>
      </c>
      <c r="C97" s="12" t="s">
        <v>2186</v>
      </c>
      <c r="D97" s="12" t="s">
        <v>4134</v>
      </c>
      <c r="E97" s="12" t="str">
        <f t="shared" si="0"/>
        <v>Sharon Padupad</v>
      </c>
      <c r="F97" s="13" t="s">
        <v>2899</v>
      </c>
      <c r="G97" s="13" t="s">
        <v>2898</v>
      </c>
      <c r="H97" s="13"/>
      <c r="I97" s="13"/>
      <c r="J97" s="13"/>
      <c r="K97" s="13"/>
      <c r="L97" s="13"/>
      <c r="M97" s="13"/>
      <c r="N97" s="14"/>
      <c r="O97" s="13"/>
      <c r="P97" s="13"/>
      <c r="Q97" s="13"/>
      <c r="R97" s="17"/>
    </row>
    <row r="98" ht="15.75" hidden="1" customHeight="1" spans="1:18">
      <c r="A98" s="12" t="s">
        <v>51</v>
      </c>
      <c r="B98" s="12" t="s">
        <v>2177</v>
      </c>
      <c r="C98" s="12" t="s">
        <v>2186</v>
      </c>
      <c r="D98" s="12" t="s">
        <v>4131</v>
      </c>
      <c r="E98" s="12" t="str">
        <f t="shared" si="0"/>
        <v>Kimberly Doligas</v>
      </c>
      <c r="F98" s="13" t="s">
        <v>661</v>
      </c>
      <c r="G98" s="13" t="s">
        <v>568</v>
      </c>
      <c r="H98" s="13" t="s">
        <v>1041</v>
      </c>
      <c r="I98" s="13" t="s">
        <v>2618</v>
      </c>
      <c r="J98" s="13" t="s">
        <v>2619</v>
      </c>
      <c r="K98" s="13" t="s">
        <v>2620</v>
      </c>
      <c r="L98" s="13" t="s">
        <v>2621</v>
      </c>
      <c r="M98" s="20" t="s">
        <v>2622</v>
      </c>
      <c r="N98" s="14">
        <v>30985</v>
      </c>
      <c r="O98" s="13"/>
      <c r="P98" s="13"/>
      <c r="Q98" s="13"/>
      <c r="R98" s="17">
        <f ca="1">(TODAY()-N98)/365</f>
        <v>42.0164383561644</v>
      </c>
    </row>
    <row r="99" ht="15.75" hidden="1" customHeight="1" spans="1:18">
      <c r="A99" s="12" t="s">
        <v>51</v>
      </c>
      <c r="B99" s="12" t="s">
        <v>2181</v>
      </c>
      <c r="C99" s="12" t="s">
        <v>2186</v>
      </c>
      <c r="D99" s="12" t="s">
        <v>4131</v>
      </c>
      <c r="E99" s="12" t="str">
        <f t="shared" si="0"/>
        <v>Gideon Feliciano</v>
      </c>
      <c r="F99" s="13" t="s">
        <v>2650</v>
      </c>
      <c r="G99" s="13" t="s">
        <v>2649</v>
      </c>
      <c r="H99" s="13" t="s">
        <v>538</v>
      </c>
      <c r="I99" s="13" t="s">
        <v>2651</v>
      </c>
      <c r="J99" s="13" t="s">
        <v>59</v>
      </c>
      <c r="K99" s="13"/>
      <c r="L99" s="13" t="s">
        <v>2652</v>
      </c>
      <c r="M99" s="20" t="s">
        <v>2653</v>
      </c>
      <c r="N99" s="14"/>
      <c r="O99" s="13"/>
      <c r="P99" s="13"/>
      <c r="Q99" s="13"/>
      <c r="R99" s="17"/>
    </row>
    <row r="100" ht="15.75" hidden="1" customHeight="1" spans="1:18">
      <c r="A100" s="12" t="s">
        <v>51</v>
      </c>
      <c r="B100" s="12" t="s">
        <v>2189</v>
      </c>
      <c r="C100" s="12" t="s">
        <v>1767</v>
      </c>
      <c r="D100" s="12" t="s">
        <v>4132</v>
      </c>
      <c r="E100" s="12" t="str">
        <f t="shared" si="0"/>
        <v>Gylrihs Gem Basilio</v>
      </c>
      <c r="F100" s="13" t="s">
        <v>2332</v>
      </c>
      <c r="G100" s="13" t="s">
        <v>2331</v>
      </c>
      <c r="H100" s="13" t="s">
        <v>222</v>
      </c>
      <c r="I100" s="13" t="s">
        <v>4193</v>
      </c>
      <c r="J100" s="13" t="s">
        <v>4194</v>
      </c>
      <c r="K100" s="13"/>
      <c r="L100" s="13" t="s">
        <v>2334</v>
      </c>
      <c r="M100" s="20" t="s">
        <v>2335</v>
      </c>
      <c r="N100" s="14">
        <v>37852</v>
      </c>
      <c r="O100" s="13"/>
      <c r="P100" s="13"/>
      <c r="Q100" s="13"/>
      <c r="R100" s="17">
        <f ca="1" t="shared" ref="R100:R103" si="14">(TODAY()-N100)/365</f>
        <v>23.2027397260274</v>
      </c>
    </row>
    <row r="101" ht="15.75" hidden="1" customHeight="1" spans="1:18">
      <c r="A101" s="12" t="s">
        <v>51</v>
      </c>
      <c r="B101" s="12" t="s">
        <v>2189</v>
      </c>
      <c r="C101" s="12" t="s">
        <v>1767</v>
      </c>
      <c r="D101" s="12" t="s">
        <v>4131</v>
      </c>
      <c r="E101" s="12" t="str">
        <f t="shared" si="0"/>
        <v>Althea Faith Misa</v>
      </c>
      <c r="F101" s="13" t="s">
        <v>2849</v>
      </c>
      <c r="G101" s="13" t="s">
        <v>1208</v>
      </c>
      <c r="H101" s="13" t="s">
        <v>161</v>
      </c>
      <c r="I101" s="13" t="s">
        <v>2850</v>
      </c>
      <c r="J101" s="13" t="s">
        <v>1211</v>
      </c>
      <c r="K101" s="13"/>
      <c r="L101" s="13" t="s">
        <v>2851</v>
      </c>
      <c r="M101" s="13" t="s">
        <v>2852</v>
      </c>
      <c r="N101" s="16">
        <v>38477</v>
      </c>
      <c r="O101" s="13"/>
      <c r="P101" s="13"/>
      <c r="Q101" s="13"/>
      <c r="R101" s="17">
        <f ca="1" t="shared" si="14"/>
        <v>21.4904109589041</v>
      </c>
    </row>
    <row r="102" ht="15.75" hidden="1" customHeight="1" spans="1:18">
      <c r="A102" s="12" t="s">
        <v>51</v>
      </c>
      <c r="B102" s="12" t="s">
        <v>2189</v>
      </c>
      <c r="C102" s="12" t="s">
        <v>1767</v>
      </c>
      <c r="D102" s="12" t="s">
        <v>4131</v>
      </c>
      <c r="E102" s="12" t="str">
        <f t="shared" si="0"/>
        <v>Ruth Misa</v>
      </c>
      <c r="F102" s="13" t="s">
        <v>2840</v>
      </c>
      <c r="G102" s="13" t="s">
        <v>1208</v>
      </c>
      <c r="H102" s="13" t="s">
        <v>161</v>
      </c>
      <c r="I102" s="13"/>
      <c r="J102" s="13" t="s">
        <v>1016</v>
      </c>
      <c r="K102" s="13"/>
      <c r="L102" s="13" t="s">
        <v>2841</v>
      </c>
      <c r="M102" s="13" t="s">
        <v>2842</v>
      </c>
      <c r="N102" s="16">
        <v>39129</v>
      </c>
      <c r="O102" s="13"/>
      <c r="P102" s="13"/>
      <c r="Q102" s="13"/>
      <c r="R102" s="17">
        <f ca="1" t="shared" si="14"/>
        <v>19.7041095890411</v>
      </c>
    </row>
    <row r="103" ht="15.75" hidden="1" customHeight="1" spans="1:18">
      <c r="A103" s="12" t="s">
        <v>51</v>
      </c>
      <c r="B103" s="12" t="s">
        <v>2189</v>
      </c>
      <c r="C103" s="12" t="s">
        <v>1767</v>
      </c>
      <c r="D103" s="12" t="s">
        <v>4131</v>
      </c>
      <c r="E103" s="12" t="str">
        <f t="shared" si="0"/>
        <v>Mykaela Talbo</v>
      </c>
      <c r="F103" s="13" t="s">
        <v>3055</v>
      </c>
      <c r="G103" s="13" t="s">
        <v>1512</v>
      </c>
      <c r="H103" s="13" t="s">
        <v>1666</v>
      </c>
      <c r="I103" s="13" t="s">
        <v>1514</v>
      </c>
      <c r="J103" s="18" t="s">
        <v>1515</v>
      </c>
      <c r="K103" s="13"/>
      <c r="L103" s="13" t="s">
        <v>3056</v>
      </c>
      <c r="M103" s="13"/>
      <c r="N103" s="16">
        <v>40651</v>
      </c>
      <c r="O103" s="13"/>
      <c r="P103" s="13"/>
      <c r="Q103" s="13"/>
      <c r="R103" s="17">
        <f ca="1" t="shared" si="14"/>
        <v>15.5342465753425</v>
      </c>
    </row>
    <row r="104" ht="15.75" hidden="1" customHeight="1" spans="1:18">
      <c r="A104" s="12" t="s">
        <v>79</v>
      </c>
      <c r="B104" s="12" t="s">
        <v>2189</v>
      </c>
      <c r="C104" s="12" t="s">
        <v>1767</v>
      </c>
      <c r="D104" s="12" t="s">
        <v>4134</v>
      </c>
      <c r="E104" s="12" t="str">
        <f t="shared" si="0"/>
        <v>John Andrew Mago</v>
      </c>
      <c r="F104" s="13" t="s">
        <v>2781</v>
      </c>
      <c r="G104" s="13" t="s">
        <v>1110</v>
      </c>
      <c r="H104" s="13"/>
      <c r="I104" s="13"/>
      <c r="J104" s="13"/>
      <c r="K104" s="13"/>
      <c r="L104" s="13"/>
      <c r="M104" s="13"/>
      <c r="N104" s="14"/>
      <c r="O104" s="13"/>
      <c r="P104" s="13"/>
      <c r="Q104" s="13"/>
      <c r="R104" s="17"/>
    </row>
    <row r="105" ht="15.75" hidden="1" customHeight="1" spans="1:18">
      <c r="A105" s="12" t="s">
        <v>79</v>
      </c>
      <c r="B105" s="12" t="s">
        <v>2383</v>
      </c>
      <c r="C105" s="12" t="s">
        <v>1767</v>
      </c>
      <c r="D105" s="12" t="s">
        <v>4131</v>
      </c>
      <c r="E105" s="12" t="str">
        <f t="shared" si="0"/>
        <v>James Raguindin</v>
      </c>
      <c r="F105" s="13" t="s">
        <v>2990</v>
      </c>
      <c r="G105" s="13" t="s">
        <v>1406</v>
      </c>
      <c r="H105" s="13"/>
      <c r="I105" s="13"/>
      <c r="J105" s="13"/>
      <c r="K105" s="13"/>
      <c r="L105" s="13"/>
      <c r="M105" s="13"/>
      <c r="N105" s="14"/>
      <c r="O105" s="13"/>
      <c r="P105" s="13"/>
      <c r="Q105" s="13"/>
      <c r="R105" s="17"/>
    </row>
    <row r="106" ht="15.75" hidden="1" customHeight="1" spans="1:18">
      <c r="A106" s="12" t="s">
        <v>79</v>
      </c>
      <c r="B106" s="12" t="s">
        <v>2383</v>
      </c>
      <c r="C106" s="12" t="s">
        <v>1767</v>
      </c>
      <c r="D106" s="12" t="s">
        <v>4131</v>
      </c>
      <c r="E106" s="12" t="str">
        <f t="shared" si="0"/>
        <v>Jasem Raguindin</v>
      </c>
      <c r="F106" s="13" t="s">
        <v>2989</v>
      </c>
      <c r="G106" s="13" t="s">
        <v>1406</v>
      </c>
      <c r="H106" s="13"/>
      <c r="I106" s="13"/>
      <c r="J106" s="13"/>
      <c r="K106" s="13"/>
      <c r="L106" s="13"/>
      <c r="M106" s="13"/>
      <c r="N106" s="14"/>
      <c r="O106" s="13"/>
      <c r="P106" s="13"/>
      <c r="Q106" s="13"/>
      <c r="R106" s="17"/>
    </row>
    <row r="107" ht="15.75" hidden="1" customHeight="1" spans="1:18">
      <c r="A107" s="12" t="s">
        <v>79</v>
      </c>
      <c r="B107" s="12" t="s">
        <v>2184</v>
      </c>
      <c r="C107" s="12" t="s">
        <v>1767</v>
      </c>
      <c r="D107" s="12" t="s">
        <v>4131</v>
      </c>
      <c r="E107" s="12" t="str">
        <f t="shared" si="0"/>
        <v>Naphtali Felipe </v>
      </c>
      <c r="F107" s="13" t="s">
        <v>4195</v>
      </c>
      <c r="G107" s="13"/>
      <c r="H107" s="13"/>
      <c r="I107" s="13"/>
      <c r="J107" s="13"/>
      <c r="K107" s="13"/>
      <c r="L107" s="13"/>
      <c r="M107" s="13"/>
      <c r="N107" s="14"/>
      <c r="O107" s="13"/>
      <c r="P107" s="13"/>
      <c r="Q107" s="13"/>
      <c r="R107" s="17"/>
    </row>
    <row r="108" ht="15.75" hidden="1" customHeight="1" spans="1:18">
      <c r="A108" s="12" t="s">
        <v>79</v>
      </c>
      <c r="B108" s="12" t="s">
        <v>2184</v>
      </c>
      <c r="C108" s="12" t="s">
        <v>1767</v>
      </c>
      <c r="D108" s="12" t="s">
        <v>4131</v>
      </c>
      <c r="E108" s="12" t="str">
        <f t="shared" si="0"/>
        <v>Nathaniel Felipe </v>
      </c>
      <c r="F108" s="13" t="s">
        <v>4196</v>
      </c>
      <c r="G108" s="13"/>
      <c r="H108" s="13"/>
      <c r="I108" s="13"/>
      <c r="J108" s="13"/>
      <c r="K108" s="13"/>
      <c r="L108" s="13"/>
      <c r="M108" s="13"/>
      <c r="N108" s="14"/>
      <c r="O108" s="13"/>
      <c r="P108" s="13"/>
      <c r="Q108" s="13"/>
      <c r="R108" s="17"/>
    </row>
    <row r="109" ht="15.75" hidden="1" customHeight="1" spans="1:18">
      <c r="A109" s="12" t="s">
        <v>51</v>
      </c>
      <c r="B109" s="12" t="s">
        <v>2177</v>
      </c>
      <c r="C109" s="12" t="s">
        <v>1767</v>
      </c>
      <c r="D109" s="12" t="s">
        <v>4131</v>
      </c>
      <c r="E109" s="12" t="str">
        <f t="shared" si="0"/>
        <v>Kyla Patchang</v>
      </c>
      <c r="F109" s="13" t="s">
        <v>2902</v>
      </c>
      <c r="G109" s="13" t="s">
        <v>2901</v>
      </c>
      <c r="H109" s="13" t="s">
        <v>554</v>
      </c>
      <c r="I109" s="13" t="s">
        <v>2903</v>
      </c>
      <c r="J109" s="13" t="s">
        <v>1016</v>
      </c>
      <c r="K109" s="13" t="s">
        <v>2904</v>
      </c>
      <c r="L109" s="13" t="s">
        <v>2905</v>
      </c>
      <c r="M109" s="20" t="s">
        <v>2906</v>
      </c>
      <c r="N109" s="14">
        <v>37696</v>
      </c>
      <c r="O109" s="13"/>
      <c r="P109" s="13"/>
      <c r="Q109" s="13"/>
      <c r="R109" s="17">
        <f ca="1" t="shared" ref="R109:R111" si="15">(TODAY()-N109)/365</f>
        <v>23.6301369863014</v>
      </c>
    </row>
    <row r="110" ht="15.75" hidden="1" customHeight="1" spans="1:18">
      <c r="A110" s="12" t="s">
        <v>51</v>
      </c>
      <c r="B110" s="12" t="s">
        <v>2181</v>
      </c>
      <c r="C110" s="12" t="s">
        <v>1767</v>
      </c>
      <c r="D110" s="12" t="s">
        <v>4131</v>
      </c>
      <c r="E110" s="12" t="str">
        <f t="shared" si="0"/>
        <v>Marvin Tindo</v>
      </c>
      <c r="F110" s="13" t="s">
        <v>1985</v>
      </c>
      <c r="G110" s="13" t="s">
        <v>3134</v>
      </c>
      <c r="H110" s="13" t="s">
        <v>628</v>
      </c>
      <c r="I110" s="13">
        <v>140</v>
      </c>
      <c r="J110" s="13" t="s">
        <v>3136</v>
      </c>
      <c r="K110" s="13"/>
      <c r="L110" s="13" t="s">
        <v>3144</v>
      </c>
      <c r="M110" s="20" t="s">
        <v>3145</v>
      </c>
      <c r="N110" s="14">
        <v>38921</v>
      </c>
      <c r="O110" s="13"/>
      <c r="P110" s="13"/>
      <c r="Q110" s="13"/>
      <c r="R110" s="17">
        <f ca="1" t="shared" si="15"/>
        <v>20.2739726027397</v>
      </c>
    </row>
    <row r="111" ht="15.75" hidden="1" customHeight="1" spans="1:18">
      <c r="A111" s="12" t="s">
        <v>51</v>
      </c>
      <c r="B111" s="12" t="s">
        <v>2181</v>
      </c>
      <c r="C111" s="12" t="s">
        <v>1767</v>
      </c>
      <c r="D111" s="12" t="s">
        <v>4131</v>
      </c>
      <c r="E111" s="12" t="str">
        <f t="shared" si="0"/>
        <v>Melvin Josh Tindo</v>
      </c>
      <c r="F111" s="13" t="s">
        <v>3135</v>
      </c>
      <c r="G111" s="13" t="s">
        <v>3134</v>
      </c>
      <c r="H111" s="13" t="s">
        <v>628</v>
      </c>
      <c r="I111" s="13">
        <v>140</v>
      </c>
      <c r="J111" s="13" t="s">
        <v>3136</v>
      </c>
      <c r="K111" s="13"/>
      <c r="L111" s="13"/>
      <c r="M111" s="20" t="s">
        <v>3137</v>
      </c>
      <c r="N111" s="14">
        <v>39346</v>
      </c>
      <c r="O111" s="13"/>
      <c r="P111" s="13"/>
      <c r="Q111" s="13"/>
      <c r="R111" s="17">
        <f ca="1" t="shared" si="15"/>
        <v>19.1095890410959</v>
      </c>
    </row>
    <row r="112" ht="15.75" hidden="1" customHeight="1" spans="1:18">
      <c r="A112" s="12" t="s">
        <v>79</v>
      </c>
      <c r="B112" s="12" t="s">
        <v>2181</v>
      </c>
      <c r="C112" s="12" t="s">
        <v>1767</v>
      </c>
      <c r="D112" s="12" t="s">
        <v>4131</v>
      </c>
      <c r="E112" s="12" t="str">
        <f t="shared" si="0"/>
        <v>Edison Quintero Jr </v>
      </c>
      <c r="F112" s="13" t="s">
        <v>4197</v>
      </c>
      <c r="G112" s="13"/>
      <c r="H112" s="13"/>
      <c r="I112" s="13"/>
      <c r="J112" s="13"/>
      <c r="K112" s="13"/>
      <c r="L112" s="13"/>
      <c r="M112" s="13"/>
      <c r="N112" s="14"/>
      <c r="O112" s="13"/>
      <c r="P112" s="13"/>
      <c r="Q112" s="13"/>
      <c r="R112" s="17"/>
    </row>
    <row r="113" ht="15.75" hidden="1" customHeight="1" spans="1:18">
      <c r="A113" s="12" t="s">
        <v>79</v>
      </c>
      <c r="B113" s="12" t="s">
        <v>2181</v>
      </c>
      <c r="C113" s="12" t="s">
        <v>4157</v>
      </c>
      <c r="D113" s="12" t="s">
        <v>4131</v>
      </c>
      <c r="E113" s="12" t="str">
        <f t="shared" si="0"/>
        <v>Fajad Dimasangca </v>
      </c>
      <c r="F113" s="13" t="s">
        <v>4198</v>
      </c>
      <c r="G113" s="13"/>
      <c r="H113" s="13"/>
      <c r="I113" s="13"/>
      <c r="J113" s="13"/>
      <c r="K113" s="13"/>
      <c r="L113" s="13"/>
      <c r="M113" s="13"/>
      <c r="N113" s="14"/>
      <c r="O113" s="13"/>
      <c r="P113" s="13"/>
      <c r="Q113" s="13"/>
      <c r="R113" s="17"/>
    </row>
    <row r="114" ht="15.75" hidden="1" customHeight="1" spans="1:18">
      <c r="A114" s="12" t="s">
        <v>51</v>
      </c>
      <c r="B114" s="12" t="s">
        <v>2189</v>
      </c>
      <c r="C114" s="12" t="s">
        <v>2178</v>
      </c>
      <c r="D114" s="12" t="s">
        <v>4132</v>
      </c>
      <c r="E114" s="12" t="str">
        <f t="shared" si="0"/>
        <v>Krisha Angelica Zapata</v>
      </c>
      <c r="F114" s="13" t="s">
        <v>3185</v>
      </c>
      <c r="G114" s="13" t="s">
        <v>1624</v>
      </c>
      <c r="H114" s="13" t="s">
        <v>161</v>
      </c>
      <c r="I114" s="13" t="s">
        <v>3186</v>
      </c>
      <c r="J114" s="13" t="s">
        <v>1626</v>
      </c>
      <c r="K114" s="13"/>
      <c r="L114" s="13" t="s">
        <v>3187</v>
      </c>
      <c r="M114" s="13" t="s">
        <v>3188</v>
      </c>
      <c r="N114" s="16">
        <v>37091</v>
      </c>
      <c r="O114" s="13"/>
      <c r="P114" s="13"/>
      <c r="Q114" s="13"/>
      <c r="R114" s="17">
        <f ca="1" t="shared" ref="R114:R116" si="16">(TODAY()-N114)/365</f>
        <v>25.2876712328767</v>
      </c>
    </row>
    <row r="115" ht="15.75" hidden="1" customHeight="1" spans="1:18">
      <c r="A115" s="12" t="s">
        <v>51</v>
      </c>
      <c r="B115" s="12" t="s">
        <v>2189</v>
      </c>
      <c r="C115" s="12" t="s">
        <v>2178</v>
      </c>
      <c r="D115" s="12" t="s">
        <v>4131</v>
      </c>
      <c r="E115" s="12" t="str">
        <f t="shared" si="0"/>
        <v>Jacob Emmanuel Mago</v>
      </c>
      <c r="F115" s="13" t="s">
        <v>2782</v>
      </c>
      <c r="G115" s="13" t="s">
        <v>1110</v>
      </c>
      <c r="H115" s="13" t="s">
        <v>161</v>
      </c>
      <c r="I115" s="13" t="s">
        <v>1111</v>
      </c>
      <c r="J115" s="13" t="s">
        <v>1112</v>
      </c>
      <c r="K115" s="13"/>
      <c r="L115" s="13" t="s">
        <v>2783</v>
      </c>
      <c r="M115" s="13" t="s">
        <v>2784</v>
      </c>
      <c r="N115" s="16">
        <v>38838</v>
      </c>
      <c r="O115" s="13"/>
      <c r="P115" s="13"/>
      <c r="Q115" s="13"/>
      <c r="R115" s="17">
        <f ca="1" t="shared" si="16"/>
        <v>20.5013698630137</v>
      </c>
    </row>
    <row r="116" ht="15.75" hidden="1" customHeight="1" spans="1:18">
      <c r="A116" s="12" t="s">
        <v>51</v>
      </c>
      <c r="B116" s="12" t="s">
        <v>2189</v>
      </c>
      <c r="C116" s="12" t="s">
        <v>2178</v>
      </c>
      <c r="D116" s="12" t="s">
        <v>4131</v>
      </c>
      <c r="E116" s="12" t="str">
        <f t="shared" si="0"/>
        <v>Cedrick Aron Cruz</v>
      </c>
      <c r="F116" s="13" t="s">
        <v>2540</v>
      </c>
      <c r="G116" s="13" t="s">
        <v>753</v>
      </c>
      <c r="H116" s="13" t="s">
        <v>113</v>
      </c>
      <c r="I116" s="13" t="s">
        <v>494</v>
      </c>
      <c r="J116" s="13" t="s">
        <v>495</v>
      </c>
      <c r="K116" s="13"/>
      <c r="L116" s="13" t="s">
        <v>2541</v>
      </c>
      <c r="M116" s="20" t="s">
        <v>2542</v>
      </c>
      <c r="N116" s="14">
        <v>39529</v>
      </c>
      <c r="O116" s="13"/>
      <c r="P116" s="13"/>
      <c r="Q116" s="13"/>
      <c r="R116" s="17">
        <f ca="1" t="shared" si="16"/>
        <v>18.6082191780822</v>
      </c>
    </row>
    <row r="117" ht="15.75" hidden="1" customHeight="1" spans="1:18">
      <c r="A117" s="12" t="s">
        <v>79</v>
      </c>
      <c r="B117" s="12" t="s">
        <v>2189</v>
      </c>
      <c r="C117" s="12" t="s">
        <v>2178</v>
      </c>
      <c r="D117" s="12" t="s">
        <v>4131</v>
      </c>
      <c r="E117" s="12" t="str">
        <f t="shared" si="0"/>
        <v>Hezekiah Mamaril</v>
      </c>
      <c r="F117" s="13" t="s">
        <v>2804</v>
      </c>
      <c r="G117" s="13" t="s">
        <v>1153</v>
      </c>
      <c r="H117" s="13"/>
      <c r="I117" s="13"/>
      <c r="J117" s="13"/>
      <c r="K117" s="13"/>
      <c r="L117" s="13"/>
      <c r="M117" s="13"/>
      <c r="N117" s="14"/>
      <c r="O117" s="13"/>
      <c r="P117" s="13"/>
      <c r="Q117" s="13"/>
      <c r="R117" s="17"/>
    </row>
    <row r="118" ht="15.75" hidden="1" customHeight="1" spans="1:18">
      <c r="A118" s="12" t="s">
        <v>79</v>
      </c>
      <c r="B118" s="12" t="s">
        <v>2189</v>
      </c>
      <c r="C118" s="12" t="s">
        <v>2178</v>
      </c>
      <c r="D118" s="12" t="s">
        <v>4134</v>
      </c>
      <c r="E118" s="12" t="str">
        <f t="shared" si="0"/>
        <v>Jonathan Camodag</v>
      </c>
      <c r="F118" s="13" t="s">
        <v>2374</v>
      </c>
      <c r="G118" s="13" t="s">
        <v>636</v>
      </c>
      <c r="H118" s="13" t="s">
        <v>538</v>
      </c>
      <c r="I118" s="13"/>
      <c r="J118" s="13"/>
      <c r="K118" s="13"/>
      <c r="L118" s="13"/>
      <c r="M118" s="13"/>
      <c r="N118" s="14"/>
      <c r="O118" s="13"/>
      <c r="P118" s="13"/>
      <c r="Q118" s="13"/>
      <c r="R118" s="17"/>
    </row>
    <row r="119" ht="15.75" hidden="1" customHeight="1" spans="1:18">
      <c r="A119" s="12" t="s">
        <v>79</v>
      </c>
      <c r="B119" s="12" t="s">
        <v>2383</v>
      </c>
      <c r="C119" s="12" t="s">
        <v>2178</v>
      </c>
      <c r="D119" s="12" t="s">
        <v>4131</v>
      </c>
      <c r="E119" s="12" t="str">
        <f t="shared" si="0"/>
        <v>Jonel Briones</v>
      </c>
      <c r="F119" s="13" t="s">
        <v>2402</v>
      </c>
      <c r="G119" s="13" t="s">
        <v>2401</v>
      </c>
      <c r="H119" s="13"/>
      <c r="I119" s="13"/>
      <c r="J119" s="13"/>
      <c r="K119" s="13"/>
      <c r="L119" s="13"/>
      <c r="M119" s="13"/>
      <c r="N119" s="14"/>
      <c r="O119" s="13"/>
      <c r="P119" s="13"/>
      <c r="Q119" s="13"/>
      <c r="R119" s="17"/>
    </row>
    <row r="120" ht="15.75" hidden="1" customHeight="1" spans="1:18">
      <c r="A120" s="12" t="s">
        <v>79</v>
      </c>
      <c r="B120" s="12" t="s">
        <v>2383</v>
      </c>
      <c r="C120" s="12" t="s">
        <v>2178</v>
      </c>
      <c r="D120" s="12" t="s">
        <v>4131</v>
      </c>
      <c r="E120" s="12" t="str">
        <f t="shared" si="0"/>
        <v>Krhystel Anne Lee</v>
      </c>
      <c r="F120" s="13" t="s">
        <v>2760</v>
      </c>
      <c r="G120" s="13" t="s">
        <v>2759</v>
      </c>
      <c r="H120" s="13"/>
      <c r="I120" s="13"/>
      <c r="J120" s="13"/>
      <c r="K120" s="13"/>
      <c r="L120" s="13"/>
      <c r="M120" s="13"/>
      <c r="N120" s="14"/>
      <c r="O120" s="13"/>
      <c r="P120" s="13"/>
      <c r="Q120" s="13"/>
      <c r="R120" s="17"/>
    </row>
    <row r="121" ht="15.75" hidden="1" customHeight="1" spans="1:18">
      <c r="A121" s="12" t="s">
        <v>79</v>
      </c>
      <c r="B121" s="12" t="s">
        <v>2184</v>
      </c>
      <c r="C121" s="12" t="s">
        <v>2178</v>
      </c>
      <c r="D121" s="12" t="s">
        <v>4131</v>
      </c>
      <c r="E121" s="12" t="str">
        <f t="shared" si="0"/>
        <v>Belle Gayados </v>
      </c>
      <c r="F121" s="19" t="s">
        <v>4199</v>
      </c>
      <c r="G121" s="13"/>
      <c r="H121" s="13"/>
      <c r="I121" s="13"/>
      <c r="J121" s="13"/>
      <c r="K121" s="13"/>
      <c r="L121" s="13"/>
      <c r="M121" s="13"/>
      <c r="N121" s="14"/>
      <c r="O121" s="13"/>
      <c r="P121" s="13"/>
      <c r="Q121" s="13"/>
      <c r="R121" s="17"/>
    </row>
    <row r="122" ht="15.75" hidden="1" customHeight="1" spans="1:18">
      <c r="A122" s="12" t="s">
        <v>79</v>
      </c>
      <c r="B122" s="12" t="s">
        <v>2184</v>
      </c>
      <c r="C122" s="12" t="s">
        <v>2178</v>
      </c>
      <c r="D122" s="12" t="s">
        <v>4131</v>
      </c>
      <c r="E122" s="12" t="str">
        <f t="shared" si="0"/>
        <v>Cleo Jean Gayados </v>
      </c>
      <c r="F122" s="19" t="s">
        <v>4200</v>
      </c>
      <c r="G122" s="13"/>
      <c r="H122" s="13"/>
      <c r="I122" s="13"/>
      <c r="J122" s="13"/>
      <c r="K122" s="13"/>
      <c r="L122" s="13"/>
      <c r="M122" s="13"/>
      <c r="N122" s="14"/>
      <c r="O122" s="13"/>
      <c r="P122" s="13"/>
      <c r="Q122" s="13"/>
      <c r="R122" s="17"/>
    </row>
    <row r="123" ht="15.75" hidden="1" customHeight="1" spans="1:18">
      <c r="A123" s="12" t="s">
        <v>51</v>
      </c>
      <c r="B123" s="12" t="s">
        <v>2177</v>
      </c>
      <c r="C123" s="12" t="s">
        <v>2178</v>
      </c>
      <c r="D123" s="12" t="s">
        <v>4131</v>
      </c>
      <c r="E123" s="12" t="str">
        <f t="shared" si="0"/>
        <v>Jonathan batalao</v>
      </c>
      <c r="F123" s="13" t="s">
        <v>2374</v>
      </c>
      <c r="G123" s="13" t="s">
        <v>4201</v>
      </c>
      <c r="H123" s="13" t="s">
        <v>628</v>
      </c>
      <c r="I123" s="21">
        <v>44</v>
      </c>
      <c r="J123" s="13" t="s">
        <v>1531</v>
      </c>
      <c r="K123" s="13" t="s">
        <v>2358</v>
      </c>
      <c r="L123" s="13" t="s">
        <v>2375</v>
      </c>
      <c r="M123" s="13" t="s">
        <v>2376</v>
      </c>
      <c r="N123" s="16">
        <v>35948</v>
      </c>
      <c r="O123" s="13"/>
      <c r="P123" s="13"/>
      <c r="Q123" s="13"/>
      <c r="R123" s="17">
        <f ca="1" t="shared" ref="R123:R125" si="17">(TODAY()-N123)/365</f>
        <v>28.4191780821918</v>
      </c>
    </row>
    <row r="124" ht="15.75" customHeight="1" spans="1:18">
      <c r="A124" s="12" t="s">
        <v>51</v>
      </c>
      <c r="B124" s="12" t="s">
        <v>2177</v>
      </c>
      <c r="C124" s="12" t="s">
        <v>2231</v>
      </c>
      <c r="D124" s="12" t="s">
        <v>4131</v>
      </c>
      <c r="E124" s="12" t="str">
        <f t="shared" si="0"/>
        <v>Trent Jordan Manadao</v>
      </c>
      <c r="F124" s="13" t="s">
        <v>2807</v>
      </c>
      <c r="G124" s="13" t="s">
        <v>2806</v>
      </c>
      <c r="H124" s="13" t="s">
        <v>493</v>
      </c>
      <c r="I124" s="13">
        <v>55</v>
      </c>
      <c r="J124" s="13" t="s">
        <v>1419</v>
      </c>
      <c r="K124" s="13" t="s">
        <v>2808</v>
      </c>
      <c r="L124" s="13" t="s">
        <v>2809</v>
      </c>
      <c r="M124" s="20" t="s">
        <v>2810</v>
      </c>
      <c r="N124" s="14">
        <v>37928</v>
      </c>
      <c r="O124" s="13"/>
      <c r="P124" s="13"/>
      <c r="Q124" s="13"/>
      <c r="R124" s="17">
        <f ca="1" t="shared" si="17"/>
        <v>22.9945205479452</v>
      </c>
    </row>
    <row r="125" ht="15.75" hidden="1" customHeight="1" spans="1:18">
      <c r="A125" s="12" t="s">
        <v>51</v>
      </c>
      <c r="B125" s="12" t="s">
        <v>2181</v>
      </c>
      <c r="C125" s="12" t="s">
        <v>2178</v>
      </c>
      <c r="D125" s="12" t="s">
        <v>4131</v>
      </c>
      <c r="E125" s="12" t="str">
        <f t="shared" si="0"/>
        <v>Ezekiel Kiddagan</v>
      </c>
      <c r="F125" s="13" t="s">
        <v>2732</v>
      </c>
      <c r="G125" s="13" t="s">
        <v>2731</v>
      </c>
      <c r="H125" s="13" t="s">
        <v>818</v>
      </c>
      <c r="I125" s="13"/>
      <c r="J125" s="13" t="s">
        <v>495</v>
      </c>
      <c r="K125" s="13" t="s">
        <v>2733</v>
      </c>
      <c r="L125" s="13" t="s">
        <v>2734</v>
      </c>
      <c r="M125" s="13" t="s">
        <v>2735</v>
      </c>
      <c r="N125" s="16">
        <v>34585</v>
      </c>
      <c r="O125" s="13"/>
      <c r="P125" s="13"/>
      <c r="Q125" s="13"/>
      <c r="R125" s="17">
        <f ca="1" t="shared" si="17"/>
        <v>32.1534246575342</v>
      </c>
    </row>
    <row r="126" ht="15.75" hidden="1" customHeight="1" spans="1:18">
      <c r="A126" s="12" t="s">
        <v>79</v>
      </c>
      <c r="B126" s="12" t="s">
        <v>2181</v>
      </c>
      <c r="C126" s="12" t="s">
        <v>2178</v>
      </c>
      <c r="D126" s="12" t="s">
        <v>4131</v>
      </c>
      <c r="E126" s="12" t="str">
        <f t="shared" si="0"/>
        <v>Mark Bokket</v>
      </c>
      <c r="F126" s="13" t="s">
        <v>2382</v>
      </c>
      <c r="G126" s="13" t="s">
        <v>505</v>
      </c>
      <c r="H126" s="13"/>
      <c r="I126" s="13"/>
      <c r="J126" s="13"/>
      <c r="K126" s="13"/>
      <c r="L126" s="13"/>
      <c r="M126" s="13"/>
      <c r="N126" s="14"/>
      <c r="O126" s="13"/>
      <c r="P126" s="13"/>
      <c r="Q126" s="13"/>
      <c r="R126" s="17"/>
    </row>
    <row r="127" ht="15.75" hidden="1" customHeight="1" spans="1:18">
      <c r="A127" s="12" t="s">
        <v>79</v>
      </c>
      <c r="B127" s="12" t="s">
        <v>2181</v>
      </c>
      <c r="C127" s="12" t="s">
        <v>2178</v>
      </c>
      <c r="D127" s="12" t="s">
        <v>4131</v>
      </c>
      <c r="E127" s="12" t="str">
        <f t="shared" si="0"/>
        <v>Nathaniel Bokket</v>
      </c>
      <c r="F127" s="13" t="s">
        <v>2357</v>
      </c>
      <c r="G127" s="13" t="s">
        <v>505</v>
      </c>
      <c r="H127" s="13"/>
      <c r="I127" s="13"/>
      <c r="J127" s="13"/>
      <c r="K127" s="13"/>
      <c r="L127" s="13"/>
      <c r="M127" s="13"/>
      <c r="N127" s="14"/>
      <c r="O127" s="13"/>
      <c r="P127" s="13"/>
      <c r="Q127" s="13"/>
      <c r="R127" s="17"/>
    </row>
    <row r="128" ht="15.75" hidden="1" customHeight="1" spans="1:18">
      <c r="A128" s="12" t="s">
        <v>51</v>
      </c>
      <c r="B128" s="12" t="s">
        <v>2189</v>
      </c>
      <c r="C128" s="12" t="s">
        <v>2212</v>
      </c>
      <c r="D128" s="12" t="s">
        <v>4134</v>
      </c>
      <c r="E128" s="12" t="str">
        <f t="shared" si="0"/>
        <v>Emmanuel Prado</v>
      </c>
      <c r="F128" s="13" t="s">
        <v>2953</v>
      </c>
      <c r="G128" s="13" t="s">
        <v>1333</v>
      </c>
      <c r="H128" s="13" t="s">
        <v>1041</v>
      </c>
      <c r="I128" s="21">
        <v>266</v>
      </c>
      <c r="J128" s="18" t="s">
        <v>4156</v>
      </c>
      <c r="K128" s="13"/>
      <c r="L128" s="13" t="s">
        <v>2954</v>
      </c>
      <c r="M128" s="20" t="s">
        <v>2955</v>
      </c>
      <c r="N128" s="14">
        <v>35788</v>
      </c>
      <c r="O128" s="13"/>
      <c r="P128" s="13"/>
      <c r="Q128" s="13"/>
      <c r="R128" s="17">
        <f ca="1" t="shared" ref="R128:R131" si="18">(TODAY()-N128)/365</f>
        <v>28.8575342465753</v>
      </c>
    </row>
    <row r="129" ht="15.75" hidden="1" customHeight="1" spans="1:18">
      <c r="A129" s="12" t="s">
        <v>51</v>
      </c>
      <c r="B129" s="12" t="s">
        <v>2189</v>
      </c>
      <c r="C129" s="12" t="s">
        <v>2212</v>
      </c>
      <c r="D129" s="12" t="s">
        <v>4132</v>
      </c>
      <c r="E129" s="12" t="str">
        <f t="shared" si="0"/>
        <v>Glory Anne Camodag</v>
      </c>
      <c r="F129" s="13" t="s">
        <v>2435</v>
      </c>
      <c r="G129" s="13" t="s">
        <v>636</v>
      </c>
      <c r="H129" s="13" t="s">
        <v>538</v>
      </c>
      <c r="I129" s="13" t="s">
        <v>2436</v>
      </c>
      <c r="J129" s="13" t="s">
        <v>495</v>
      </c>
      <c r="K129" s="13"/>
      <c r="L129" s="13" t="s">
        <v>2437</v>
      </c>
      <c r="M129" s="20" t="s">
        <v>2438</v>
      </c>
      <c r="N129" s="14">
        <v>36366</v>
      </c>
      <c r="O129" s="13"/>
      <c r="P129" s="13"/>
      <c r="Q129" s="13"/>
      <c r="R129" s="17">
        <f ca="1" t="shared" si="18"/>
        <v>27.2739726027397</v>
      </c>
    </row>
    <row r="130" ht="15.75" hidden="1" customHeight="1" spans="1:18">
      <c r="A130" s="12" t="s">
        <v>51</v>
      </c>
      <c r="B130" s="12" t="s">
        <v>2189</v>
      </c>
      <c r="C130" s="12" t="s">
        <v>2185</v>
      </c>
      <c r="D130" s="12" t="s">
        <v>4131</v>
      </c>
      <c r="E130" s="12" t="str">
        <f t="shared" si="0"/>
        <v>Kristine Chole Bambao</v>
      </c>
      <c r="F130" s="13" t="s">
        <v>4202</v>
      </c>
      <c r="G130" s="13" t="s">
        <v>381</v>
      </c>
      <c r="H130" s="13" t="s">
        <v>161</v>
      </c>
      <c r="I130" s="13" t="s">
        <v>383</v>
      </c>
      <c r="J130" s="13" t="s">
        <v>4203</v>
      </c>
      <c r="K130" s="13"/>
      <c r="L130" s="13" t="s">
        <v>2304</v>
      </c>
      <c r="M130" s="20" t="s">
        <v>2305</v>
      </c>
      <c r="N130" s="14">
        <v>39506</v>
      </c>
      <c r="O130" s="13"/>
      <c r="P130" s="13"/>
      <c r="Q130" s="13"/>
      <c r="R130" s="17">
        <f ca="1" t="shared" si="18"/>
        <v>18.6712328767123</v>
      </c>
    </row>
    <row r="131" ht="15.75" hidden="1" customHeight="1" spans="1:18">
      <c r="A131" s="12" t="s">
        <v>51</v>
      </c>
      <c r="B131" s="12" t="s">
        <v>2189</v>
      </c>
      <c r="C131" s="12" t="s">
        <v>2212</v>
      </c>
      <c r="D131" s="12" t="s">
        <v>4131</v>
      </c>
      <c r="E131" s="12" t="str">
        <f t="shared" si="0"/>
        <v>Gwyneth Janielle Quevedo</v>
      </c>
      <c r="F131" s="13" t="s">
        <v>2965</v>
      </c>
      <c r="G131" s="13" t="s">
        <v>1374</v>
      </c>
      <c r="H131" s="13" t="s">
        <v>493</v>
      </c>
      <c r="I131" s="13" t="s">
        <v>4204</v>
      </c>
      <c r="J131" s="13" t="s">
        <v>4205</v>
      </c>
      <c r="K131" s="13"/>
      <c r="L131" s="13" t="s">
        <v>1386</v>
      </c>
      <c r="M131" s="20" t="s">
        <v>2967</v>
      </c>
      <c r="N131" s="14">
        <v>39541</v>
      </c>
      <c r="O131" s="13"/>
      <c r="P131" s="13"/>
      <c r="Q131" s="13"/>
      <c r="R131" s="17">
        <f ca="1" t="shared" si="18"/>
        <v>18.5753424657534</v>
      </c>
    </row>
    <row r="132" ht="15.75" hidden="1" customHeight="1" spans="1:18">
      <c r="A132" s="12" t="s">
        <v>79</v>
      </c>
      <c r="B132" s="12" t="s">
        <v>2189</v>
      </c>
      <c r="C132" s="12" t="s">
        <v>2212</v>
      </c>
      <c r="D132" s="12" t="s">
        <v>4131</v>
      </c>
      <c r="E132" s="12" t="str">
        <f t="shared" si="0"/>
        <v>Regine Rato</v>
      </c>
      <c r="F132" s="13" t="s">
        <v>3006</v>
      </c>
      <c r="G132" s="13" t="s">
        <v>3005</v>
      </c>
      <c r="H132" s="13"/>
      <c r="I132" s="13"/>
      <c r="J132" s="13"/>
      <c r="K132" s="13"/>
      <c r="L132" s="13"/>
      <c r="M132" s="13"/>
      <c r="N132" s="14"/>
      <c r="O132" s="13"/>
      <c r="P132" s="13"/>
      <c r="Q132" s="13"/>
      <c r="R132" s="17"/>
    </row>
    <row r="133" ht="15.75" hidden="1" customHeight="1" spans="1:18">
      <c r="A133" s="12" t="s">
        <v>79</v>
      </c>
      <c r="B133" s="12" t="s">
        <v>2189</v>
      </c>
      <c r="C133" s="12" t="s">
        <v>2212</v>
      </c>
      <c r="D133" s="12" t="s">
        <v>4131</v>
      </c>
      <c r="E133" s="12" t="str">
        <f t="shared" si="0"/>
        <v>Jairah May Apilada</v>
      </c>
      <c r="F133" s="13" t="s">
        <v>2213</v>
      </c>
      <c r="G133" s="13" t="s">
        <v>220</v>
      </c>
      <c r="H133" s="13"/>
      <c r="I133" s="13"/>
      <c r="J133" s="13"/>
      <c r="K133" s="13"/>
      <c r="L133" s="13"/>
      <c r="M133" s="13"/>
      <c r="N133" s="14"/>
      <c r="O133" s="13"/>
      <c r="P133" s="13"/>
      <c r="Q133" s="13"/>
      <c r="R133" s="17"/>
    </row>
    <row r="134" ht="15.75" hidden="1" customHeight="1" spans="1:18">
      <c r="A134" s="12" t="s">
        <v>79</v>
      </c>
      <c r="B134" s="12" t="s">
        <v>2383</v>
      </c>
      <c r="C134" s="12" t="s">
        <v>2212</v>
      </c>
      <c r="D134" s="12" t="s">
        <v>4131</v>
      </c>
      <c r="E134" s="12" t="str">
        <f t="shared" si="0"/>
        <v>Joshua Caboles Bonilla </v>
      </c>
      <c r="F134" s="13" t="s">
        <v>4206</v>
      </c>
      <c r="G134" s="13"/>
      <c r="H134" s="13"/>
      <c r="I134" s="13"/>
      <c r="J134" s="13"/>
      <c r="K134" s="13"/>
      <c r="L134" s="13"/>
      <c r="M134" s="13"/>
      <c r="N134" s="14"/>
      <c r="O134" s="13"/>
      <c r="P134" s="13"/>
      <c r="Q134" s="13"/>
      <c r="R134" s="17"/>
    </row>
    <row r="135" ht="15.75" hidden="1" customHeight="1" spans="1:18">
      <c r="A135" s="12" t="s">
        <v>79</v>
      </c>
      <c r="B135" s="12" t="s">
        <v>2383</v>
      </c>
      <c r="C135" s="12" t="s">
        <v>2212</v>
      </c>
      <c r="D135" s="12" t="s">
        <v>4131</v>
      </c>
      <c r="E135" s="12" t="str">
        <f t="shared" si="0"/>
        <v>Mark Rener Caboles Bonilla </v>
      </c>
      <c r="F135" s="13" t="s">
        <v>4207</v>
      </c>
      <c r="G135" s="13"/>
      <c r="H135" s="13"/>
      <c r="I135" s="13"/>
      <c r="J135" s="13"/>
      <c r="K135" s="13"/>
      <c r="L135" s="13"/>
      <c r="M135" s="13"/>
      <c r="N135" s="14"/>
      <c r="O135" s="13"/>
      <c r="P135" s="13"/>
      <c r="Q135" s="13"/>
      <c r="R135" s="17"/>
    </row>
    <row r="136" ht="15.75" hidden="1" customHeight="1" spans="1:18">
      <c r="A136" s="12" t="s">
        <v>51</v>
      </c>
      <c r="B136" s="12" t="s">
        <v>2184</v>
      </c>
      <c r="C136" s="12" t="s">
        <v>2212</v>
      </c>
      <c r="D136" s="12" t="s">
        <v>4131</v>
      </c>
      <c r="E136" s="12" t="str">
        <f t="shared" si="0"/>
        <v>Arman Angelo Apilada</v>
      </c>
      <c r="F136" s="13" t="s">
        <v>2222</v>
      </c>
      <c r="G136" s="13" t="s">
        <v>220</v>
      </c>
      <c r="H136" s="13" t="s">
        <v>222</v>
      </c>
      <c r="I136" s="13" t="s">
        <v>223</v>
      </c>
      <c r="J136" s="13" t="s">
        <v>4208</v>
      </c>
      <c r="K136" s="13"/>
      <c r="L136" s="13" t="s">
        <v>2223</v>
      </c>
      <c r="M136" s="13"/>
      <c r="N136" s="14">
        <v>37645</v>
      </c>
      <c r="O136" s="13"/>
      <c r="P136" s="13"/>
      <c r="Q136" s="13"/>
      <c r="R136" s="17">
        <f ca="1">(TODAY()-N136)/365</f>
        <v>23.7698630136986</v>
      </c>
    </row>
    <row r="137" ht="15.75" hidden="1" customHeight="1" spans="1:18">
      <c r="A137" s="12" t="s">
        <v>79</v>
      </c>
      <c r="B137" s="12" t="s">
        <v>2184</v>
      </c>
      <c r="C137" s="12" t="s">
        <v>2212</v>
      </c>
      <c r="D137" s="12" t="s">
        <v>4131</v>
      </c>
      <c r="E137" s="12" t="str">
        <f t="shared" si="0"/>
        <v>Ashley Terrible </v>
      </c>
      <c r="F137" s="19" t="s">
        <v>4209</v>
      </c>
      <c r="G137" s="13"/>
      <c r="H137" s="13"/>
      <c r="I137" s="13"/>
      <c r="J137" s="13"/>
      <c r="K137" s="13"/>
      <c r="L137" s="13"/>
      <c r="M137" s="13"/>
      <c r="N137" s="14"/>
      <c r="O137" s="13"/>
      <c r="P137" s="13"/>
      <c r="Q137" s="13"/>
      <c r="R137" s="17"/>
    </row>
    <row r="138" ht="15.75" hidden="1" customHeight="1" spans="1:18">
      <c r="A138" s="12" t="s">
        <v>79</v>
      </c>
      <c r="B138" s="12" t="s">
        <v>2177</v>
      </c>
      <c r="C138" s="12" t="s">
        <v>2212</v>
      </c>
      <c r="D138" s="12" t="s">
        <v>4131</v>
      </c>
      <c r="E138" s="12" t="str">
        <f t="shared" si="0"/>
        <v>Lysette Anne Castro </v>
      </c>
      <c r="F138" s="22" t="s">
        <v>4210</v>
      </c>
      <c r="G138" s="13"/>
      <c r="H138" s="13"/>
      <c r="I138" s="13"/>
      <c r="J138" s="13"/>
      <c r="K138" s="13"/>
      <c r="L138" s="13"/>
      <c r="M138" s="13"/>
      <c r="N138" s="14"/>
      <c r="O138" s="13"/>
      <c r="P138" s="13"/>
      <c r="Q138" s="13"/>
      <c r="R138" s="17"/>
    </row>
    <row r="139" ht="15.75" hidden="1" customHeight="1" spans="1:18">
      <c r="A139" s="12" t="s">
        <v>79</v>
      </c>
      <c r="B139" s="12" t="s">
        <v>2177</v>
      </c>
      <c r="C139" s="12" t="s">
        <v>2212</v>
      </c>
      <c r="D139" s="12" t="s">
        <v>4131</v>
      </c>
      <c r="E139" s="12" t="str">
        <f t="shared" si="0"/>
        <v>Ryan Hughes </v>
      </c>
      <c r="F139" s="22" t="s">
        <v>4211</v>
      </c>
      <c r="G139" s="13"/>
      <c r="H139" s="13"/>
      <c r="I139" s="13"/>
      <c r="J139" s="13"/>
      <c r="K139" s="13"/>
      <c r="L139" s="13"/>
      <c r="M139" s="13"/>
      <c r="N139" s="14"/>
      <c r="O139" s="13"/>
      <c r="P139" s="13"/>
      <c r="Q139" s="13"/>
      <c r="R139" s="17"/>
    </row>
    <row r="140" ht="15.75" hidden="1" customHeight="1" spans="1:18">
      <c r="A140" s="12" t="s">
        <v>79</v>
      </c>
      <c r="B140" s="12" t="s">
        <v>2181</v>
      </c>
      <c r="C140" s="12" t="s">
        <v>2212</v>
      </c>
      <c r="D140" s="12" t="s">
        <v>4131</v>
      </c>
      <c r="E140" s="12" t="str">
        <f t="shared" si="0"/>
        <v>Mary Jane Lomibao</v>
      </c>
      <c r="F140" s="13" t="s">
        <v>2778</v>
      </c>
      <c r="G140" s="13" t="s">
        <v>1086</v>
      </c>
      <c r="H140" s="13"/>
      <c r="I140" s="13"/>
      <c r="J140" s="13"/>
      <c r="K140" s="13"/>
      <c r="L140" s="13"/>
      <c r="M140" s="13"/>
      <c r="N140" s="14"/>
      <c r="O140" s="13"/>
      <c r="P140" s="13"/>
      <c r="Q140" s="13"/>
      <c r="R140" s="17"/>
    </row>
    <row r="141" ht="15.75" hidden="1" customHeight="1" spans="1:18">
      <c r="A141" s="12" t="s">
        <v>79</v>
      </c>
      <c r="B141" s="12" t="s">
        <v>2181</v>
      </c>
      <c r="C141" s="12" t="s">
        <v>2212</v>
      </c>
      <c r="D141" s="12" t="s">
        <v>4131</v>
      </c>
      <c r="E141" s="12" t="str">
        <f t="shared" si="0"/>
        <v>Ephraim Wong</v>
      </c>
      <c r="F141" s="13" t="s">
        <v>3184</v>
      </c>
      <c r="G141" s="13" t="s">
        <v>1622</v>
      </c>
      <c r="H141" s="13"/>
      <c r="I141" s="13"/>
      <c r="J141" s="13"/>
      <c r="K141" s="13"/>
      <c r="L141" s="13"/>
      <c r="M141" s="13"/>
      <c r="N141" s="14"/>
      <c r="O141" s="13"/>
      <c r="P141" s="13"/>
      <c r="Q141" s="13"/>
      <c r="R141" s="17"/>
    </row>
    <row r="142" ht="15.75" hidden="1" customHeight="1" spans="1:18">
      <c r="A142" s="12" t="s">
        <v>79</v>
      </c>
      <c r="B142" s="12" t="s">
        <v>2181</v>
      </c>
      <c r="C142" s="12" t="s">
        <v>2212</v>
      </c>
      <c r="D142" s="12" t="s">
        <v>4131</v>
      </c>
      <c r="E142" s="12" t="str">
        <f t="shared" si="0"/>
        <v>Jhed Coyasan </v>
      </c>
      <c r="F142" s="13" t="s">
        <v>4212</v>
      </c>
      <c r="G142" s="13"/>
      <c r="H142" s="13"/>
      <c r="I142" s="13"/>
      <c r="J142" s="13"/>
      <c r="K142" s="13"/>
      <c r="L142" s="13"/>
      <c r="M142" s="13"/>
      <c r="N142" s="14"/>
      <c r="O142" s="13"/>
      <c r="P142" s="13"/>
      <c r="Q142" s="13"/>
      <c r="R142" s="17"/>
    </row>
    <row r="143" ht="15.75" hidden="1" customHeight="1" spans="1:18">
      <c r="A143" s="12" t="s">
        <v>51</v>
      </c>
      <c r="B143" s="12" t="s">
        <v>2189</v>
      </c>
      <c r="C143" s="12" t="s">
        <v>1742</v>
      </c>
      <c r="D143" s="12" t="s">
        <v>4132</v>
      </c>
      <c r="E143" s="12" t="str">
        <f t="shared" si="0"/>
        <v>Amela Grace Albing</v>
      </c>
      <c r="F143" s="13" t="s">
        <v>2190</v>
      </c>
      <c r="G143" s="13" t="s">
        <v>2187</v>
      </c>
      <c r="H143" s="13" t="s">
        <v>239</v>
      </c>
      <c r="I143" s="13" t="s">
        <v>1613</v>
      </c>
      <c r="J143" s="13" t="s">
        <v>1222</v>
      </c>
      <c r="K143" s="13"/>
      <c r="L143" s="13" t="s">
        <v>2191</v>
      </c>
      <c r="M143" s="20" t="s">
        <v>2192</v>
      </c>
      <c r="N143" s="14">
        <v>36187</v>
      </c>
      <c r="O143" s="13"/>
      <c r="P143" s="13"/>
      <c r="Q143" s="13"/>
      <c r="R143" s="17">
        <f ca="1" t="shared" ref="R143:R144" si="19">(TODAY()-N143)/365</f>
        <v>27.7643835616438</v>
      </c>
    </row>
    <row r="144" ht="15.75" hidden="1" customHeight="1" spans="1:18">
      <c r="A144" s="12" t="s">
        <v>51</v>
      </c>
      <c r="B144" s="12" t="s">
        <v>2189</v>
      </c>
      <c r="C144" s="12" t="s">
        <v>1742</v>
      </c>
      <c r="D144" s="12" t="s">
        <v>4131</v>
      </c>
      <c r="E144" s="12" t="str">
        <f t="shared" si="0"/>
        <v>Chansen Dave Cabay</v>
      </c>
      <c r="F144" s="13" t="s">
        <v>2413</v>
      </c>
      <c r="G144" s="13" t="s">
        <v>552</v>
      </c>
      <c r="H144" s="13" t="s">
        <v>113</v>
      </c>
      <c r="I144" s="13" t="s">
        <v>2414</v>
      </c>
      <c r="J144" s="13" t="s">
        <v>59</v>
      </c>
      <c r="K144" s="13"/>
      <c r="L144" s="13"/>
      <c r="M144" s="13"/>
      <c r="N144" s="16">
        <v>40136</v>
      </c>
      <c r="O144" s="13"/>
      <c r="P144" s="13"/>
      <c r="Q144" s="13"/>
      <c r="R144" s="17">
        <f ca="1" t="shared" si="19"/>
        <v>16.9452054794521</v>
      </c>
    </row>
    <row r="145" ht="15.75" hidden="1" customHeight="1" spans="1:18">
      <c r="A145" s="12" t="s">
        <v>51</v>
      </c>
      <c r="B145" s="12" t="s">
        <v>2189</v>
      </c>
      <c r="C145" s="12" t="s">
        <v>1742</v>
      </c>
      <c r="D145" s="12" t="s">
        <v>4131</v>
      </c>
      <c r="E145" s="12" t="str">
        <f t="shared" si="0"/>
        <v>Caryl Kaye Cabay</v>
      </c>
      <c r="F145" s="13" t="s">
        <v>2418</v>
      </c>
      <c r="G145" s="13" t="s">
        <v>552</v>
      </c>
      <c r="H145" s="13" t="s">
        <v>113</v>
      </c>
      <c r="I145" s="13" t="s">
        <v>2414</v>
      </c>
      <c r="J145" s="13" t="s">
        <v>59</v>
      </c>
      <c r="K145" s="13"/>
      <c r="L145" s="13" t="s">
        <v>2420</v>
      </c>
      <c r="M145" s="18" t="s">
        <v>2421</v>
      </c>
      <c r="N145" s="14"/>
      <c r="O145" s="13"/>
      <c r="P145" s="13"/>
      <c r="Q145" s="13"/>
      <c r="R145" s="17"/>
    </row>
    <row r="146" ht="15.75" hidden="1" customHeight="1" spans="1:18">
      <c r="A146" s="12" t="s">
        <v>79</v>
      </c>
      <c r="B146" s="12" t="s">
        <v>2189</v>
      </c>
      <c r="C146" s="12" t="s">
        <v>1742</v>
      </c>
      <c r="D146" s="12" t="s">
        <v>4131</v>
      </c>
      <c r="E146" s="12" t="str">
        <f t="shared" si="0"/>
        <v>Lyza Mae Domigsi </v>
      </c>
      <c r="F146" s="13" t="s">
        <v>4213</v>
      </c>
      <c r="G146" s="13"/>
      <c r="H146" s="13"/>
      <c r="I146" s="13"/>
      <c r="J146" s="13"/>
      <c r="K146" s="13"/>
      <c r="L146" s="13"/>
      <c r="M146" s="13"/>
      <c r="N146" s="14"/>
      <c r="O146" s="13"/>
      <c r="P146" s="13"/>
      <c r="Q146" s="13"/>
      <c r="R146" s="17"/>
    </row>
    <row r="147" ht="15.75" hidden="1" customHeight="1" spans="1:18">
      <c r="A147" s="12" t="s">
        <v>79</v>
      </c>
      <c r="B147" s="12" t="s">
        <v>2189</v>
      </c>
      <c r="C147" s="12" t="s">
        <v>1742</v>
      </c>
      <c r="D147" s="12" t="s">
        <v>4134</v>
      </c>
      <c r="E147" s="12" t="str">
        <f t="shared" si="0"/>
        <v>Geno Rey Naimes</v>
      </c>
      <c r="F147" s="13" t="s">
        <v>2881</v>
      </c>
      <c r="G147" s="13" t="s">
        <v>1246</v>
      </c>
      <c r="H147" s="13"/>
      <c r="I147" s="13"/>
      <c r="J147" s="13"/>
      <c r="K147" s="13"/>
      <c r="L147" s="13"/>
      <c r="M147" s="13"/>
      <c r="N147" s="14"/>
      <c r="O147" s="13"/>
      <c r="P147" s="13"/>
      <c r="Q147" s="13"/>
      <c r="R147" s="17"/>
    </row>
    <row r="148" ht="15.75" hidden="1" customHeight="1" spans="1:18">
      <c r="A148" s="12" t="s">
        <v>79</v>
      </c>
      <c r="B148" s="12" t="s">
        <v>2184</v>
      </c>
      <c r="C148" s="12" t="s">
        <v>1742</v>
      </c>
      <c r="D148" s="12" t="s">
        <v>4131</v>
      </c>
      <c r="E148" s="12" t="str">
        <f t="shared" si="0"/>
        <v>Jasmine Salicob </v>
      </c>
      <c r="F148" s="19" t="s">
        <v>4214</v>
      </c>
      <c r="G148" s="13"/>
      <c r="H148" s="13"/>
      <c r="I148" s="13"/>
      <c r="J148" s="13"/>
      <c r="K148" s="13"/>
      <c r="L148" s="13"/>
      <c r="M148" s="13"/>
      <c r="N148" s="14"/>
      <c r="O148" s="13"/>
      <c r="P148" s="13"/>
      <c r="Q148" s="13"/>
      <c r="R148" s="17"/>
    </row>
    <row r="149" ht="15.75" hidden="1" customHeight="1" spans="1:18">
      <c r="A149" s="12" t="s">
        <v>79</v>
      </c>
      <c r="B149" s="12" t="s">
        <v>2184</v>
      </c>
      <c r="C149" s="12" t="s">
        <v>1742</v>
      </c>
      <c r="D149" s="12" t="s">
        <v>4131</v>
      </c>
      <c r="E149" s="12" t="str">
        <f t="shared" si="0"/>
        <v>Andrea Kodiamat </v>
      </c>
      <c r="F149" s="19" t="s">
        <v>4215</v>
      </c>
      <c r="G149" s="13"/>
      <c r="H149" s="13"/>
      <c r="I149" s="13"/>
      <c r="J149" s="13"/>
      <c r="K149" s="13"/>
      <c r="L149" s="13"/>
      <c r="M149" s="13"/>
      <c r="N149" s="14"/>
      <c r="O149" s="13"/>
      <c r="P149" s="13"/>
      <c r="Q149" s="13"/>
      <c r="R149" s="17"/>
    </row>
    <row r="150" ht="15.75" hidden="1" customHeight="1" spans="1:18">
      <c r="A150" s="12" t="s">
        <v>51</v>
      </c>
      <c r="B150" s="12" t="s">
        <v>2177</v>
      </c>
      <c r="C150" s="12" t="s">
        <v>1742</v>
      </c>
      <c r="D150" s="12" t="s">
        <v>4131</v>
      </c>
      <c r="E150" s="12" t="str">
        <f t="shared" si="0"/>
        <v>Nathaniel batalao</v>
      </c>
      <c r="F150" s="13" t="s">
        <v>2357</v>
      </c>
      <c r="G150" s="13" t="s">
        <v>4201</v>
      </c>
      <c r="H150" s="13" t="s">
        <v>628</v>
      </c>
      <c r="I150" s="21">
        <v>44</v>
      </c>
      <c r="J150" s="13" t="s">
        <v>1531</v>
      </c>
      <c r="K150" s="13" t="s">
        <v>2358</v>
      </c>
      <c r="L150" s="13" t="s">
        <v>2359</v>
      </c>
      <c r="M150" s="13" t="s">
        <v>2360</v>
      </c>
      <c r="N150" s="16">
        <v>36703</v>
      </c>
      <c r="O150" s="13"/>
      <c r="P150" s="13"/>
      <c r="Q150" s="13"/>
      <c r="R150" s="17">
        <f ca="1">(TODAY()-N150)/365</f>
        <v>26.3506849315068</v>
      </c>
    </row>
    <row r="151" ht="15.75" hidden="1" customHeight="1" spans="1:18">
      <c r="A151" s="12" t="s">
        <v>79</v>
      </c>
      <c r="B151" s="12" t="s">
        <v>2177</v>
      </c>
      <c r="C151" s="12" t="s">
        <v>1742</v>
      </c>
      <c r="D151" s="12" t="s">
        <v>4131</v>
      </c>
      <c r="E151" s="12" t="str">
        <f t="shared" si="0"/>
        <v>Leah-mar Wanas </v>
      </c>
      <c r="F151" s="22" t="s">
        <v>4216</v>
      </c>
      <c r="G151" s="13"/>
      <c r="H151" s="13"/>
      <c r="I151" s="13"/>
      <c r="J151" s="13"/>
      <c r="K151" s="13"/>
      <c r="L151" s="13"/>
      <c r="M151" s="13"/>
      <c r="N151" s="14"/>
      <c r="O151" s="13"/>
      <c r="P151" s="13"/>
      <c r="Q151" s="13"/>
      <c r="R151" s="17"/>
    </row>
    <row r="152" ht="15.75" hidden="1" customHeight="1" spans="1:18">
      <c r="A152" s="12" t="s">
        <v>51</v>
      </c>
      <c r="B152" s="12" t="s">
        <v>2181</v>
      </c>
      <c r="C152" s="12" t="s">
        <v>1742</v>
      </c>
      <c r="D152" s="12" t="s">
        <v>4131</v>
      </c>
      <c r="E152" s="12" t="str">
        <f t="shared" si="0"/>
        <v>Henzy Giovan Castro</v>
      </c>
      <c r="F152" s="13" t="s">
        <v>2492</v>
      </c>
      <c r="G152" s="13" t="s">
        <v>670</v>
      </c>
      <c r="H152" s="13" t="s">
        <v>222</v>
      </c>
      <c r="I152" s="13"/>
      <c r="J152" s="13" t="s">
        <v>617</v>
      </c>
      <c r="K152" s="13"/>
      <c r="L152" s="13" t="s">
        <v>2494</v>
      </c>
      <c r="M152" s="20" t="s">
        <v>2495</v>
      </c>
      <c r="N152" s="14">
        <v>39169</v>
      </c>
      <c r="O152" s="13"/>
      <c r="P152" s="13"/>
      <c r="Q152" s="13"/>
      <c r="R152" s="17">
        <f ca="1">(TODAY()-N152)/365</f>
        <v>19.5945205479452</v>
      </c>
    </row>
    <row r="153" ht="15.75" hidden="1" customHeight="1" spans="1:18">
      <c r="A153" s="12" t="s">
        <v>79</v>
      </c>
      <c r="B153" s="12" t="s">
        <v>2181</v>
      </c>
      <c r="C153" s="12" t="s">
        <v>1742</v>
      </c>
      <c r="D153" s="12" t="s">
        <v>4131</v>
      </c>
      <c r="E153" s="12" t="str">
        <f t="shared" si="0"/>
        <v>Harvey Amplogio </v>
      </c>
      <c r="F153" s="13" t="s">
        <v>4217</v>
      </c>
      <c r="G153" s="13"/>
      <c r="H153" s="13"/>
      <c r="I153" s="13"/>
      <c r="J153" s="13"/>
      <c r="K153" s="13"/>
      <c r="L153" s="13"/>
      <c r="M153" s="13"/>
      <c r="N153" s="14"/>
      <c r="O153" s="13"/>
      <c r="P153" s="13"/>
      <c r="Q153" s="13"/>
      <c r="R153" s="17"/>
    </row>
    <row r="154" ht="15.75" hidden="1" customHeight="1" spans="1:18">
      <c r="A154" s="12" t="s">
        <v>79</v>
      </c>
      <c r="B154" s="12" t="s">
        <v>2181</v>
      </c>
      <c r="C154" s="12" t="s">
        <v>1742</v>
      </c>
      <c r="D154" s="12" t="s">
        <v>4131</v>
      </c>
      <c r="E154" s="12" t="str">
        <f t="shared" si="0"/>
        <v>Lemuel Garcia </v>
      </c>
      <c r="F154" s="13" t="s">
        <v>4218</v>
      </c>
      <c r="G154" s="13"/>
      <c r="H154" s="13"/>
      <c r="I154" s="13"/>
      <c r="J154" s="13"/>
      <c r="K154" s="13"/>
      <c r="L154" s="13"/>
      <c r="M154" s="13"/>
      <c r="N154" s="14"/>
      <c r="O154" s="13"/>
      <c r="P154" s="13"/>
      <c r="Q154" s="13"/>
      <c r="R154" s="17"/>
    </row>
    <row r="155" ht="15.75" hidden="1" customHeight="1" spans="1:18">
      <c r="A155" s="12" t="s">
        <v>79</v>
      </c>
      <c r="B155" s="12" t="s">
        <v>2181</v>
      </c>
      <c r="C155" s="12" t="s">
        <v>1742</v>
      </c>
      <c r="D155" s="12" t="s">
        <v>4131</v>
      </c>
      <c r="E155" s="12" t="str">
        <f t="shared" si="0"/>
        <v>Zhoilo Amplogio </v>
      </c>
      <c r="F155" s="13" t="s">
        <v>4219</v>
      </c>
      <c r="G155" s="13"/>
      <c r="H155" s="13"/>
      <c r="I155" s="13"/>
      <c r="J155" s="13"/>
      <c r="K155" s="13"/>
      <c r="L155" s="13"/>
      <c r="M155" s="13"/>
      <c r="N155" s="14"/>
      <c r="O155" s="13"/>
      <c r="P155" s="13"/>
      <c r="Q155" s="13"/>
      <c r="R155" s="17"/>
    </row>
    <row r="156" ht="15.75" hidden="1" customHeight="1" spans="1:18">
      <c r="A156" s="12" t="s">
        <v>51</v>
      </c>
      <c r="B156" s="12" t="s">
        <v>2189</v>
      </c>
      <c r="C156" s="12" t="s">
        <v>2231</v>
      </c>
      <c r="D156" s="12" t="s">
        <v>4134</v>
      </c>
      <c r="E156" s="12" t="str">
        <f t="shared" si="0"/>
        <v>Ruth Naimes</v>
      </c>
      <c r="F156" s="13" t="s">
        <v>2840</v>
      </c>
      <c r="G156" s="13" t="s">
        <v>1246</v>
      </c>
      <c r="H156" s="13"/>
      <c r="I156" s="13" t="s">
        <v>2877</v>
      </c>
      <c r="J156" s="18" t="s">
        <v>4220</v>
      </c>
      <c r="K156" s="13"/>
      <c r="L156" s="13" t="s">
        <v>2878</v>
      </c>
      <c r="M156" s="13" t="s">
        <v>2879</v>
      </c>
      <c r="N156" s="16">
        <v>37355</v>
      </c>
      <c r="O156" s="13"/>
      <c r="P156" s="13"/>
      <c r="Q156" s="13"/>
      <c r="R156" s="17">
        <f ca="1" t="shared" ref="R156:R158" si="20">(TODAY()-N156)/365</f>
        <v>24.5643835616438</v>
      </c>
    </row>
    <row r="157" ht="15.75" hidden="1" customHeight="1" spans="1:18">
      <c r="A157" s="12" t="s">
        <v>51</v>
      </c>
      <c r="B157" s="12" t="s">
        <v>2189</v>
      </c>
      <c r="C157" s="12" t="s">
        <v>2231</v>
      </c>
      <c r="D157" s="12" t="s">
        <v>4132</v>
      </c>
      <c r="E157" s="12" t="str">
        <f t="shared" si="0"/>
        <v>Geryl Ann Basilio</v>
      </c>
      <c r="F157" s="13" t="s">
        <v>2348</v>
      </c>
      <c r="G157" s="13" t="s">
        <v>2331</v>
      </c>
      <c r="H157" s="13" t="s">
        <v>222</v>
      </c>
      <c r="I157" s="13" t="s">
        <v>4193</v>
      </c>
      <c r="J157" s="13" t="s">
        <v>4194</v>
      </c>
      <c r="K157" s="13"/>
      <c r="L157" s="13" t="s">
        <v>2349</v>
      </c>
      <c r="M157" s="13" t="s">
        <v>2350</v>
      </c>
      <c r="N157" s="16">
        <v>38350</v>
      </c>
      <c r="O157" s="13"/>
      <c r="P157" s="13"/>
      <c r="Q157" s="13"/>
      <c r="R157" s="17">
        <f ca="1" t="shared" si="20"/>
        <v>21.8383561643836</v>
      </c>
    </row>
    <row r="158" ht="15.75" hidden="1" customHeight="1" spans="1:18">
      <c r="A158" s="12" t="s">
        <v>51</v>
      </c>
      <c r="B158" s="12" t="s">
        <v>2189</v>
      </c>
      <c r="C158" s="12" t="s">
        <v>2231</v>
      </c>
      <c r="D158" s="12" t="s">
        <v>4131</v>
      </c>
      <c r="E158" s="12" t="str">
        <f t="shared" si="0"/>
        <v>Kate Ann Caragay</v>
      </c>
      <c r="F158" s="13" t="s">
        <v>2446</v>
      </c>
      <c r="G158" s="13" t="s">
        <v>656</v>
      </c>
      <c r="H158" s="13"/>
      <c r="I158" s="13" t="s">
        <v>2447</v>
      </c>
      <c r="J158" s="13" t="s">
        <v>281</v>
      </c>
      <c r="K158" s="13"/>
      <c r="L158" s="13" t="s">
        <v>2448</v>
      </c>
      <c r="M158" s="13"/>
      <c r="N158" s="16">
        <v>39935</v>
      </c>
      <c r="O158" s="13"/>
      <c r="P158" s="13"/>
      <c r="Q158" s="13"/>
      <c r="R158" s="17">
        <f ca="1" t="shared" si="20"/>
        <v>17.4958904109589</v>
      </c>
    </row>
    <row r="159" ht="15.75" hidden="1" customHeight="1" spans="1:18">
      <c r="A159" s="12" t="s">
        <v>79</v>
      </c>
      <c r="B159" s="12" t="s">
        <v>2189</v>
      </c>
      <c r="C159" s="12" t="s">
        <v>2231</v>
      </c>
      <c r="D159" s="12" t="s">
        <v>4131</v>
      </c>
      <c r="E159" s="12" t="str">
        <f t="shared" si="0"/>
        <v>Martin Aileslee B. Ayungo III </v>
      </c>
      <c r="F159" s="13" t="s">
        <v>4221</v>
      </c>
      <c r="G159" s="13"/>
      <c r="H159" s="13"/>
      <c r="I159" s="13"/>
      <c r="J159" s="13"/>
      <c r="K159" s="13"/>
      <c r="L159" s="13"/>
      <c r="M159" s="13"/>
      <c r="N159" s="14"/>
      <c r="O159" s="13"/>
      <c r="P159" s="13"/>
      <c r="Q159" s="13"/>
      <c r="R159" s="17"/>
    </row>
    <row r="160" ht="15.75" hidden="1" customHeight="1" spans="1:18">
      <c r="A160" s="12" t="s">
        <v>79</v>
      </c>
      <c r="B160" s="12" t="s">
        <v>2189</v>
      </c>
      <c r="C160" s="12" t="s">
        <v>2231</v>
      </c>
      <c r="D160" s="12" t="s">
        <v>4131</v>
      </c>
      <c r="E160" s="12" t="str">
        <f t="shared" si="0"/>
        <v>John Ezekiel Zapata </v>
      </c>
      <c r="F160" s="13" t="s">
        <v>4222</v>
      </c>
      <c r="G160" s="13"/>
      <c r="H160" s="13"/>
      <c r="I160" s="13"/>
      <c r="J160" s="13"/>
      <c r="K160" s="13"/>
      <c r="L160" s="13"/>
      <c r="M160" s="13"/>
      <c r="N160" s="14"/>
      <c r="O160" s="13"/>
      <c r="P160" s="13"/>
      <c r="Q160" s="13"/>
      <c r="R160" s="17"/>
    </row>
    <row r="161" ht="15.75" hidden="1" customHeight="1" spans="1:18">
      <c r="A161" s="12" t="s">
        <v>79</v>
      </c>
      <c r="B161" s="12" t="s">
        <v>2383</v>
      </c>
      <c r="C161" s="12" t="s">
        <v>2231</v>
      </c>
      <c r="D161" s="12" t="s">
        <v>4131</v>
      </c>
      <c r="E161" s="12" t="str">
        <f t="shared" si="0"/>
        <v>Michael Mabanglo</v>
      </c>
      <c r="F161" s="13" t="s">
        <v>2113</v>
      </c>
      <c r="G161" s="13" t="s">
        <v>1087</v>
      </c>
      <c r="H161" s="13"/>
      <c r="I161" s="13"/>
      <c r="J161" s="13"/>
      <c r="K161" s="13"/>
      <c r="L161" s="13"/>
      <c r="M161" s="13"/>
      <c r="N161" s="14"/>
      <c r="O161" s="13"/>
      <c r="P161" s="13"/>
      <c r="Q161" s="13"/>
      <c r="R161" s="17"/>
    </row>
    <row r="162" ht="15.75" hidden="1" customHeight="1" spans="1:18">
      <c r="A162" s="12" t="s">
        <v>79</v>
      </c>
      <c r="B162" s="12" t="s">
        <v>2184</v>
      </c>
      <c r="C162" s="12" t="s">
        <v>2231</v>
      </c>
      <c r="D162" s="12" t="s">
        <v>4131</v>
      </c>
      <c r="E162" s="12" t="str">
        <f t="shared" si="0"/>
        <v>Markgil Mejia </v>
      </c>
      <c r="F162" s="19" t="s">
        <v>4223</v>
      </c>
      <c r="G162" s="13"/>
      <c r="H162" s="13"/>
      <c r="I162" s="13"/>
      <c r="J162" s="13"/>
      <c r="K162" s="13"/>
      <c r="L162" s="13"/>
      <c r="M162" s="13"/>
      <c r="N162" s="14"/>
      <c r="O162" s="13"/>
      <c r="P162" s="13"/>
      <c r="Q162" s="13"/>
      <c r="R162" s="17"/>
    </row>
    <row r="163" ht="15.75" hidden="1" customHeight="1" spans="1:18">
      <c r="A163" s="12" t="s">
        <v>79</v>
      </c>
      <c r="B163" s="12" t="s">
        <v>2184</v>
      </c>
      <c r="C163" s="12" t="s">
        <v>2231</v>
      </c>
      <c r="D163" s="12" t="s">
        <v>4131</v>
      </c>
      <c r="E163" s="12" t="str">
        <f t="shared" si="0"/>
        <v>Aiko Htwe </v>
      </c>
      <c r="F163" s="19" t="s">
        <v>4224</v>
      </c>
      <c r="G163" s="13"/>
      <c r="H163" s="13"/>
      <c r="I163" s="13"/>
      <c r="J163" s="13"/>
      <c r="K163" s="13"/>
      <c r="L163" s="13"/>
      <c r="M163" s="13"/>
      <c r="N163" s="14"/>
      <c r="O163" s="13"/>
      <c r="P163" s="13"/>
      <c r="Q163" s="13"/>
      <c r="R163" s="17"/>
    </row>
    <row r="164" ht="15.75" hidden="1" customHeight="1" spans="1:18">
      <c r="A164" s="12" t="s">
        <v>79</v>
      </c>
      <c r="B164" s="12" t="s">
        <v>2184</v>
      </c>
      <c r="C164" s="12" t="s">
        <v>2231</v>
      </c>
      <c r="D164" s="12" t="s">
        <v>4131</v>
      </c>
      <c r="E164" s="12" t="str">
        <f t="shared" si="0"/>
        <v>Angie Laraya </v>
      </c>
      <c r="F164" s="19" t="s">
        <v>4225</v>
      </c>
      <c r="G164" s="13"/>
      <c r="H164" s="13"/>
      <c r="I164" s="13"/>
      <c r="J164" s="13"/>
      <c r="K164" s="13"/>
      <c r="L164" s="13"/>
      <c r="M164" s="13"/>
      <c r="N164" s="14"/>
      <c r="O164" s="13"/>
      <c r="P164" s="13"/>
      <c r="Q164" s="13"/>
      <c r="R164" s="17"/>
    </row>
    <row r="165" ht="15.75" hidden="1" customHeight="1" spans="1:18">
      <c r="A165" s="12" t="s">
        <v>79</v>
      </c>
      <c r="B165" s="12" t="s">
        <v>2181</v>
      </c>
      <c r="C165" s="12" t="s">
        <v>2231</v>
      </c>
      <c r="D165" s="12" t="s">
        <v>4131</v>
      </c>
      <c r="E165" s="12" t="str">
        <f t="shared" si="0"/>
        <v>Gabrielle Troi T. Balinggan </v>
      </c>
      <c r="F165" s="13" t="s">
        <v>4226</v>
      </c>
      <c r="G165" s="13"/>
      <c r="H165" s="13"/>
      <c r="I165" s="13"/>
      <c r="J165" s="13"/>
      <c r="K165" s="13"/>
      <c r="L165" s="13"/>
      <c r="M165" s="13"/>
      <c r="N165" s="14"/>
      <c r="O165" s="13"/>
      <c r="P165" s="13"/>
      <c r="Q165" s="13"/>
      <c r="R165" s="17"/>
    </row>
    <row r="166" ht="15.75" hidden="1" customHeight="1" spans="1:18">
      <c r="A166" s="12" t="s">
        <v>79</v>
      </c>
      <c r="B166" s="12" t="s">
        <v>2181</v>
      </c>
      <c r="C166" s="12" t="s">
        <v>2231</v>
      </c>
      <c r="D166" s="12" t="s">
        <v>4131</v>
      </c>
      <c r="E166" s="12" t="str">
        <f t="shared" si="0"/>
        <v>Troy Kenneth Apolinario </v>
      </c>
      <c r="F166" s="13" t="s">
        <v>4227</v>
      </c>
      <c r="G166" s="13"/>
      <c r="H166" s="13"/>
      <c r="I166" s="13"/>
      <c r="J166" s="13"/>
      <c r="K166" s="13"/>
      <c r="L166" s="13"/>
      <c r="M166" s="13"/>
      <c r="N166" s="14"/>
      <c r="O166" s="13"/>
      <c r="P166" s="13"/>
      <c r="Q166" s="13"/>
      <c r="R166" s="17"/>
    </row>
    <row r="167" ht="15.75" hidden="1" customHeight="1" spans="1:18">
      <c r="A167" s="12" t="s">
        <v>79</v>
      </c>
      <c r="B167" s="12" t="s">
        <v>2181</v>
      </c>
      <c r="C167" s="12" t="s">
        <v>2231</v>
      </c>
      <c r="D167" s="12" t="s">
        <v>4131</v>
      </c>
      <c r="E167" s="12" t="str">
        <f t="shared" si="0"/>
        <v>Khraenzhell Caragay </v>
      </c>
      <c r="F167" s="13" t="s">
        <v>4228</v>
      </c>
      <c r="G167" s="13"/>
      <c r="H167" s="13"/>
      <c r="I167" s="13"/>
      <c r="J167" s="13"/>
      <c r="K167" s="13"/>
      <c r="L167" s="13"/>
      <c r="M167" s="13"/>
      <c r="N167" s="14"/>
      <c r="O167" s="13"/>
      <c r="P167" s="13"/>
      <c r="Q167" s="13"/>
      <c r="R167" s="17"/>
    </row>
    <row r="168" ht="15.75" hidden="1" customHeight="1" spans="1:18">
      <c r="A168" s="12" t="s">
        <v>51</v>
      </c>
      <c r="B168" s="12" t="s">
        <v>2189</v>
      </c>
      <c r="C168" s="12" t="s">
        <v>2178</v>
      </c>
      <c r="D168" s="12" t="s">
        <v>4131</v>
      </c>
      <c r="E168" s="12" t="str">
        <f t="shared" si="0"/>
        <v>Jonabel Ann Solis</v>
      </c>
      <c r="F168" s="13" t="s">
        <v>3021</v>
      </c>
      <c r="G168" s="13" t="s">
        <v>3020</v>
      </c>
      <c r="H168" s="13" t="s">
        <v>907</v>
      </c>
      <c r="I168" s="13">
        <v>51</v>
      </c>
      <c r="J168" s="13" t="s">
        <v>2862</v>
      </c>
      <c r="K168" s="13"/>
      <c r="L168" s="13" t="s">
        <v>3022</v>
      </c>
      <c r="M168" s="20" t="s">
        <v>3023</v>
      </c>
      <c r="N168" s="14">
        <v>35248</v>
      </c>
      <c r="O168" s="13"/>
      <c r="P168" s="13"/>
      <c r="Q168" s="13"/>
      <c r="R168" s="17">
        <f ca="1">(TODAY()-N168)/365</f>
        <v>30.3369863013699</v>
      </c>
    </row>
    <row r="169" ht="15.75" hidden="1" customHeight="1" spans="1:18">
      <c r="A169" s="12" t="s">
        <v>79</v>
      </c>
      <c r="B169" s="12" t="s">
        <v>2189</v>
      </c>
      <c r="C169" s="12" t="s">
        <v>2212</v>
      </c>
      <c r="D169" s="12" t="s">
        <v>4131</v>
      </c>
      <c r="E169" s="12" t="str">
        <f t="shared" si="0"/>
        <v>Athena Grace Camodag</v>
      </c>
      <c r="F169" s="13" t="s">
        <v>2444</v>
      </c>
      <c r="G169" s="13" t="s">
        <v>636</v>
      </c>
      <c r="H169" s="13"/>
      <c r="I169" s="13"/>
      <c r="J169" s="13"/>
      <c r="K169" s="13"/>
      <c r="L169" s="13"/>
      <c r="M169" s="13"/>
      <c r="N169" s="14"/>
      <c r="O169" s="13"/>
      <c r="P169" s="13"/>
      <c r="Q169" s="13"/>
      <c r="R169" s="17"/>
    </row>
    <row r="170" ht="15.75" hidden="1" customHeight="1" spans="1:18">
      <c r="A170" s="12" t="s">
        <v>79</v>
      </c>
      <c r="B170" s="12" t="s">
        <v>2189</v>
      </c>
      <c r="C170" s="12" t="s">
        <v>4145</v>
      </c>
      <c r="D170" s="12" t="s">
        <v>4131</v>
      </c>
      <c r="E170" s="12" t="str">
        <f t="shared" si="0"/>
        <v>Fe Wakit</v>
      </c>
      <c r="F170" s="13" t="s">
        <v>3150</v>
      </c>
      <c r="G170" s="13" t="s">
        <v>1597</v>
      </c>
      <c r="H170" s="13"/>
      <c r="I170" s="13"/>
      <c r="J170" s="13"/>
      <c r="K170" s="13"/>
      <c r="L170" s="13"/>
      <c r="M170" s="13"/>
      <c r="N170" s="14"/>
      <c r="O170" s="13"/>
      <c r="P170" s="13"/>
      <c r="Q170" s="13"/>
      <c r="R170" s="17"/>
    </row>
    <row r="171" ht="15.75" hidden="1" customHeight="1" spans="1:18">
      <c r="A171" s="12" t="s">
        <v>79</v>
      </c>
      <c r="B171" s="12" t="s">
        <v>2189</v>
      </c>
      <c r="C171" s="12" t="s">
        <v>4162</v>
      </c>
      <c r="D171" s="12" t="s">
        <v>4131</v>
      </c>
      <c r="E171" s="12" t="str">
        <f t="shared" si="0"/>
        <v>Joshua Thans Dangla</v>
      </c>
      <c r="F171" s="13" t="s">
        <v>2589</v>
      </c>
      <c r="G171" s="13" t="s">
        <v>852</v>
      </c>
      <c r="H171" s="13"/>
      <c r="I171" s="13"/>
      <c r="J171" s="13"/>
      <c r="K171" s="13"/>
      <c r="L171" s="13"/>
      <c r="M171" s="13"/>
      <c r="N171" s="14"/>
      <c r="O171" s="13"/>
      <c r="P171" s="13"/>
      <c r="Q171" s="13"/>
      <c r="R171" s="17"/>
    </row>
    <row r="172" ht="15.75" customHeight="1" spans="1:18">
      <c r="F172" s="13"/>
      <c r="G172" s="13"/>
      <c r="H172" s="13"/>
      <c r="I172" s="13"/>
      <c r="J172" s="13"/>
      <c r="K172" s="13"/>
      <c r="L172" s="13"/>
      <c r="M172" s="13"/>
      <c r="N172" s="14"/>
      <c r="O172" s="13"/>
      <c r="P172" s="13"/>
      <c r="Q172" s="13"/>
      <c r="R172" s="17"/>
    </row>
    <row r="173" ht="15.75" customHeight="1" spans="1:18">
      <c r="F173" s="13"/>
      <c r="G173" s="13"/>
      <c r="H173" s="13"/>
      <c r="I173" s="13"/>
      <c r="J173" s="13"/>
      <c r="K173" s="13"/>
      <c r="L173" s="13"/>
      <c r="M173" s="13"/>
      <c r="N173" s="14"/>
      <c r="O173" s="13"/>
      <c r="P173" s="13"/>
      <c r="Q173" s="13"/>
      <c r="R173" s="17"/>
    </row>
    <row r="174" ht="15.75" customHeight="1" spans="1:18">
      <c r="F174" s="13"/>
      <c r="G174" s="13"/>
      <c r="H174" s="13"/>
      <c r="I174" s="13"/>
      <c r="J174" s="13"/>
      <c r="K174" s="13"/>
      <c r="L174" s="13"/>
      <c r="M174" s="13"/>
      <c r="N174" s="14"/>
      <c r="O174" s="13"/>
      <c r="P174" s="13"/>
      <c r="Q174" s="13"/>
      <c r="R174" s="17"/>
    </row>
    <row r="175" ht="15.75" customHeight="1" spans="1:18">
      <c r="F175" s="13"/>
      <c r="G175" s="13"/>
      <c r="H175" s="13"/>
      <c r="I175" s="13"/>
      <c r="J175" s="13"/>
      <c r="K175" s="13"/>
      <c r="L175" s="13"/>
      <c r="M175" s="13"/>
      <c r="N175" s="14"/>
      <c r="O175" s="13"/>
      <c r="P175" s="13"/>
      <c r="Q175" s="13"/>
      <c r="R175" s="17"/>
    </row>
    <row r="176" ht="15.75" customHeight="1" spans="1:18">
      <c r="F176" s="13"/>
      <c r="G176" s="13"/>
      <c r="H176" s="13"/>
      <c r="I176" s="13"/>
      <c r="J176" s="13"/>
      <c r="K176" s="13"/>
      <c r="L176" s="13"/>
      <c r="M176" s="13"/>
      <c r="N176" s="14"/>
      <c r="O176" s="13"/>
      <c r="P176" s="13"/>
      <c r="Q176" s="13"/>
      <c r="R176" s="17"/>
    </row>
    <row r="177" ht="15.75" customHeight="1" spans="6:18">
      <c r="F177" s="13"/>
      <c r="G177" s="13"/>
      <c r="H177" s="13"/>
      <c r="I177" s="13"/>
      <c r="J177" s="13"/>
      <c r="K177" s="13"/>
      <c r="L177" s="13"/>
      <c r="M177" s="13"/>
      <c r="N177" s="14"/>
      <c r="O177" s="13"/>
      <c r="P177" s="13"/>
      <c r="Q177" s="13"/>
      <c r="R177" s="17"/>
    </row>
    <row r="178" ht="15.75" customHeight="1" spans="6:18">
      <c r="F178" s="13"/>
      <c r="G178" s="13"/>
      <c r="H178" s="13"/>
      <c r="I178" s="13"/>
      <c r="J178" s="13"/>
      <c r="K178" s="13"/>
      <c r="L178" s="13"/>
      <c r="M178" s="13"/>
      <c r="N178" s="14"/>
      <c r="O178" s="13"/>
      <c r="P178" s="13"/>
      <c r="Q178" s="13"/>
      <c r="R178" s="17"/>
    </row>
    <row r="179" ht="15.75" customHeight="1" spans="6:18">
      <c r="F179" s="13"/>
      <c r="G179" s="13"/>
      <c r="H179" s="13"/>
      <c r="I179" s="13"/>
      <c r="J179" s="13"/>
      <c r="K179" s="13"/>
      <c r="L179" s="13"/>
      <c r="M179" s="13"/>
      <c r="N179" s="14"/>
      <c r="O179" s="13"/>
      <c r="P179" s="13"/>
      <c r="Q179" s="13"/>
      <c r="R179" s="17"/>
    </row>
    <row r="180" ht="15.75" customHeight="1" spans="6:18">
      <c r="F180" s="13"/>
      <c r="G180" s="13"/>
      <c r="H180" s="13"/>
      <c r="I180" s="13"/>
      <c r="J180" s="13"/>
      <c r="K180" s="13"/>
      <c r="L180" s="13"/>
      <c r="M180" s="13"/>
      <c r="N180" s="14"/>
      <c r="O180" s="13"/>
      <c r="P180" s="13"/>
      <c r="Q180" s="13"/>
      <c r="R180" s="17"/>
    </row>
    <row r="181" ht="15.75" customHeight="1" spans="6:18">
      <c r="F181" s="13"/>
      <c r="G181" s="13"/>
      <c r="H181" s="13"/>
      <c r="I181" s="13"/>
      <c r="J181" s="13"/>
      <c r="K181" s="13"/>
      <c r="L181" s="13"/>
      <c r="M181" s="13"/>
      <c r="N181" s="14"/>
      <c r="O181" s="13"/>
      <c r="P181" s="13"/>
      <c r="Q181" s="13"/>
      <c r="R181" s="17"/>
    </row>
    <row r="182" ht="15.75" customHeight="1" spans="6:18">
      <c r="F182" s="13"/>
      <c r="G182" s="13"/>
      <c r="H182" s="13"/>
      <c r="I182" s="13"/>
      <c r="J182" s="13"/>
      <c r="K182" s="13"/>
      <c r="L182" s="13"/>
      <c r="M182" s="13"/>
      <c r="N182" s="14"/>
      <c r="O182" s="13"/>
      <c r="P182" s="13"/>
      <c r="Q182" s="13"/>
      <c r="R182" s="17"/>
    </row>
    <row r="183" ht="15.75" customHeight="1" spans="6:18">
      <c r="F183" s="13"/>
      <c r="G183" s="13"/>
      <c r="H183" s="13"/>
      <c r="I183" s="13"/>
      <c r="J183" s="13"/>
      <c r="K183" s="13"/>
      <c r="L183" s="13"/>
      <c r="M183" s="13"/>
      <c r="N183" s="14"/>
      <c r="O183" s="13"/>
      <c r="P183" s="13"/>
      <c r="Q183" s="13"/>
      <c r="R183" s="17"/>
    </row>
    <row r="184" ht="15.75" customHeight="1" spans="6:18">
      <c r="F184" s="13"/>
      <c r="G184" s="13"/>
      <c r="H184" s="13"/>
      <c r="I184" s="13"/>
      <c r="J184" s="13"/>
      <c r="K184" s="13"/>
      <c r="L184" s="13"/>
      <c r="M184" s="13"/>
      <c r="N184" s="14"/>
      <c r="O184" s="13"/>
      <c r="P184" s="13"/>
      <c r="Q184" s="13"/>
      <c r="R184" s="17"/>
    </row>
    <row r="185" ht="15.75" customHeight="1" spans="6:18">
      <c r="F185" s="13"/>
      <c r="G185" s="13"/>
      <c r="H185" s="13"/>
      <c r="I185" s="13"/>
      <c r="J185" s="13"/>
      <c r="K185" s="13"/>
      <c r="L185" s="13"/>
      <c r="M185" s="13"/>
      <c r="N185" s="14"/>
      <c r="O185" s="13"/>
      <c r="P185" s="13"/>
      <c r="Q185" s="13"/>
      <c r="R185" s="17"/>
    </row>
    <row r="186" ht="15.75" customHeight="1" spans="6:18">
      <c r="F186" s="13"/>
      <c r="G186" s="13"/>
      <c r="H186" s="13"/>
      <c r="I186" s="13"/>
      <c r="J186" s="13"/>
      <c r="K186" s="13"/>
      <c r="L186" s="13"/>
      <c r="M186" s="13"/>
      <c r="N186" s="14"/>
      <c r="O186" s="13"/>
      <c r="P186" s="13"/>
      <c r="Q186" s="13"/>
      <c r="R186" s="17"/>
    </row>
    <row r="187" ht="15.75" customHeight="1" spans="6:18">
      <c r="F187" s="13"/>
      <c r="G187" s="13"/>
      <c r="H187" s="13"/>
      <c r="I187" s="13"/>
      <c r="J187" s="13"/>
      <c r="K187" s="13"/>
      <c r="L187" s="13"/>
      <c r="M187" s="13"/>
      <c r="N187" s="14"/>
      <c r="O187" s="13"/>
      <c r="P187" s="13"/>
      <c r="Q187" s="13"/>
      <c r="R187" s="17"/>
    </row>
    <row r="188" ht="15.75" customHeight="1" spans="6:18">
      <c r="F188" s="13"/>
      <c r="G188" s="13"/>
      <c r="H188" s="13"/>
      <c r="I188" s="13"/>
      <c r="J188" s="13"/>
      <c r="K188" s="13"/>
      <c r="L188" s="13"/>
      <c r="M188" s="13"/>
      <c r="N188" s="14"/>
      <c r="O188" s="13"/>
      <c r="P188" s="13"/>
      <c r="Q188" s="13"/>
      <c r="R188" s="17"/>
    </row>
    <row r="189" ht="15.75" customHeight="1" spans="6:18">
      <c r="F189" s="13"/>
      <c r="G189" s="13"/>
      <c r="H189" s="13"/>
      <c r="I189" s="13"/>
      <c r="J189" s="13"/>
      <c r="K189" s="13"/>
      <c r="L189" s="13"/>
      <c r="M189" s="13"/>
      <c r="N189" s="14"/>
      <c r="O189" s="13"/>
      <c r="P189" s="13"/>
      <c r="Q189" s="13"/>
      <c r="R189" s="17"/>
    </row>
    <row r="190" ht="15.75" customHeight="1" spans="6:18">
      <c r="F190" s="13"/>
      <c r="G190" s="13"/>
      <c r="H190" s="13"/>
      <c r="I190" s="13"/>
      <c r="J190" s="13"/>
      <c r="K190" s="13"/>
      <c r="L190" s="13"/>
      <c r="M190" s="13"/>
      <c r="N190" s="14"/>
      <c r="O190" s="13"/>
      <c r="P190" s="13"/>
      <c r="Q190" s="13"/>
      <c r="R190" s="17"/>
    </row>
    <row r="191" ht="15.75" customHeight="1" spans="6:18">
      <c r="F191" s="13"/>
      <c r="G191" s="13"/>
      <c r="H191" s="13"/>
      <c r="I191" s="13"/>
      <c r="J191" s="13"/>
      <c r="K191" s="13"/>
      <c r="L191" s="13"/>
      <c r="M191" s="13"/>
      <c r="N191" s="14"/>
      <c r="O191" s="13"/>
      <c r="P191" s="13"/>
      <c r="Q191" s="13"/>
      <c r="R191" s="17"/>
    </row>
    <row r="192" ht="15.75" customHeight="1" spans="6:18">
      <c r="F192" s="13"/>
      <c r="G192" s="13"/>
      <c r="H192" s="13"/>
      <c r="I192" s="13"/>
      <c r="J192" s="13"/>
      <c r="K192" s="13"/>
      <c r="L192" s="13"/>
      <c r="M192" s="13"/>
      <c r="N192" s="14"/>
      <c r="O192" s="13"/>
      <c r="P192" s="13"/>
      <c r="Q192" s="13"/>
      <c r="R192" s="17"/>
    </row>
    <row r="193" ht="15.75" customHeight="1" spans="6:18">
      <c r="F193" s="13"/>
      <c r="G193" s="13"/>
      <c r="H193" s="13"/>
      <c r="I193" s="13"/>
      <c r="J193" s="13"/>
      <c r="K193" s="13"/>
      <c r="L193" s="13"/>
      <c r="M193" s="13"/>
      <c r="N193" s="14"/>
      <c r="O193" s="13"/>
      <c r="P193" s="13"/>
      <c r="Q193" s="13"/>
      <c r="R193" s="17"/>
    </row>
    <row r="194" ht="15.75" customHeight="1" spans="6:18">
      <c r="F194" s="13"/>
      <c r="G194" s="13"/>
      <c r="H194" s="13"/>
      <c r="I194" s="13"/>
      <c r="J194" s="13"/>
      <c r="K194" s="13"/>
      <c r="L194" s="13"/>
      <c r="M194" s="13"/>
      <c r="N194" s="14"/>
      <c r="O194" s="13"/>
      <c r="P194" s="13"/>
      <c r="Q194" s="13"/>
      <c r="R194" s="17"/>
    </row>
    <row r="195" ht="15.75" customHeight="1" spans="6:18">
      <c r="F195" s="13"/>
      <c r="G195" s="13"/>
      <c r="H195" s="13"/>
      <c r="I195" s="13"/>
      <c r="J195" s="13"/>
      <c r="K195" s="13"/>
      <c r="L195" s="13"/>
      <c r="M195" s="13"/>
      <c r="N195" s="14"/>
      <c r="O195" s="13"/>
      <c r="P195" s="13"/>
      <c r="Q195" s="13"/>
      <c r="R195" s="17"/>
    </row>
    <row r="196" ht="15.75" customHeight="1" spans="6:18">
      <c r="F196" s="13"/>
      <c r="G196" s="13"/>
      <c r="H196" s="13"/>
      <c r="I196" s="13"/>
      <c r="J196" s="13"/>
      <c r="K196" s="13"/>
      <c r="L196" s="13"/>
      <c r="M196" s="13"/>
      <c r="N196" s="14"/>
      <c r="O196" s="13"/>
      <c r="P196" s="13"/>
      <c r="Q196" s="13"/>
      <c r="R196" s="17"/>
    </row>
    <row r="197" ht="15.75" customHeight="1" spans="6:18">
      <c r="F197" s="13"/>
      <c r="G197" s="13"/>
      <c r="H197" s="13"/>
      <c r="I197" s="13"/>
      <c r="J197" s="13"/>
      <c r="K197" s="13"/>
      <c r="L197" s="13"/>
      <c r="M197" s="13"/>
      <c r="N197" s="14"/>
      <c r="O197" s="13"/>
      <c r="P197" s="13"/>
      <c r="Q197" s="13"/>
      <c r="R197" s="17"/>
    </row>
    <row r="198" ht="15.75" customHeight="1" spans="6:18">
      <c r="F198" s="13"/>
      <c r="G198" s="13"/>
      <c r="H198" s="13"/>
      <c r="I198" s="13"/>
      <c r="J198" s="13"/>
      <c r="K198" s="13"/>
      <c r="L198" s="13"/>
      <c r="M198" s="13"/>
      <c r="N198" s="14"/>
      <c r="O198" s="13"/>
      <c r="P198" s="13"/>
      <c r="Q198" s="13"/>
      <c r="R198" s="17"/>
    </row>
    <row r="199" ht="15.75" customHeight="1" spans="6:18">
      <c r="F199" s="13"/>
      <c r="G199" s="13"/>
      <c r="H199" s="13"/>
      <c r="I199" s="13"/>
      <c r="J199" s="13"/>
      <c r="K199" s="13"/>
      <c r="L199" s="13"/>
      <c r="M199" s="13"/>
      <c r="N199" s="14"/>
      <c r="O199" s="13"/>
      <c r="P199" s="13"/>
      <c r="Q199" s="13"/>
      <c r="R199" s="17"/>
    </row>
    <row r="200" ht="15.75" customHeight="1" spans="6:18">
      <c r="F200" s="13"/>
      <c r="G200" s="13"/>
      <c r="H200" s="13"/>
      <c r="I200" s="13"/>
      <c r="J200" s="13"/>
      <c r="K200" s="13"/>
      <c r="L200" s="13"/>
      <c r="M200" s="13"/>
      <c r="N200" s="14"/>
      <c r="O200" s="13"/>
      <c r="P200" s="13"/>
      <c r="Q200" s="13"/>
      <c r="R200" s="17"/>
    </row>
    <row r="201" ht="15.75" customHeight="1" spans="6:18">
      <c r="F201" s="13"/>
      <c r="G201" s="13"/>
      <c r="H201" s="13"/>
      <c r="I201" s="13"/>
      <c r="J201" s="13"/>
      <c r="K201" s="13"/>
      <c r="L201" s="13"/>
      <c r="M201" s="13"/>
      <c r="N201" s="14"/>
      <c r="O201" s="13"/>
      <c r="P201" s="13"/>
      <c r="Q201" s="13"/>
      <c r="R201" s="17"/>
    </row>
    <row r="202" ht="15.75" customHeight="1" spans="6:18">
      <c r="F202" s="13"/>
      <c r="G202" s="13"/>
      <c r="H202" s="13"/>
      <c r="I202" s="13"/>
      <c r="J202" s="13"/>
      <c r="K202" s="13"/>
      <c r="L202" s="13"/>
      <c r="M202" s="13"/>
      <c r="N202" s="14"/>
      <c r="O202" s="13"/>
      <c r="P202" s="13"/>
      <c r="Q202" s="13"/>
      <c r="R202" s="17"/>
    </row>
    <row r="203" ht="15.75" customHeight="1" spans="6:18">
      <c r="F203" s="13"/>
      <c r="G203" s="13"/>
      <c r="H203" s="13"/>
      <c r="I203" s="13"/>
      <c r="J203" s="13"/>
      <c r="K203" s="13"/>
      <c r="L203" s="13"/>
      <c r="M203" s="13"/>
      <c r="N203" s="14"/>
      <c r="O203" s="13"/>
      <c r="P203" s="13"/>
      <c r="Q203" s="13"/>
      <c r="R203" s="17"/>
    </row>
    <row r="204" ht="15.75" customHeight="1" spans="6:18">
      <c r="F204" s="13"/>
      <c r="G204" s="13"/>
      <c r="H204" s="13"/>
      <c r="I204" s="13"/>
      <c r="J204" s="13"/>
      <c r="K204" s="13"/>
      <c r="L204" s="13"/>
      <c r="M204" s="13"/>
      <c r="N204" s="14"/>
      <c r="O204" s="13"/>
      <c r="P204" s="13"/>
      <c r="Q204" s="13"/>
      <c r="R204" s="17"/>
    </row>
    <row r="205" ht="15.75" customHeight="1" spans="6:18">
      <c r="F205" s="13"/>
      <c r="G205" s="13"/>
      <c r="H205" s="13"/>
      <c r="I205" s="13"/>
      <c r="J205" s="13"/>
      <c r="K205" s="13"/>
      <c r="L205" s="13"/>
      <c r="M205" s="13"/>
      <c r="N205" s="14"/>
      <c r="O205" s="13"/>
      <c r="P205" s="13"/>
      <c r="Q205" s="13"/>
      <c r="R205" s="17"/>
    </row>
    <row r="206" ht="15.75" customHeight="1" spans="6:18">
      <c r="F206" s="13"/>
      <c r="G206" s="13"/>
      <c r="H206" s="13"/>
      <c r="I206" s="13"/>
      <c r="J206" s="13"/>
      <c r="K206" s="13"/>
      <c r="L206" s="13"/>
      <c r="M206" s="13"/>
      <c r="N206" s="14"/>
      <c r="O206" s="13"/>
      <c r="P206" s="13"/>
      <c r="Q206" s="13"/>
      <c r="R206" s="17"/>
    </row>
    <row r="207" ht="15.75" customHeight="1" spans="6:18">
      <c r="F207" s="13"/>
      <c r="G207" s="13"/>
      <c r="H207" s="13"/>
      <c r="I207" s="13"/>
      <c r="J207" s="13"/>
      <c r="K207" s="13"/>
      <c r="L207" s="13"/>
      <c r="M207" s="13"/>
      <c r="N207" s="14"/>
      <c r="O207" s="13"/>
      <c r="P207" s="13"/>
      <c r="Q207" s="13"/>
      <c r="R207" s="17"/>
    </row>
    <row r="208" ht="15.75" customHeight="1" spans="6:18">
      <c r="F208" s="13"/>
      <c r="G208" s="13"/>
      <c r="H208" s="13"/>
      <c r="I208" s="13"/>
      <c r="J208" s="13"/>
      <c r="K208" s="13"/>
      <c r="L208" s="13"/>
      <c r="M208" s="13"/>
      <c r="N208" s="14"/>
      <c r="O208" s="13"/>
      <c r="P208" s="13"/>
      <c r="Q208" s="13"/>
      <c r="R208" s="17"/>
    </row>
    <row r="209" ht="15.75" customHeight="1" spans="6:18">
      <c r="F209" s="13"/>
      <c r="G209" s="13"/>
      <c r="H209" s="13"/>
      <c r="I209" s="13"/>
      <c r="J209" s="13"/>
      <c r="K209" s="13"/>
      <c r="L209" s="13"/>
      <c r="M209" s="13"/>
      <c r="N209" s="14"/>
      <c r="O209" s="13"/>
      <c r="P209" s="13"/>
      <c r="Q209" s="13"/>
      <c r="R209" s="17"/>
    </row>
    <row r="210" ht="15.75" customHeight="1" spans="6:18">
      <c r="F210" s="13"/>
      <c r="G210" s="13"/>
      <c r="H210" s="13"/>
      <c r="I210" s="13"/>
      <c r="J210" s="13"/>
      <c r="K210" s="13"/>
      <c r="L210" s="13"/>
      <c r="M210" s="13"/>
      <c r="N210" s="14"/>
      <c r="O210" s="13"/>
      <c r="P210" s="13"/>
      <c r="Q210" s="13"/>
      <c r="R210" s="17"/>
    </row>
    <row r="211" ht="15.75" customHeight="1" spans="6:18">
      <c r="F211" s="13"/>
      <c r="G211" s="13"/>
      <c r="H211" s="13"/>
      <c r="I211" s="13"/>
      <c r="J211" s="13"/>
      <c r="K211" s="13"/>
      <c r="L211" s="13"/>
      <c r="M211" s="13"/>
      <c r="N211" s="14"/>
      <c r="O211" s="13"/>
      <c r="P211" s="13"/>
      <c r="Q211" s="13"/>
      <c r="R211" s="17"/>
    </row>
    <row r="212" ht="15.75" customHeight="1" spans="6:18">
      <c r="F212" s="13"/>
      <c r="G212" s="13"/>
      <c r="H212" s="13"/>
      <c r="I212" s="13"/>
      <c r="J212" s="13"/>
      <c r="K212" s="13"/>
      <c r="L212" s="13"/>
      <c r="M212" s="13"/>
      <c r="N212" s="14"/>
      <c r="O212" s="13"/>
      <c r="P212" s="13"/>
      <c r="Q212" s="13"/>
      <c r="R212" s="17"/>
    </row>
    <row r="213" ht="15.75" customHeight="1" spans="6:18">
      <c r="F213" s="13"/>
      <c r="G213" s="13"/>
      <c r="H213" s="13"/>
      <c r="I213" s="13"/>
      <c r="J213" s="13"/>
      <c r="K213" s="13"/>
      <c r="L213" s="13"/>
      <c r="M213" s="13"/>
      <c r="N213" s="14"/>
      <c r="O213" s="13"/>
      <c r="P213" s="13"/>
      <c r="Q213" s="13"/>
      <c r="R213" s="17"/>
    </row>
    <row r="214" ht="15.75" customHeight="1" spans="6:18">
      <c r="F214" s="13"/>
      <c r="G214" s="13"/>
      <c r="H214" s="13"/>
      <c r="I214" s="13"/>
      <c r="J214" s="13"/>
      <c r="K214" s="13"/>
      <c r="L214" s="13"/>
      <c r="M214" s="13"/>
      <c r="N214" s="14"/>
      <c r="O214" s="13"/>
      <c r="P214" s="13"/>
      <c r="Q214" s="13"/>
      <c r="R214" s="17"/>
    </row>
    <row r="215" ht="15.75" customHeight="1" spans="6:18">
      <c r="F215" s="13"/>
      <c r="G215" s="13"/>
      <c r="H215" s="13"/>
      <c r="I215" s="13"/>
      <c r="J215" s="13"/>
      <c r="K215" s="13"/>
      <c r="L215" s="13"/>
      <c r="M215" s="13"/>
      <c r="N215" s="14"/>
      <c r="O215" s="13"/>
      <c r="P215" s="13"/>
      <c r="Q215" s="13"/>
      <c r="R215" s="17"/>
    </row>
    <row r="216" ht="15.75" customHeight="1" spans="6:18">
      <c r="F216" s="13"/>
      <c r="G216" s="13"/>
      <c r="H216" s="13"/>
      <c r="I216" s="13"/>
      <c r="J216" s="13"/>
      <c r="K216" s="13"/>
      <c r="L216" s="13"/>
      <c r="M216" s="13"/>
      <c r="N216" s="14"/>
      <c r="O216" s="13"/>
      <c r="P216" s="13"/>
      <c r="Q216" s="13"/>
      <c r="R216" s="17"/>
    </row>
    <row r="217" ht="15.75" customHeight="1" spans="6:18">
      <c r="F217" s="13"/>
      <c r="G217" s="13"/>
      <c r="H217" s="13"/>
      <c r="I217" s="13"/>
      <c r="J217" s="13"/>
      <c r="K217" s="13"/>
      <c r="L217" s="13"/>
      <c r="M217" s="13"/>
      <c r="N217" s="14"/>
      <c r="O217" s="13"/>
      <c r="P217" s="13"/>
      <c r="Q217" s="13"/>
      <c r="R217" s="17"/>
    </row>
    <row r="218" ht="15.75" customHeight="1" spans="6:18">
      <c r="F218" s="13"/>
      <c r="G218" s="13"/>
      <c r="H218" s="13"/>
      <c r="I218" s="13"/>
      <c r="J218" s="13"/>
      <c r="K218" s="13"/>
      <c r="L218" s="13"/>
      <c r="M218" s="13"/>
      <c r="N218" s="14"/>
      <c r="O218" s="13"/>
      <c r="P218" s="13"/>
      <c r="Q218" s="13"/>
      <c r="R218" s="17"/>
    </row>
    <row r="219" ht="15.75" customHeight="1" spans="6:18">
      <c r="F219" s="13"/>
      <c r="G219" s="13"/>
      <c r="H219" s="13"/>
      <c r="I219" s="13"/>
      <c r="J219" s="13"/>
      <c r="K219" s="13"/>
      <c r="L219" s="13"/>
      <c r="M219" s="13"/>
      <c r="N219" s="14"/>
      <c r="O219" s="13"/>
      <c r="P219" s="13"/>
      <c r="Q219" s="13"/>
      <c r="R219" s="17"/>
    </row>
    <row r="220" ht="15.75" customHeight="1" spans="6:18">
      <c r="F220" s="13"/>
      <c r="G220" s="13"/>
      <c r="H220" s="13"/>
      <c r="I220" s="13"/>
      <c r="J220" s="13"/>
      <c r="K220" s="13"/>
      <c r="L220" s="13"/>
      <c r="M220" s="13"/>
      <c r="N220" s="14"/>
      <c r="O220" s="13"/>
      <c r="P220" s="13"/>
      <c r="Q220" s="13"/>
      <c r="R220" s="17"/>
    </row>
    <row r="221" ht="15.75" customHeight="1" spans="6:18">
      <c r="F221" s="13"/>
      <c r="G221" s="13"/>
      <c r="H221" s="13"/>
      <c r="I221" s="13"/>
      <c r="J221" s="13"/>
      <c r="K221" s="13"/>
      <c r="L221" s="13"/>
      <c r="M221" s="13"/>
      <c r="N221" s="14"/>
      <c r="O221" s="13"/>
      <c r="P221" s="13"/>
      <c r="Q221" s="13"/>
      <c r="R221" s="17"/>
    </row>
    <row r="222" ht="15.75" customHeight="1" spans="6:18">
      <c r="F222" s="13"/>
      <c r="G222" s="13"/>
      <c r="H222" s="13"/>
      <c r="I222" s="13"/>
      <c r="J222" s="13"/>
      <c r="K222" s="13"/>
      <c r="L222" s="13"/>
      <c r="M222" s="13"/>
      <c r="N222" s="14"/>
      <c r="O222" s="13"/>
      <c r="P222" s="13"/>
      <c r="Q222" s="13"/>
      <c r="R222" s="17"/>
    </row>
    <row r="223" ht="15.75" customHeight="1" spans="6:18">
      <c r="F223" s="13"/>
      <c r="G223" s="13"/>
      <c r="H223" s="13"/>
      <c r="I223" s="13"/>
      <c r="J223" s="13"/>
      <c r="K223" s="13"/>
      <c r="L223" s="13"/>
      <c r="M223" s="13"/>
      <c r="N223" s="14"/>
      <c r="O223" s="13"/>
      <c r="P223" s="13"/>
      <c r="Q223" s="13"/>
      <c r="R223" s="17"/>
    </row>
    <row r="224" ht="15.75" customHeight="1" spans="6:18">
      <c r="F224" s="13"/>
      <c r="G224" s="13"/>
      <c r="H224" s="13"/>
      <c r="I224" s="13"/>
      <c r="J224" s="13"/>
      <c r="K224" s="13"/>
      <c r="L224" s="13"/>
      <c r="M224" s="13"/>
      <c r="N224" s="14"/>
      <c r="O224" s="13"/>
      <c r="P224" s="13"/>
      <c r="Q224" s="13"/>
      <c r="R224" s="17"/>
    </row>
    <row r="225" ht="15.75" customHeight="1" spans="6:18">
      <c r="F225" s="13"/>
      <c r="G225" s="13"/>
      <c r="H225" s="13"/>
      <c r="I225" s="13"/>
      <c r="J225" s="13"/>
      <c r="K225" s="13"/>
      <c r="L225" s="13"/>
      <c r="M225" s="13"/>
      <c r="N225" s="14"/>
      <c r="O225" s="13"/>
      <c r="P225" s="13"/>
      <c r="Q225" s="13"/>
      <c r="R225" s="17"/>
    </row>
    <row r="226" ht="15.75" customHeight="1" spans="6:18">
      <c r="F226" s="13"/>
      <c r="G226" s="13"/>
      <c r="H226" s="13"/>
      <c r="I226" s="13"/>
      <c r="J226" s="13"/>
      <c r="K226" s="13"/>
      <c r="L226" s="13"/>
      <c r="M226" s="13"/>
      <c r="N226" s="14"/>
      <c r="O226" s="13"/>
      <c r="P226" s="13"/>
      <c r="Q226" s="13"/>
      <c r="R226" s="17"/>
    </row>
    <row r="227" ht="15.75" customHeight="1" spans="6:18">
      <c r="F227" s="13"/>
      <c r="G227" s="13"/>
      <c r="H227" s="13"/>
      <c r="I227" s="13"/>
      <c r="J227" s="13"/>
      <c r="K227" s="13"/>
      <c r="L227" s="13"/>
      <c r="M227" s="13"/>
      <c r="N227" s="14"/>
      <c r="O227" s="13"/>
      <c r="P227" s="13"/>
      <c r="Q227" s="13"/>
      <c r="R227" s="17"/>
    </row>
    <row r="228" ht="15.75" customHeight="1" spans="6:18">
      <c r="F228" s="13"/>
      <c r="G228" s="13"/>
      <c r="H228" s="13"/>
      <c r="I228" s="13"/>
      <c r="J228" s="13"/>
      <c r="K228" s="13"/>
      <c r="L228" s="13"/>
      <c r="M228" s="13"/>
      <c r="N228" s="14"/>
      <c r="O228" s="13"/>
      <c r="P228" s="13"/>
      <c r="Q228" s="13"/>
      <c r="R228" s="17"/>
    </row>
    <row r="229" ht="15.75" customHeight="1" spans="6:18">
      <c r="F229" s="13"/>
      <c r="G229" s="13"/>
      <c r="H229" s="13"/>
      <c r="I229" s="13"/>
      <c r="J229" s="13"/>
      <c r="K229" s="13"/>
      <c r="L229" s="13"/>
      <c r="M229" s="13"/>
      <c r="N229" s="14"/>
      <c r="O229" s="13"/>
      <c r="P229" s="13"/>
      <c r="Q229" s="13"/>
      <c r="R229" s="17"/>
    </row>
    <row r="230" ht="15.75" customHeight="1" spans="6:18">
      <c r="F230" s="13"/>
      <c r="G230" s="13"/>
      <c r="H230" s="13"/>
      <c r="I230" s="13"/>
      <c r="J230" s="13"/>
      <c r="K230" s="13"/>
      <c r="L230" s="13"/>
      <c r="M230" s="13"/>
      <c r="N230" s="14"/>
      <c r="O230" s="13"/>
      <c r="P230" s="13"/>
      <c r="Q230" s="13"/>
      <c r="R230" s="17"/>
    </row>
    <row r="231" ht="15.75" customHeight="1" spans="6:18">
      <c r="F231" s="13"/>
      <c r="G231" s="13"/>
      <c r="H231" s="13"/>
      <c r="I231" s="13"/>
      <c r="J231" s="13"/>
      <c r="K231" s="13"/>
      <c r="L231" s="13"/>
      <c r="M231" s="13"/>
      <c r="N231" s="14"/>
      <c r="O231" s="13"/>
      <c r="P231" s="13"/>
      <c r="Q231" s="13"/>
      <c r="R231" s="17"/>
    </row>
    <row r="232" ht="15.75" customHeight="1" spans="6:18">
      <c r="F232" s="13"/>
      <c r="G232" s="13"/>
      <c r="H232" s="13"/>
      <c r="I232" s="13"/>
      <c r="J232" s="13"/>
      <c r="K232" s="13"/>
      <c r="L232" s="13"/>
      <c r="M232" s="13"/>
      <c r="N232" s="14"/>
      <c r="O232" s="13"/>
      <c r="P232" s="13"/>
      <c r="Q232" s="13"/>
      <c r="R232" s="17"/>
    </row>
    <row r="233" ht="15.75" customHeight="1" spans="6:18">
      <c r="F233" s="13"/>
      <c r="G233" s="13"/>
      <c r="H233" s="13"/>
      <c r="I233" s="13"/>
      <c r="J233" s="13"/>
      <c r="K233" s="13"/>
      <c r="L233" s="13"/>
      <c r="M233" s="13"/>
      <c r="N233" s="14"/>
      <c r="O233" s="13"/>
      <c r="P233" s="13"/>
      <c r="Q233" s="13"/>
      <c r="R233" s="17"/>
    </row>
    <row r="234" ht="15.75" customHeight="1" spans="6:18">
      <c r="F234" s="13"/>
      <c r="G234" s="13"/>
      <c r="H234" s="13"/>
      <c r="I234" s="13"/>
      <c r="J234" s="13"/>
      <c r="K234" s="13"/>
      <c r="L234" s="13"/>
      <c r="M234" s="13"/>
      <c r="N234" s="14"/>
      <c r="O234" s="13"/>
      <c r="P234" s="13"/>
      <c r="Q234" s="13"/>
      <c r="R234" s="17"/>
    </row>
    <row r="235" ht="15.75" customHeight="1" spans="6:18">
      <c r="F235" s="13"/>
      <c r="G235" s="13"/>
      <c r="H235" s="13"/>
      <c r="I235" s="13"/>
      <c r="J235" s="13"/>
      <c r="K235" s="13"/>
      <c r="L235" s="13"/>
      <c r="M235" s="13"/>
      <c r="N235" s="14"/>
      <c r="O235" s="13"/>
      <c r="P235" s="13"/>
      <c r="Q235" s="13"/>
      <c r="R235" s="17"/>
    </row>
    <row r="236" ht="15.75" customHeight="1" spans="6:18">
      <c r="F236" s="13"/>
      <c r="G236" s="13"/>
      <c r="H236" s="13"/>
      <c r="I236" s="13"/>
      <c r="J236" s="13"/>
      <c r="K236" s="13"/>
      <c r="L236" s="13"/>
      <c r="M236" s="13"/>
      <c r="N236" s="14"/>
      <c r="O236" s="13"/>
      <c r="P236" s="13"/>
      <c r="Q236" s="13"/>
      <c r="R236" s="17"/>
    </row>
    <row r="237" ht="15.75" customHeight="1" spans="6:18">
      <c r="F237" s="13"/>
      <c r="G237" s="13"/>
      <c r="H237" s="13"/>
      <c r="I237" s="13"/>
      <c r="J237" s="13"/>
      <c r="K237" s="13"/>
      <c r="L237" s="13"/>
      <c r="M237" s="13"/>
      <c r="N237" s="14"/>
      <c r="O237" s="13"/>
      <c r="P237" s="13"/>
      <c r="Q237" s="13"/>
      <c r="R237" s="17"/>
    </row>
    <row r="238" ht="15.75" customHeight="1" spans="6:18">
      <c r="F238" s="13"/>
      <c r="G238" s="13"/>
      <c r="H238" s="13"/>
      <c r="I238" s="13"/>
      <c r="J238" s="13"/>
      <c r="K238" s="13"/>
      <c r="L238" s="13"/>
      <c r="M238" s="13"/>
      <c r="N238" s="14"/>
      <c r="O238" s="13"/>
      <c r="P238" s="13"/>
      <c r="Q238" s="13"/>
      <c r="R238" s="17"/>
    </row>
    <row r="239" ht="15.75" customHeight="1" spans="6:18">
      <c r="F239" s="13"/>
      <c r="G239" s="13"/>
      <c r="H239" s="13"/>
      <c r="I239" s="13"/>
      <c r="J239" s="13"/>
      <c r="K239" s="13"/>
      <c r="L239" s="13"/>
      <c r="M239" s="13"/>
      <c r="N239" s="14"/>
      <c r="O239" s="13"/>
      <c r="P239" s="13"/>
      <c r="Q239" s="13"/>
      <c r="R239" s="17"/>
    </row>
    <row r="240" ht="15.75" customHeight="1" spans="6:18">
      <c r="F240" s="13"/>
      <c r="G240" s="13"/>
      <c r="H240" s="13"/>
      <c r="I240" s="13"/>
      <c r="J240" s="13"/>
      <c r="K240" s="13"/>
      <c r="L240" s="13"/>
      <c r="M240" s="13"/>
      <c r="N240" s="14"/>
      <c r="O240" s="13"/>
      <c r="P240" s="13"/>
      <c r="Q240" s="13"/>
      <c r="R240" s="17"/>
    </row>
    <row r="241" ht="15.75" customHeight="1" spans="6:18">
      <c r="F241" s="13"/>
      <c r="G241" s="13"/>
      <c r="H241" s="13"/>
      <c r="I241" s="13"/>
      <c r="J241" s="13"/>
      <c r="K241" s="13"/>
      <c r="L241" s="13"/>
      <c r="M241" s="13"/>
      <c r="N241" s="14"/>
      <c r="O241" s="13"/>
      <c r="P241" s="13"/>
      <c r="Q241" s="13"/>
      <c r="R241" s="17"/>
    </row>
    <row r="242" ht="15.75" customHeight="1" spans="6:18">
      <c r="F242" s="13"/>
      <c r="G242" s="13"/>
      <c r="H242" s="13"/>
      <c r="I242" s="13"/>
      <c r="J242" s="13"/>
      <c r="K242" s="13"/>
      <c r="L242" s="13"/>
      <c r="M242" s="13"/>
      <c r="N242" s="14"/>
      <c r="O242" s="13"/>
      <c r="P242" s="13"/>
      <c r="Q242" s="13"/>
      <c r="R242" s="17"/>
    </row>
    <row r="243" ht="15.75" customHeight="1" spans="6:18">
      <c r="F243" s="13"/>
      <c r="G243" s="13"/>
      <c r="H243" s="13"/>
      <c r="I243" s="13"/>
      <c r="J243" s="13"/>
      <c r="K243" s="13"/>
      <c r="L243" s="13"/>
      <c r="M243" s="13"/>
      <c r="N243" s="14"/>
      <c r="O243" s="13"/>
      <c r="P243" s="13"/>
      <c r="Q243" s="13"/>
      <c r="R243" s="17"/>
    </row>
    <row r="244" ht="15.75" customHeight="1" spans="6:18">
      <c r="F244" s="13"/>
      <c r="G244" s="13"/>
      <c r="H244" s="13"/>
      <c r="I244" s="13"/>
      <c r="J244" s="13"/>
      <c r="K244" s="13"/>
      <c r="L244" s="13"/>
      <c r="M244" s="13"/>
      <c r="N244" s="14"/>
      <c r="O244" s="13"/>
      <c r="P244" s="13"/>
      <c r="Q244" s="13"/>
      <c r="R244" s="17"/>
    </row>
    <row r="245" ht="15.75" customHeight="1" spans="6:18">
      <c r="F245" s="13"/>
      <c r="G245" s="13"/>
      <c r="H245" s="13"/>
      <c r="I245" s="13"/>
      <c r="J245" s="13"/>
      <c r="K245" s="13"/>
      <c r="L245" s="13"/>
      <c r="M245" s="13"/>
      <c r="N245" s="14"/>
      <c r="O245" s="13"/>
      <c r="P245" s="13"/>
      <c r="Q245" s="13"/>
      <c r="R245" s="17"/>
    </row>
    <row r="246" ht="15.75" customHeight="1" spans="6:18">
      <c r="F246" s="13"/>
      <c r="G246" s="13"/>
      <c r="H246" s="13"/>
      <c r="I246" s="13"/>
      <c r="J246" s="13"/>
      <c r="K246" s="13"/>
      <c r="L246" s="13"/>
      <c r="M246" s="13"/>
      <c r="N246" s="14"/>
      <c r="O246" s="13"/>
      <c r="P246" s="13"/>
      <c r="Q246" s="13"/>
      <c r="R246" s="17"/>
    </row>
    <row r="247" ht="15.75" customHeight="1" spans="6:18">
      <c r="F247" s="13"/>
      <c r="G247" s="13"/>
      <c r="H247" s="13"/>
      <c r="I247" s="13"/>
      <c r="J247" s="13"/>
      <c r="K247" s="13"/>
      <c r="L247" s="13"/>
      <c r="M247" s="13"/>
      <c r="N247" s="14"/>
      <c r="O247" s="13"/>
      <c r="P247" s="13"/>
      <c r="Q247" s="13"/>
      <c r="R247" s="17"/>
    </row>
    <row r="248" ht="15.75" customHeight="1" spans="6:18">
      <c r="F248" s="13"/>
      <c r="G248" s="13"/>
      <c r="H248" s="13"/>
      <c r="I248" s="13"/>
      <c r="J248" s="13"/>
      <c r="K248" s="13"/>
      <c r="L248" s="13"/>
      <c r="M248" s="13"/>
      <c r="N248" s="14"/>
      <c r="O248" s="13"/>
      <c r="P248" s="13"/>
      <c r="Q248" s="13"/>
      <c r="R248" s="17"/>
    </row>
    <row r="249" ht="15.75" customHeight="1" spans="6:18">
      <c r="F249" s="13"/>
      <c r="G249" s="13"/>
      <c r="H249" s="13"/>
      <c r="I249" s="13"/>
      <c r="J249" s="13"/>
      <c r="K249" s="13"/>
      <c r="L249" s="13"/>
      <c r="M249" s="13"/>
      <c r="N249" s="14"/>
      <c r="O249" s="13"/>
      <c r="P249" s="13"/>
      <c r="Q249" s="13"/>
      <c r="R249" s="17"/>
    </row>
    <row r="250" ht="15.75" customHeight="1" spans="6:18">
      <c r="F250" s="13"/>
      <c r="G250" s="13"/>
      <c r="H250" s="13"/>
      <c r="I250" s="13"/>
      <c r="J250" s="13"/>
      <c r="K250" s="13"/>
      <c r="L250" s="13"/>
      <c r="M250" s="13"/>
      <c r="N250" s="14"/>
      <c r="O250" s="13"/>
      <c r="P250" s="13"/>
      <c r="Q250" s="13"/>
      <c r="R250" s="17"/>
    </row>
    <row r="251" ht="15.75" customHeight="1" spans="6:18">
      <c r="F251" s="13"/>
      <c r="G251" s="13"/>
      <c r="H251" s="13"/>
      <c r="I251" s="13"/>
      <c r="J251" s="13"/>
      <c r="K251" s="13"/>
      <c r="L251" s="13"/>
      <c r="M251" s="13"/>
      <c r="N251" s="14"/>
      <c r="O251" s="13"/>
      <c r="P251" s="13"/>
      <c r="Q251" s="13"/>
      <c r="R251" s="17"/>
    </row>
    <row r="252" ht="15.75" customHeight="1" spans="6:18">
      <c r="F252" s="13"/>
      <c r="G252" s="13"/>
      <c r="H252" s="13"/>
      <c r="I252" s="13"/>
      <c r="J252" s="13"/>
      <c r="K252" s="13"/>
      <c r="L252" s="13"/>
      <c r="M252" s="13"/>
      <c r="N252" s="14"/>
      <c r="O252" s="13"/>
      <c r="P252" s="13"/>
      <c r="Q252" s="13"/>
      <c r="R252" s="17"/>
    </row>
    <row r="253" ht="15.75" customHeight="1" spans="6:18">
      <c r="F253" s="13"/>
      <c r="G253" s="13"/>
      <c r="H253" s="13"/>
      <c r="I253" s="13"/>
      <c r="J253" s="13"/>
      <c r="K253" s="13"/>
      <c r="L253" s="13"/>
      <c r="M253" s="13"/>
      <c r="N253" s="14"/>
      <c r="O253" s="13"/>
      <c r="P253" s="13"/>
      <c r="Q253" s="13"/>
      <c r="R253" s="17"/>
    </row>
    <row r="254" ht="15.75" customHeight="1" spans="6:18">
      <c r="F254" s="13"/>
      <c r="G254" s="13"/>
      <c r="H254" s="13"/>
      <c r="I254" s="13"/>
      <c r="J254" s="13"/>
      <c r="K254" s="13"/>
      <c r="L254" s="13"/>
      <c r="M254" s="13"/>
      <c r="N254" s="14"/>
      <c r="O254" s="13"/>
      <c r="P254" s="13"/>
      <c r="Q254" s="13"/>
      <c r="R254" s="17"/>
    </row>
    <row r="255" ht="15.75" customHeight="1" spans="6:18">
      <c r="F255" s="13"/>
      <c r="G255" s="13"/>
      <c r="H255" s="13"/>
      <c r="I255" s="13"/>
      <c r="J255" s="13"/>
      <c r="K255" s="13"/>
      <c r="L255" s="13"/>
      <c r="M255" s="13"/>
      <c r="N255" s="14"/>
      <c r="O255" s="13"/>
      <c r="P255" s="13"/>
      <c r="Q255" s="13"/>
      <c r="R255" s="17"/>
    </row>
    <row r="256" ht="15.75" customHeight="1" spans="6:18">
      <c r="F256" s="13"/>
      <c r="G256" s="13"/>
      <c r="H256" s="13"/>
      <c r="I256" s="13"/>
      <c r="J256" s="13"/>
      <c r="K256" s="13"/>
      <c r="L256" s="13"/>
      <c r="M256" s="13"/>
      <c r="N256" s="14"/>
      <c r="O256" s="13"/>
      <c r="P256" s="13"/>
      <c r="Q256" s="13"/>
      <c r="R256" s="17"/>
    </row>
    <row r="257" ht="15.75" customHeight="1" spans="6:18">
      <c r="F257" s="13"/>
      <c r="G257" s="13"/>
      <c r="H257" s="13"/>
      <c r="I257" s="13"/>
      <c r="J257" s="13"/>
      <c r="K257" s="13"/>
      <c r="L257" s="13"/>
      <c r="M257" s="13"/>
      <c r="N257" s="14"/>
      <c r="O257" s="13"/>
      <c r="P257" s="13"/>
      <c r="Q257" s="13"/>
      <c r="R257" s="17"/>
    </row>
    <row r="258" ht="15.75" customHeight="1" spans="6:18">
      <c r="F258" s="13"/>
      <c r="G258" s="13"/>
      <c r="H258" s="13"/>
      <c r="I258" s="13"/>
      <c r="J258" s="13"/>
      <c r="K258" s="13"/>
      <c r="L258" s="13"/>
      <c r="M258" s="13"/>
      <c r="N258" s="14"/>
      <c r="O258" s="13"/>
      <c r="P258" s="13"/>
      <c r="Q258" s="13"/>
      <c r="R258" s="17"/>
    </row>
    <row r="259" ht="15.75" customHeight="1" spans="6:18">
      <c r="F259" s="13"/>
      <c r="G259" s="13"/>
      <c r="H259" s="13"/>
      <c r="I259" s="13"/>
      <c r="J259" s="13"/>
      <c r="K259" s="13"/>
      <c r="L259" s="13"/>
      <c r="M259" s="13"/>
      <c r="N259" s="14"/>
      <c r="O259" s="13"/>
      <c r="P259" s="13"/>
      <c r="Q259" s="13"/>
      <c r="R259" s="17"/>
    </row>
    <row r="260" ht="15.75" customHeight="1" spans="6:18">
      <c r="F260" s="13"/>
      <c r="G260" s="13"/>
      <c r="H260" s="13"/>
      <c r="I260" s="13"/>
      <c r="J260" s="13"/>
      <c r="K260" s="13"/>
      <c r="L260" s="13"/>
      <c r="M260" s="13"/>
      <c r="N260" s="14"/>
      <c r="O260" s="13"/>
      <c r="P260" s="13"/>
      <c r="Q260" s="13"/>
      <c r="R260" s="17"/>
    </row>
    <row r="261" ht="15.75" customHeight="1" spans="6:18">
      <c r="F261" s="13"/>
      <c r="G261" s="13"/>
      <c r="H261" s="13"/>
      <c r="I261" s="13"/>
      <c r="J261" s="13"/>
      <c r="K261" s="13"/>
      <c r="L261" s="13"/>
      <c r="M261" s="13"/>
      <c r="N261" s="14"/>
      <c r="O261" s="13"/>
      <c r="P261" s="13"/>
      <c r="Q261" s="13"/>
      <c r="R261" s="17"/>
    </row>
    <row r="262" ht="15.75" customHeight="1" spans="6:18">
      <c r="F262" s="13"/>
      <c r="G262" s="13"/>
      <c r="H262" s="13"/>
      <c r="I262" s="13"/>
      <c r="J262" s="13"/>
      <c r="K262" s="13"/>
      <c r="L262" s="13"/>
      <c r="M262" s="13"/>
      <c r="N262" s="14"/>
      <c r="O262" s="13"/>
      <c r="P262" s="13"/>
      <c r="Q262" s="13"/>
      <c r="R262" s="17"/>
    </row>
    <row r="263" ht="15.75" customHeight="1" spans="6:18">
      <c r="F263" s="13"/>
      <c r="G263" s="13"/>
      <c r="H263" s="13"/>
      <c r="I263" s="13"/>
      <c r="J263" s="13"/>
      <c r="K263" s="13"/>
      <c r="L263" s="13"/>
      <c r="M263" s="13"/>
      <c r="N263" s="14"/>
      <c r="O263" s="13"/>
      <c r="P263" s="13"/>
      <c r="Q263" s="13"/>
      <c r="R263" s="17"/>
    </row>
    <row r="264" ht="15.75" customHeight="1" spans="6:18">
      <c r="F264" s="13"/>
      <c r="G264" s="13"/>
      <c r="H264" s="13"/>
      <c r="I264" s="13"/>
      <c r="J264" s="13"/>
      <c r="K264" s="13"/>
      <c r="L264" s="13"/>
      <c r="M264" s="13"/>
      <c r="N264" s="14"/>
      <c r="O264" s="13"/>
      <c r="P264" s="13"/>
      <c r="Q264" s="13"/>
      <c r="R264" s="17"/>
    </row>
    <row r="265" ht="15.75" customHeight="1" spans="6:18">
      <c r="F265" s="13"/>
      <c r="G265" s="13"/>
      <c r="H265" s="13"/>
      <c r="I265" s="13"/>
      <c r="J265" s="13"/>
      <c r="K265" s="13"/>
      <c r="L265" s="13"/>
      <c r="M265" s="13"/>
      <c r="N265" s="14"/>
      <c r="O265" s="13"/>
      <c r="P265" s="13"/>
      <c r="Q265" s="13"/>
      <c r="R265" s="17"/>
    </row>
    <row r="266" ht="15.75" customHeight="1" spans="6:18">
      <c r="F266" s="13"/>
      <c r="G266" s="13"/>
      <c r="H266" s="13"/>
      <c r="I266" s="13"/>
      <c r="J266" s="13"/>
      <c r="K266" s="13"/>
      <c r="L266" s="13"/>
      <c r="M266" s="13"/>
      <c r="N266" s="14"/>
      <c r="O266" s="13"/>
      <c r="P266" s="13"/>
      <c r="Q266" s="13"/>
      <c r="R266" s="17"/>
    </row>
    <row r="267" ht="15.75" customHeight="1" spans="6:18">
      <c r="F267" s="13"/>
      <c r="G267" s="13"/>
      <c r="H267" s="13"/>
      <c r="I267" s="13"/>
      <c r="J267" s="13"/>
      <c r="K267" s="13"/>
      <c r="L267" s="13"/>
      <c r="M267" s="13"/>
      <c r="N267" s="14"/>
      <c r="O267" s="13"/>
      <c r="P267" s="13"/>
      <c r="Q267" s="13"/>
      <c r="R267" s="17"/>
    </row>
    <row r="268" ht="15.75" customHeight="1" spans="6:18">
      <c r="F268" s="13"/>
      <c r="G268" s="13"/>
      <c r="H268" s="13"/>
      <c r="I268" s="13"/>
      <c r="J268" s="13"/>
      <c r="K268" s="13"/>
      <c r="L268" s="13"/>
      <c r="M268" s="13"/>
      <c r="N268" s="14"/>
      <c r="O268" s="13"/>
      <c r="P268" s="13"/>
      <c r="Q268" s="13"/>
      <c r="R268" s="17"/>
    </row>
    <row r="269" ht="15.75" customHeight="1" spans="6:18">
      <c r="F269" s="13"/>
      <c r="G269" s="13"/>
      <c r="H269" s="13"/>
      <c r="I269" s="13"/>
      <c r="J269" s="13"/>
      <c r="K269" s="13"/>
      <c r="L269" s="13"/>
      <c r="M269" s="13"/>
      <c r="N269" s="14"/>
      <c r="O269" s="13"/>
      <c r="P269" s="13"/>
      <c r="Q269" s="13"/>
      <c r="R269" s="17"/>
    </row>
    <row r="270" ht="15.75" customHeight="1" spans="6:18">
      <c r="F270" s="13"/>
      <c r="G270" s="13"/>
      <c r="H270" s="13"/>
      <c r="I270" s="13"/>
      <c r="J270" s="13"/>
      <c r="K270" s="13"/>
      <c r="L270" s="13"/>
      <c r="M270" s="13"/>
      <c r="N270" s="14"/>
      <c r="O270" s="13"/>
      <c r="P270" s="13"/>
      <c r="Q270" s="13"/>
      <c r="R270" s="17"/>
    </row>
    <row r="271" ht="15.75" customHeight="1" spans="6:18">
      <c r="F271" s="13"/>
      <c r="G271" s="13"/>
      <c r="H271" s="13"/>
      <c r="I271" s="13"/>
      <c r="J271" s="13"/>
      <c r="K271" s="13"/>
      <c r="L271" s="13"/>
      <c r="M271" s="13"/>
      <c r="N271" s="14"/>
      <c r="O271" s="13"/>
      <c r="P271" s="13"/>
      <c r="Q271" s="13"/>
      <c r="R271" s="17"/>
    </row>
    <row r="272" ht="15.75" customHeight="1" spans="6:18">
      <c r="F272" s="13"/>
      <c r="G272" s="13"/>
      <c r="H272" s="13"/>
      <c r="I272" s="13"/>
      <c r="J272" s="13"/>
      <c r="K272" s="13"/>
      <c r="L272" s="13"/>
      <c r="M272" s="13"/>
      <c r="N272" s="14"/>
      <c r="O272" s="13"/>
      <c r="P272" s="13"/>
      <c r="Q272" s="13"/>
      <c r="R272" s="17"/>
    </row>
    <row r="273" ht="15.75" customHeight="1" spans="6:18">
      <c r="F273" s="13"/>
      <c r="G273" s="13"/>
      <c r="H273" s="13"/>
      <c r="I273" s="13"/>
      <c r="J273" s="13"/>
      <c r="K273" s="13"/>
      <c r="L273" s="13"/>
      <c r="M273" s="13"/>
      <c r="N273" s="14"/>
      <c r="O273" s="13"/>
      <c r="P273" s="13"/>
      <c r="Q273" s="13"/>
      <c r="R273" s="17"/>
    </row>
    <row r="274" ht="15.75" customHeight="1" spans="6:18">
      <c r="F274" s="13"/>
      <c r="G274" s="13"/>
      <c r="H274" s="13"/>
      <c r="I274" s="13"/>
      <c r="J274" s="13"/>
      <c r="K274" s="13"/>
      <c r="L274" s="13"/>
      <c r="M274" s="13"/>
      <c r="N274" s="14"/>
      <c r="O274" s="13"/>
      <c r="P274" s="13"/>
      <c r="Q274" s="13"/>
      <c r="R274" s="17"/>
    </row>
    <row r="275" ht="15.75" customHeight="1" spans="6:18">
      <c r="F275" s="13"/>
      <c r="G275" s="13"/>
      <c r="H275" s="13"/>
      <c r="I275" s="13"/>
      <c r="J275" s="13"/>
      <c r="K275" s="13"/>
      <c r="L275" s="13"/>
      <c r="M275" s="13"/>
      <c r="N275" s="14"/>
      <c r="O275" s="13"/>
      <c r="P275" s="13"/>
      <c r="Q275" s="13"/>
      <c r="R275" s="17"/>
    </row>
    <row r="276" ht="15.75" customHeight="1" spans="6:18">
      <c r="F276" s="13"/>
      <c r="G276" s="13"/>
      <c r="H276" s="13"/>
      <c r="I276" s="13"/>
      <c r="J276" s="13"/>
      <c r="K276" s="13"/>
      <c r="L276" s="13"/>
      <c r="M276" s="13"/>
      <c r="N276" s="14"/>
      <c r="O276" s="13"/>
      <c r="P276" s="13"/>
      <c r="Q276" s="13"/>
      <c r="R276" s="17"/>
    </row>
    <row r="277" ht="15.75" customHeight="1" spans="6:18">
      <c r="F277" s="13"/>
      <c r="G277" s="13"/>
      <c r="H277" s="13"/>
      <c r="I277" s="13"/>
      <c r="J277" s="13"/>
      <c r="K277" s="13"/>
      <c r="L277" s="13"/>
      <c r="M277" s="13"/>
      <c r="N277" s="14"/>
      <c r="O277" s="13"/>
      <c r="P277" s="13"/>
      <c r="Q277" s="13"/>
      <c r="R277" s="17"/>
    </row>
    <row r="278" ht="15.75" customHeight="1" spans="6:18">
      <c r="F278" s="13"/>
      <c r="G278" s="13"/>
      <c r="H278" s="13"/>
      <c r="I278" s="13"/>
      <c r="J278" s="13"/>
      <c r="K278" s="13"/>
      <c r="L278" s="13"/>
      <c r="M278" s="13"/>
      <c r="N278" s="14"/>
      <c r="O278" s="13"/>
      <c r="P278" s="13"/>
      <c r="Q278" s="13"/>
      <c r="R278" s="17"/>
    </row>
    <row r="279" ht="15.75" customHeight="1" spans="6:18">
      <c r="F279" s="13"/>
      <c r="G279" s="13"/>
      <c r="H279" s="13"/>
      <c r="I279" s="13"/>
      <c r="J279" s="13"/>
      <c r="K279" s="13"/>
      <c r="L279" s="13"/>
      <c r="M279" s="13"/>
      <c r="N279" s="14"/>
      <c r="O279" s="13"/>
      <c r="P279" s="13"/>
      <c r="Q279" s="13"/>
      <c r="R279" s="17"/>
    </row>
    <row r="280" ht="15.75" customHeight="1" spans="6:18">
      <c r="F280" s="13"/>
      <c r="G280" s="13"/>
      <c r="H280" s="13"/>
      <c r="I280" s="13"/>
      <c r="J280" s="13"/>
      <c r="K280" s="13"/>
      <c r="L280" s="13"/>
      <c r="M280" s="13"/>
      <c r="N280" s="14"/>
      <c r="O280" s="13"/>
      <c r="P280" s="13"/>
      <c r="Q280" s="13"/>
      <c r="R280" s="17"/>
    </row>
    <row r="281" ht="15.75" customHeight="1" spans="6:18">
      <c r="F281" s="13"/>
      <c r="G281" s="13"/>
      <c r="H281" s="13"/>
      <c r="I281" s="13"/>
      <c r="J281" s="13"/>
      <c r="K281" s="13"/>
      <c r="L281" s="13"/>
      <c r="M281" s="13"/>
      <c r="N281" s="14"/>
      <c r="O281" s="13"/>
      <c r="P281" s="13"/>
      <c r="Q281" s="13"/>
      <c r="R281" s="17"/>
    </row>
    <row r="282" ht="15.75" customHeight="1" spans="6:18">
      <c r="F282" s="13"/>
      <c r="G282" s="13"/>
      <c r="H282" s="13"/>
      <c r="I282" s="13"/>
      <c r="J282" s="13"/>
      <c r="K282" s="13"/>
      <c r="L282" s="13"/>
      <c r="M282" s="13"/>
      <c r="N282" s="14"/>
      <c r="O282" s="13"/>
      <c r="P282" s="13"/>
      <c r="Q282" s="13"/>
      <c r="R282" s="17"/>
    </row>
    <row r="283" ht="15.75" customHeight="1" spans="6:18">
      <c r="F283" s="13"/>
      <c r="G283" s="13"/>
      <c r="H283" s="13"/>
      <c r="I283" s="13"/>
      <c r="J283" s="13"/>
      <c r="K283" s="13"/>
      <c r="L283" s="13"/>
      <c r="M283" s="13"/>
      <c r="N283" s="14"/>
      <c r="O283" s="13"/>
      <c r="P283" s="13"/>
      <c r="Q283" s="13"/>
      <c r="R283" s="17"/>
    </row>
    <row r="284" ht="15.75" customHeight="1" spans="6:18">
      <c r="F284" s="13"/>
      <c r="G284" s="13"/>
      <c r="H284" s="13"/>
      <c r="I284" s="13"/>
      <c r="J284" s="13"/>
      <c r="K284" s="13"/>
      <c r="L284" s="13"/>
      <c r="M284" s="13"/>
      <c r="N284" s="14"/>
      <c r="O284" s="13"/>
      <c r="P284" s="13"/>
      <c r="Q284" s="13"/>
      <c r="R284" s="17"/>
    </row>
    <row r="285" ht="15.75" customHeight="1" spans="6:18">
      <c r="F285" s="13"/>
      <c r="G285" s="13"/>
      <c r="H285" s="13"/>
      <c r="I285" s="13"/>
      <c r="J285" s="13"/>
      <c r="K285" s="13"/>
      <c r="L285" s="13"/>
      <c r="M285" s="13"/>
      <c r="N285" s="14"/>
      <c r="O285" s="13"/>
      <c r="P285" s="13"/>
      <c r="Q285" s="13"/>
      <c r="R285" s="17"/>
    </row>
    <row r="286" ht="15.75" customHeight="1" spans="6:18">
      <c r="F286" s="13"/>
      <c r="G286" s="13"/>
      <c r="H286" s="13"/>
      <c r="I286" s="13"/>
      <c r="J286" s="13"/>
      <c r="K286" s="13"/>
      <c r="L286" s="13"/>
      <c r="M286" s="13"/>
      <c r="N286" s="14"/>
      <c r="O286" s="13"/>
      <c r="P286" s="13"/>
      <c r="Q286" s="13"/>
      <c r="R286" s="17"/>
    </row>
    <row r="287" ht="15.75" customHeight="1" spans="6:18">
      <c r="F287" s="13"/>
      <c r="G287" s="13"/>
      <c r="H287" s="13"/>
      <c r="I287" s="13"/>
      <c r="J287" s="13"/>
      <c r="K287" s="13"/>
      <c r="L287" s="13"/>
      <c r="M287" s="13"/>
      <c r="N287" s="14"/>
      <c r="O287" s="13"/>
      <c r="P287" s="13"/>
      <c r="Q287" s="13"/>
      <c r="R287" s="17"/>
    </row>
    <row r="288" ht="15.75" customHeight="1" spans="6:18">
      <c r="F288" s="13"/>
      <c r="G288" s="13"/>
      <c r="H288" s="13"/>
      <c r="I288" s="13"/>
      <c r="J288" s="13"/>
      <c r="K288" s="13"/>
      <c r="L288" s="13"/>
      <c r="M288" s="13"/>
      <c r="N288" s="14"/>
      <c r="O288" s="13"/>
      <c r="P288" s="13"/>
      <c r="Q288" s="13"/>
      <c r="R288" s="17"/>
    </row>
    <row r="289" ht="15.75" customHeight="1" spans="6:18">
      <c r="F289" s="13"/>
      <c r="G289" s="13"/>
      <c r="H289" s="13"/>
      <c r="I289" s="13"/>
      <c r="J289" s="13"/>
      <c r="K289" s="13"/>
      <c r="L289" s="13"/>
      <c r="M289" s="13"/>
      <c r="N289" s="14"/>
      <c r="O289" s="13"/>
      <c r="P289" s="13"/>
      <c r="Q289" s="13"/>
      <c r="R289" s="17"/>
    </row>
    <row r="290" ht="15.75" customHeight="1" spans="6:18">
      <c r="F290" s="13"/>
      <c r="G290" s="13"/>
      <c r="H290" s="13"/>
      <c r="I290" s="13"/>
      <c r="J290" s="13"/>
      <c r="K290" s="13"/>
      <c r="L290" s="13"/>
      <c r="M290" s="13"/>
      <c r="N290" s="14"/>
      <c r="O290" s="13"/>
      <c r="P290" s="13"/>
      <c r="Q290" s="13"/>
      <c r="R290" s="17"/>
    </row>
    <row r="291" ht="15.75" customHeight="1" spans="6:18">
      <c r="F291" s="13"/>
      <c r="G291" s="13"/>
      <c r="H291" s="13"/>
      <c r="I291" s="13"/>
      <c r="J291" s="13"/>
      <c r="K291" s="13"/>
      <c r="L291" s="13"/>
      <c r="M291" s="13"/>
      <c r="N291" s="14"/>
      <c r="O291" s="13"/>
      <c r="P291" s="13"/>
      <c r="Q291" s="13"/>
      <c r="R291" s="17"/>
    </row>
    <row r="292" ht="15.75" customHeight="1" spans="6:18">
      <c r="F292" s="13"/>
      <c r="G292" s="13"/>
      <c r="H292" s="13"/>
      <c r="I292" s="13"/>
      <c r="J292" s="13"/>
      <c r="K292" s="13"/>
      <c r="L292" s="13"/>
      <c r="M292" s="13"/>
      <c r="N292" s="14"/>
      <c r="O292" s="13"/>
      <c r="P292" s="13"/>
      <c r="Q292" s="13"/>
      <c r="R292" s="17"/>
    </row>
    <row r="293" ht="15.75" customHeight="1" spans="6:18">
      <c r="F293" s="13"/>
      <c r="G293" s="13"/>
      <c r="H293" s="13"/>
      <c r="I293" s="13"/>
      <c r="J293" s="13"/>
      <c r="K293" s="13"/>
      <c r="L293" s="13"/>
      <c r="M293" s="13"/>
      <c r="N293" s="14"/>
      <c r="O293" s="13"/>
      <c r="P293" s="13"/>
      <c r="Q293" s="13"/>
      <c r="R293" s="17"/>
    </row>
    <row r="294" ht="15.75" customHeight="1" spans="6:18">
      <c r="F294" s="13"/>
      <c r="G294" s="13"/>
      <c r="H294" s="13"/>
      <c r="I294" s="13"/>
      <c r="J294" s="13"/>
      <c r="K294" s="13"/>
      <c r="L294" s="13"/>
      <c r="M294" s="13"/>
      <c r="N294" s="14"/>
      <c r="O294" s="13"/>
      <c r="P294" s="13"/>
      <c r="Q294" s="13"/>
      <c r="R294" s="17"/>
    </row>
    <row r="295" ht="15.75" customHeight="1" spans="6:18">
      <c r="F295" s="13"/>
      <c r="G295" s="13"/>
      <c r="H295" s="13"/>
      <c r="I295" s="13"/>
      <c r="J295" s="13"/>
      <c r="K295" s="13"/>
      <c r="L295" s="13"/>
      <c r="M295" s="13"/>
      <c r="N295" s="14"/>
      <c r="O295" s="13"/>
      <c r="P295" s="13"/>
      <c r="Q295" s="13"/>
      <c r="R295" s="17"/>
    </row>
    <row r="296" ht="15.75" customHeight="1" spans="6:18">
      <c r="F296" s="13"/>
      <c r="G296" s="13"/>
      <c r="H296" s="13"/>
      <c r="I296" s="13"/>
      <c r="J296" s="13"/>
      <c r="K296" s="13"/>
      <c r="L296" s="13"/>
      <c r="M296" s="13"/>
      <c r="N296" s="14"/>
      <c r="O296" s="13"/>
      <c r="P296" s="13"/>
      <c r="Q296" s="13"/>
      <c r="R296" s="17"/>
    </row>
    <row r="297" ht="15.75" customHeight="1" spans="6:18">
      <c r="F297" s="13"/>
      <c r="G297" s="13"/>
      <c r="H297" s="13"/>
      <c r="I297" s="13"/>
      <c r="J297" s="13"/>
      <c r="K297" s="13"/>
      <c r="L297" s="13"/>
      <c r="M297" s="13"/>
      <c r="N297" s="14"/>
      <c r="O297" s="13"/>
      <c r="P297" s="13"/>
      <c r="Q297" s="13"/>
      <c r="R297" s="17"/>
    </row>
    <row r="298" ht="15.75" customHeight="1" spans="6:18">
      <c r="F298" s="13"/>
      <c r="G298" s="13"/>
      <c r="H298" s="13"/>
      <c r="I298" s="13"/>
      <c r="J298" s="13"/>
      <c r="K298" s="13"/>
      <c r="L298" s="13"/>
      <c r="M298" s="13"/>
      <c r="N298" s="14"/>
      <c r="O298" s="13"/>
      <c r="P298" s="13"/>
      <c r="Q298" s="13"/>
      <c r="R298" s="17"/>
    </row>
    <row r="299" ht="15.75" customHeight="1" spans="6:18">
      <c r="F299" s="13"/>
      <c r="G299" s="13"/>
      <c r="H299" s="13"/>
      <c r="I299" s="13"/>
      <c r="J299" s="13"/>
      <c r="K299" s="13"/>
      <c r="L299" s="13"/>
      <c r="M299" s="13"/>
      <c r="N299" s="14"/>
      <c r="O299" s="13"/>
      <c r="P299" s="13"/>
      <c r="Q299" s="13"/>
      <c r="R299" s="17"/>
    </row>
    <row r="300" ht="15.75" customHeight="1" spans="6:18">
      <c r="F300" s="13"/>
      <c r="G300" s="13"/>
      <c r="H300" s="13"/>
      <c r="I300" s="13"/>
      <c r="J300" s="13"/>
      <c r="K300" s="13"/>
      <c r="L300" s="13"/>
      <c r="M300" s="13"/>
      <c r="N300" s="14"/>
      <c r="O300" s="13"/>
      <c r="P300" s="13"/>
      <c r="Q300" s="13"/>
      <c r="R300" s="17"/>
    </row>
    <row r="301" ht="15.75" customHeight="1" spans="6:18">
      <c r="F301" s="13"/>
      <c r="G301" s="13"/>
      <c r="H301" s="13"/>
      <c r="I301" s="13"/>
      <c r="J301" s="13"/>
      <c r="K301" s="13"/>
      <c r="L301" s="13"/>
      <c r="M301" s="13"/>
      <c r="N301" s="14"/>
      <c r="O301" s="13"/>
      <c r="P301" s="13"/>
      <c r="Q301" s="13"/>
      <c r="R301" s="17"/>
    </row>
    <row r="302" ht="15.75" customHeight="1" spans="6:18">
      <c r="F302" s="13"/>
      <c r="G302" s="13"/>
      <c r="H302" s="13"/>
      <c r="I302" s="13"/>
      <c r="J302" s="13"/>
      <c r="K302" s="13"/>
      <c r="L302" s="13"/>
      <c r="M302" s="13"/>
      <c r="N302" s="14"/>
      <c r="O302" s="13"/>
      <c r="P302" s="13"/>
      <c r="Q302" s="13"/>
      <c r="R302" s="17"/>
    </row>
    <row r="303" ht="15.75" customHeight="1" spans="6:18">
      <c r="F303" s="13"/>
      <c r="G303" s="13"/>
      <c r="H303" s="13"/>
      <c r="I303" s="13"/>
      <c r="J303" s="13"/>
      <c r="K303" s="13"/>
      <c r="L303" s="13"/>
      <c r="M303" s="13"/>
      <c r="N303" s="14"/>
      <c r="O303" s="13"/>
      <c r="P303" s="13"/>
      <c r="Q303" s="13"/>
      <c r="R303" s="17"/>
    </row>
    <row r="304" ht="15.75" customHeight="1" spans="6:18">
      <c r="F304" s="13"/>
      <c r="G304" s="13"/>
      <c r="H304" s="13"/>
      <c r="I304" s="13"/>
      <c r="J304" s="13"/>
      <c r="K304" s="13"/>
      <c r="L304" s="13"/>
      <c r="M304" s="13"/>
      <c r="N304" s="14"/>
      <c r="O304" s="13"/>
      <c r="P304" s="13"/>
      <c r="Q304" s="13"/>
      <c r="R304" s="17"/>
    </row>
    <row r="305" ht="15.75" customHeight="1" spans="6:18">
      <c r="F305" s="13"/>
      <c r="G305" s="13"/>
      <c r="H305" s="13"/>
      <c r="I305" s="13"/>
      <c r="J305" s="13"/>
      <c r="K305" s="13"/>
      <c r="L305" s="13"/>
      <c r="M305" s="13"/>
      <c r="N305" s="14"/>
      <c r="O305" s="13"/>
      <c r="P305" s="13"/>
      <c r="Q305" s="13"/>
      <c r="R305" s="17"/>
    </row>
    <row r="306" ht="15.75" customHeight="1" spans="6:18">
      <c r="F306" s="13"/>
      <c r="G306" s="13"/>
      <c r="H306" s="13"/>
      <c r="I306" s="13"/>
      <c r="J306" s="13"/>
      <c r="K306" s="13"/>
      <c r="L306" s="13"/>
      <c r="M306" s="13"/>
      <c r="N306" s="14"/>
      <c r="O306" s="13"/>
      <c r="P306" s="13"/>
      <c r="Q306" s="13"/>
      <c r="R306" s="17"/>
    </row>
    <row r="307" ht="15.75" customHeight="1" spans="6:18">
      <c r="F307" s="13"/>
      <c r="G307" s="13"/>
      <c r="H307" s="13"/>
      <c r="I307" s="13"/>
      <c r="J307" s="13"/>
      <c r="K307" s="13"/>
      <c r="L307" s="13"/>
      <c r="M307" s="13"/>
      <c r="N307" s="14"/>
      <c r="O307" s="13"/>
      <c r="P307" s="13"/>
      <c r="Q307" s="13"/>
      <c r="R307" s="17"/>
    </row>
    <row r="308" ht="15.75" customHeight="1" spans="6:18">
      <c r="F308" s="13"/>
      <c r="G308" s="13"/>
      <c r="H308" s="13"/>
      <c r="I308" s="13"/>
      <c r="J308" s="13"/>
      <c r="K308" s="13"/>
      <c r="L308" s="13"/>
      <c r="M308" s="13"/>
      <c r="N308" s="14"/>
      <c r="O308" s="13"/>
      <c r="P308" s="13"/>
      <c r="Q308" s="13"/>
      <c r="R308" s="17"/>
    </row>
    <row r="309" ht="15.75" customHeight="1" spans="6:18">
      <c r="F309" s="13"/>
      <c r="G309" s="13"/>
      <c r="H309" s="13"/>
      <c r="I309" s="13"/>
      <c r="J309" s="13"/>
      <c r="K309" s="13"/>
      <c r="L309" s="13"/>
      <c r="M309" s="13"/>
      <c r="N309" s="14"/>
      <c r="O309" s="13"/>
      <c r="P309" s="13"/>
      <c r="Q309" s="13"/>
      <c r="R309" s="17"/>
    </row>
    <row r="310" ht="15.75" customHeight="1" spans="6:18">
      <c r="F310" s="13"/>
      <c r="G310" s="13"/>
      <c r="H310" s="13"/>
      <c r="I310" s="13"/>
      <c r="J310" s="13"/>
      <c r="K310" s="13"/>
      <c r="L310" s="13"/>
      <c r="M310" s="13"/>
      <c r="N310" s="14"/>
      <c r="O310" s="13"/>
      <c r="P310" s="13"/>
      <c r="Q310" s="13"/>
      <c r="R310" s="17"/>
    </row>
    <row r="311" ht="15.75" customHeight="1" spans="6:18">
      <c r="F311" s="13"/>
      <c r="G311" s="13"/>
      <c r="H311" s="13"/>
      <c r="I311" s="13"/>
      <c r="J311" s="13"/>
      <c r="K311" s="13"/>
      <c r="L311" s="13"/>
      <c r="M311" s="13"/>
      <c r="N311" s="14"/>
      <c r="O311" s="13"/>
      <c r="P311" s="13"/>
      <c r="Q311" s="13"/>
      <c r="R311" s="17"/>
    </row>
    <row r="312" ht="15.75" customHeight="1" spans="6:18">
      <c r="F312" s="13"/>
      <c r="G312" s="13"/>
      <c r="H312" s="13"/>
      <c r="I312" s="13"/>
      <c r="J312" s="13"/>
      <c r="K312" s="13"/>
      <c r="L312" s="13"/>
      <c r="M312" s="13"/>
      <c r="N312" s="14"/>
      <c r="O312" s="13"/>
      <c r="P312" s="13"/>
      <c r="Q312" s="13"/>
      <c r="R312" s="17"/>
    </row>
    <row r="313" ht="15.75" customHeight="1" spans="6:18">
      <c r="F313" s="13"/>
      <c r="G313" s="13"/>
      <c r="H313" s="13"/>
      <c r="I313" s="13"/>
      <c r="J313" s="13"/>
      <c r="K313" s="13"/>
      <c r="L313" s="13"/>
      <c r="M313" s="13"/>
      <c r="N313" s="14"/>
      <c r="O313" s="13"/>
      <c r="P313" s="13"/>
      <c r="Q313" s="13"/>
      <c r="R313" s="17"/>
    </row>
    <row r="314" ht="15.75" customHeight="1" spans="6:18">
      <c r="F314" s="13"/>
      <c r="G314" s="13"/>
      <c r="H314" s="13"/>
      <c r="I314" s="13"/>
      <c r="J314" s="13"/>
      <c r="K314" s="13"/>
      <c r="L314" s="13"/>
      <c r="M314" s="13"/>
      <c r="N314" s="14"/>
      <c r="O314" s="13"/>
      <c r="P314" s="13"/>
      <c r="Q314" s="13"/>
      <c r="R314" s="17"/>
    </row>
    <row r="315" ht="15.75" customHeight="1" spans="6:18">
      <c r="F315" s="13"/>
      <c r="G315" s="13"/>
      <c r="H315" s="13"/>
      <c r="I315" s="13"/>
      <c r="J315" s="13"/>
      <c r="K315" s="13"/>
      <c r="L315" s="13"/>
      <c r="M315" s="13"/>
      <c r="N315" s="14"/>
      <c r="O315" s="13"/>
      <c r="P315" s="13"/>
      <c r="Q315" s="13"/>
      <c r="R315" s="17"/>
    </row>
    <row r="316" ht="15.75" customHeight="1" spans="6:18">
      <c r="F316" s="13"/>
      <c r="G316" s="13"/>
      <c r="H316" s="13"/>
      <c r="I316" s="13"/>
      <c r="J316" s="13"/>
      <c r="K316" s="13"/>
      <c r="L316" s="13"/>
      <c r="M316" s="13"/>
      <c r="N316" s="14"/>
      <c r="O316" s="13"/>
      <c r="P316" s="13"/>
      <c r="Q316" s="13"/>
      <c r="R316" s="17"/>
    </row>
    <row r="317" ht="15.75" customHeight="1" spans="6:18">
      <c r="F317" s="13"/>
      <c r="G317" s="13"/>
      <c r="H317" s="13"/>
      <c r="I317" s="13"/>
      <c r="J317" s="13"/>
      <c r="K317" s="13"/>
      <c r="L317" s="13"/>
      <c r="M317" s="13"/>
      <c r="N317" s="14"/>
      <c r="O317" s="13"/>
      <c r="P317" s="13"/>
      <c r="Q317" s="13"/>
      <c r="R317" s="17"/>
    </row>
    <row r="318" ht="15.75" customHeight="1" spans="6:18">
      <c r="F318" s="13"/>
      <c r="G318" s="13"/>
      <c r="H318" s="13"/>
      <c r="I318" s="13"/>
      <c r="J318" s="13"/>
      <c r="K318" s="13"/>
      <c r="L318" s="13"/>
      <c r="M318" s="13"/>
      <c r="N318" s="14"/>
      <c r="O318" s="13"/>
      <c r="P318" s="13"/>
      <c r="Q318" s="13"/>
      <c r="R318" s="17"/>
    </row>
    <row r="319" ht="15.75" customHeight="1" spans="6:18">
      <c r="F319" s="13"/>
      <c r="G319" s="13"/>
      <c r="H319" s="13"/>
      <c r="I319" s="13"/>
      <c r="J319" s="13"/>
      <c r="K319" s="13"/>
      <c r="L319" s="13"/>
      <c r="M319" s="13"/>
      <c r="N319" s="14"/>
      <c r="O319" s="13"/>
      <c r="P319" s="13"/>
      <c r="Q319" s="13"/>
      <c r="R319" s="17"/>
    </row>
    <row r="320" ht="15.75" customHeight="1" spans="6:18">
      <c r="F320" s="13"/>
      <c r="G320" s="13"/>
      <c r="H320" s="13"/>
      <c r="I320" s="13"/>
      <c r="J320" s="13"/>
      <c r="K320" s="13"/>
      <c r="L320" s="13"/>
      <c r="M320" s="13"/>
      <c r="N320" s="14"/>
      <c r="O320" s="13"/>
      <c r="P320" s="13"/>
      <c r="Q320" s="13"/>
      <c r="R320" s="17"/>
    </row>
    <row r="321" ht="15.75" customHeight="1" spans="6:18">
      <c r="F321" s="13"/>
      <c r="G321" s="13"/>
      <c r="H321" s="13"/>
      <c r="I321" s="13"/>
      <c r="J321" s="13"/>
      <c r="K321" s="13"/>
      <c r="L321" s="13"/>
      <c r="M321" s="13"/>
      <c r="N321" s="14"/>
      <c r="O321" s="13"/>
      <c r="P321" s="13"/>
      <c r="Q321" s="13"/>
      <c r="R321" s="17"/>
    </row>
    <row r="322" ht="15.75" customHeight="1" spans="6:18">
      <c r="F322" s="13"/>
      <c r="G322" s="13"/>
      <c r="H322" s="13"/>
      <c r="I322" s="13"/>
      <c r="J322" s="13"/>
      <c r="K322" s="13"/>
      <c r="L322" s="13"/>
      <c r="M322" s="13"/>
      <c r="N322" s="14"/>
      <c r="O322" s="13"/>
      <c r="P322" s="13"/>
      <c r="Q322" s="13"/>
      <c r="R322" s="17"/>
    </row>
    <row r="323" ht="15.75" customHeight="1" spans="6:18">
      <c r="F323" s="13"/>
      <c r="G323" s="13"/>
      <c r="H323" s="13"/>
      <c r="I323" s="13"/>
      <c r="J323" s="13"/>
      <c r="K323" s="13"/>
      <c r="L323" s="13"/>
      <c r="M323" s="13"/>
      <c r="N323" s="14"/>
      <c r="O323" s="13"/>
      <c r="P323" s="13"/>
      <c r="Q323" s="13"/>
      <c r="R323" s="17"/>
    </row>
    <row r="324" ht="15.75" customHeight="1" spans="6:18">
      <c r="F324" s="13"/>
      <c r="G324" s="13"/>
      <c r="H324" s="13"/>
      <c r="I324" s="13"/>
      <c r="J324" s="13"/>
      <c r="K324" s="13"/>
      <c r="L324" s="13"/>
      <c r="M324" s="13"/>
      <c r="N324" s="14"/>
      <c r="O324" s="13"/>
      <c r="P324" s="13"/>
      <c r="Q324" s="13"/>
      <c r="R324" s="17"/>
    </row>
    <row r="325" ht="15.75" customHeight="1" spans="6:18">
      <c r="F325" s="13"/>
      <c r="G325" s="13"/>
      <c r="H325" s="13"/>
      <c r="I325" s="13"/>
      <c r="J325" s="13"/>
      <c r="K325" s="13"/>
      <c r="L325" s="13"/>
      <c r="M325" s="13"/>
      <c r="N325" s="14"/>
      <c r="O325" s="13"/>
      <c r="P325" s="13"/>
      <c r="Q325" s="13"/>
      <c r="R325" s="17"/>
    </row>
    <row r="326" ht="15.75" customHeight="1" spans="6:18">
      <c r="F326" s="13"/>
      <c r="G326" s="13"/>
      <c r="H326" s="13"/>
      <c r="I326" s="13"/>
      <c r="J326" s="13"/>
      <c r="K326" s="13"/>
      <c r="L326" s="13"/>
      <c r="M326" s="13"/>
      <c r="N326" s="14"/>
      <c r="O326" s="13"/>
      <c r="P326" s="13"/>
      <c r="Q326" s="13"/>
      <c r="R326" s="17"/>
    </row>
    <row r="327" ht="15.75" customHeight="1" spans="6:18">
      <c r="F327" s="13"/>
      <c r="G327" s="13"/>
      <c r="H327" s="13"/>
      <c r="I327" s="13"/>
      <c r="J327" s="13"/>
      <c r="K327" s="13"/>
      <c r="L327" s="13"/>
      <c r="M327" s="13"/>
      <c r="N327" s="14"/>
      <c r="O327" s="13"/>
      <c r="P327" s="13"/>
      <c r="Q327" s="13"/>
      <c r="R327" s="17"/>
    </row>
    <row r="328" ht="15.75" customHeight="1" spans="6:18">
      <c r="F328" s="13"/>
      <c r="G328" s="13"/>
      <c r="H328" s="13"/>
      <c r="I328" s="13"/>
      <c r="J328" s="13"/>
      <c r="K328" s="13"/>
      <c r="L328" s="13"/>
      <c r="M328" s="13"/>
      <c r="N328" s="14"/>
      <c r="O328" s="13"/>
      <c r="P328" s="13"/>
      <c r="Q328" s="13"/>
      <c r="R328" s="17"/>
    </row>
    <row r="329" ht="15.75" customHeight="1" spans="6:18">
      <c r="F329" s="13"/>
      <c r="G329" s="13"/>
      <c r="H329" s="13"/>
      <c r="I329" s="13"/>
      <c r="J329" s="13"/>
      <c r="K329" s="13"/>
      <c r="L329" s="13"/>
      <c r="M329" s="13"/>
      <c r="N329" s="14"/>
      <c r="O329" s="13"/>
      <c r="P329" s="13"/>
      <c r="Q329" s="13"/>
      <c r="R329" s="17"/>
    </row>
    <row r="330" ht="15.75" customHeight="1" spans="6:18">
      <c r="F330" s="13"/>
      <c r="G330" s="13"/>
      <c r="H330" s="13"/>
      <c r="I330" s="13"/>
      <c r="J330" s="13"/>
      <c r="K330" s="13"/>
      <c r="L330" s="13"/>
      <c r="M330" s="13"/>
      <c r="N330" s="14"/>
      <c r="O330" s="13"/>
      <c r="P330" s="13"/>
      <c r="Q330" s="13"/>
      <c r="R330" s="17"/>
    </row>
    <row r="331" ht="15.75" customHeight="1" spans="6:18">
      <c r="F331" s="13"/>
      <c r="G331" s="13"/>
      <c r="H331" s="13"/>
      <c r="I331" s="13"/>
      <c r="J331" s="13"/>
      <c r="K331" s="13"/>
      <c r="L331" s="13"/>
      <c r="M331" s="13"/>
      <c r="N331" s="14"/>
      <c r="O331" s="13"/>
      <c r="P331" s="13"/>
      <c r="Q331" s="13"/>
      <c r="R331" s="17"/>
    </row>
    <row r="332" ht="15.75" customHeight="1" spans="6:18">
      <c r="F332" s="13"/>
      <c r="G332" s="13"/>
      <c r="H332" s="13"/>
      <c r="I332" s="13"/>
      <c r="J332" s="13"/>
      <c r="K332" s="13"/>
      <c r="L332" s="13"/>
      <c r="M332" s="13"/>
      <c r="N332" s="14"/>
      <c r="O332" s="13"/>
      <c r="P332" s="13"/>
      <c r="Q332" s="13"/>
      <c r="R332" s="17"/>
    </row>
    <row r="333" ht="15.75" customHeight="1" spans="6:18">
      <c r="F333" s="13"/>
      <c r="G333" s="13"/>
      <c r="H333" s="13"/>
      <c r="I333" s="13"/>
      <c r="J333" s="13"/>
      <c r="K333" s="13"/>
      <c r="L333" s="13"/>
      <c r="M333" s="13"/>
      <c r="N333" s="14"/>
      <c r="O333" s="13"/>
      <c r="P333" s="13"/>
      <c r="Q333" s="13"/>
      <c r="R333" s="17"/>
    </row>
    <row r="334" ht="15.75" customHeight="1" spans="6:18">
      <c r="F334" s="13"/>
      <c r="G334" s="13"/>
      <c r="H334" s="13"/>
      <c r="I334" s="13"/>
      <c r="J334" s="13"/>
      <c r="K334" s="13"/>
      <c r="L334" s="13"/>
      <c r="M334" s="13"/>
      <c r="N334" s="14"/>
      <c r="O334" s="13"/>
      <c r="P334" s="13"/>
      <c r="Q334" s="13"/>
      <c r="R334" s="17"/>
    </row>
    <row r="335" ht="15.75" customHeight="1" spans="6:18">
      <c r="F335" s="13"/>
      <c r="G335" s="13"/>
      <c r="H335" s="13"/>
      <c r="I335" s="13"/>
      <c r="J335" s="13"/>
      <c r="K335" s="13"/>
      <c r="L335" s="13"/>
      <c r="M335" s="13"/>
      <c r="N335" s="14"/>
      <c r="O335" s="13"/>
      <c r="P335" s="13"/>
      <c r="Q335" s="13"/>
      <c r="R335" s="17"/>
    </row>
    <row r="336" ht="15.75" customHeight="1" spans="6:18">
      <c r="F336" s="13"/>
      <c r="G336" s="13"/>
      <c r="H336" s="13"/>
      <c r="I336" s="13"/>
      <c r="J336" s="13"/>
      <c r="K336" s="13"/>
      <c r="L336" s="13"/>
      <c r="M336" s="13"/>
      <c r="N336" s="14"/>
      <c r="O336" s="13"/>
      <c r="P336" s="13"/>
      <c r="Q336" s="13"/>
      <c r="R336" s="17"/>
    </row>
    <row r="337" ht="15.75" customHeight="1" spans="6:18">
      <c r="F337" s="13"/>
      <c r="G337" s="13"/>
      <c r="H337" s="13"/>
      <c r="I337" s="13"/>
      <c r="J337" s="13"/>
      <c r="K337" s="13"/>
      <c r="L337" s="13"/>
      <c r="M337" s="13"/>
      <c r="N337" s="14"/>
      <c r="O337" s="13"/>
      <c r="P337" s="13"/>
      <c r="Q337" s="13"/>
      <c r="R337" s="17"/>
    </row>
    <row r="338" ht="15.75" customHeight="1" spans="6:18">
      <c r="F338" s="13"/>
      <c r="G338" s="13"/>
      <c r="H338" s="13"/>
      <c r="I338" s="13"/>
      <c r="J338" s="13"/>
      <c r="K338" s="13"/>
      <c r="L338" s="13"/>
      <c r="M338" s="13"/>
      <c r="N338" s="14"/>
      <c r="O338" s="13"/>
      <c r="P338" s="13"/>
      <c r="Q338" s="13"/>
      <c r="R338" s="17"/>
    </row>
    <row r="339" ht="15.75" customHeight="1" spans="6:18">
      <c r="F339" s="13"/>
      <c r="G339" s="13"/>
      <c r="H339" s="13"/>
      <c r="I339" s="13"/>
      <c r="J339" s="13"/>
      <c r="K339" s="13"/>
      <c r="L339" s="13"/>
      <c r="M339" s="13"/>
      <c r="N339" s="14"/>
      <c r="O339" s="13"/>
      <c r="P339" s="13"/>
      <c r="Q339" s="13"/>
      <c r="R339" s="17"/>
    </row>
    <row r="340" ht="15.75" customHeight="1" spans="6:18">
      <c r="F340" s="13"/>
      <c r="G340" s="13"/>
      <c r="H340" s="13"/>
      <c r="I340" s="13"/>
      <c r="J340" s="13"/>
      <c r="K340" s="13"/>
      <c r="L340" s="13"/>
      <c r="M340" s="13"/>
      <c r="N340" s="14"/>
      <c r="O340" s="13"/>
      <c r="P340" s="13"/>
      <c r="Q340" s="13"/>
      <c r="R340" s="17"/>
    </row>
    <row r="341" ht="15.75" customHeight="1" spans="6:18">
      <c r="F341" s="13"/>
      <c r="G341" s="13"/>
      <c r="H341" s="13"/>
      <c r="I341" s="13"/>
      <c r="J341" s="13"/>
      <c r="K341" s="13"/>
      <c r="L341" s="13"/>
      <c r="M341" s="13"/>
      <c r="N341" s="14"/>
      <c r="O341" s="13"/>
      <c r="P341" s="13"/>
      <c r="Q341" s="13"/>
      <c r="R341" s="17"/>
    </row>
    <row r="342" ht="15.75" customHeight="1" spans="6:18">
      <c r="F342" s="13"/>
      <c r="G342" s="13"/>
      <c r="H342" s="13"/>
      <c r="I342" s="13"/>
      <c r="J342" s="13"/>
      <c r="K342" s="13"/>
      <c r="L342" s="13"/>
      <c r="M342" s="13"/>
      <c r="N342" s="14"/>
      <c r="O342" s="13"/>
      <c r="P342" s="13"/>
      <c r="Q342" s="13"/>
      <c r="R342" s="17"/>
    </row>
    <row r="343" ht="15.75" customHeight="1" spans="6:18">
      <c r="F343" s="13"/>
      <c r="G343" s="13"/>
      <c r="H343" s="13"/>
      <c r="I343" s="13"/>
      <c r="J343" s="13"/>
      <c r="K343" s="13"/>
      <c r="L343" s="13"/>
      <c r="M343" s="13"/>
      <c r="N343" s="14"/>
      <c r="O343" s="13"/>
      <c r="P343" s="13"/>
      <c r="Q343" s="13"/>
      <c r="R343" s="17"/>
    </row>
    <row r="344" ht="15.75" customHeight="1" spans="6:18">
      <c r="F344" s="13"/>
      <c r="G344" s="13"/>
      <c r="H344" s="13"/>
      <c r="I344" s="13"/>
      <c r="J344" s="13"/>
      <c r="K344" s="13"/>
      <c r="L344" s="13"/>
      <c r="M344" s="13"/>
      <c r="N344" s="14"/>
      <c r="O344" s="13"/>
      <c r="P344" s="13"/>
      <c r="Q344" s="13"/>
      <c r="R344" s="17"/>
    </row>
    <row r="345" ht="15.75" customHeight="1" spans="6:18">
      <c r="F345" s="13"/>
      <c r="G345" s="13"/>
      <c r="H345" s="13"/>
      <c r="I345" s="13"/>
      <c r="J345" s="13"/>
      <c r="K345" s="13"/>
      <c r="L345" s="13"/>
      <c r="M345" s="13"/>
      <c r="N345" s="14"/>
      <c r="O345" s="13"/>
      <c r="P345" s="13"/>
      <c r="Q345" s="13"/>
      <c r="R345" s="17"/>
    </row>
    <row r="346" ht="15.75" customHeight="1" spans="6:18">
      <c r="F346" s="13"/>
      <c r="G346" s="13"/>
      <c r="H346" s="13"/>
      <c r="I346" s="13"/>
      <c r="J346" s="13"/>
      <c r="K346" s="13"/>
      <c r="L346" s="13"/>
      <c r="M346" s="13"/>
      <c r="N346" s="14"/>
      <c r="O346" s="13"/>
      <c r="P346" s="13"/>
      <c r="Q346" s="13"/>
      <c r="R346" s="17"/>
    </row>
    <row r="347" ht="15.75" customHeight="1" spans="6:18">
      <c r="F347" s="13"/>
      <c r="G347" s="13"/>
      <c r="H347" s="13"/>
      <c r="I347" s="13"/>
      <c r="J347" s="13"/>
      <c r="K347" s="13"/>
      <c r="L347" s="13"/>
      <c r="M347" s="13"/>
      <c r="N347" s="14"/>
      <c r="O347" s="13"/>
      <c r="P347" s="13"/>
      <c r="Q347" s="13"/>
      <c r="R347" s="17"/>
    </row>
    <row r="348" ht="15.75" customHeight="1" spans="6:18">
      <c r="F348" s="13"/>
      <c r="G348" s="13"/>
      <c r="H348" s="13"/>
      <c r="I348" s="13"/>
      <c r="J348" s="13"/>
      <c r="K348" s="13"/>
      <c r="L348" s="13"/>
      <c r="M348" s="13"/>
      <c r="N348" s="14"/>
      <c r="O348" s="13"/>
      <c r="P348" s="13"/>
      <c r="Q348" s="13"/>
      <c r="R348" s="17"/>
    </row>
    <row r="349" ht="15.75" customHeight="1" spans="6:18">
      <c r="F349" s="13"/>
      <c r="G349" s="13"/>
      <c r="H349" s="13"/>
      <c r="I349" s="13"/>
      <c r="J349" s="13"/>
      <c r="K349" s="13"/>
      <c r="L349" s="13"/>
      <c r="M349" s="13"/>
      <c r="N349" s="14"/>
      <c r="O349" s="13"/>
      <c r="P349" s="13"/>
      <c r="Q349" s="13"/>
      <c r="R349" s="17"/>
    </row>
    <row r="350" ht="15.75" customHeight="1" spans="6:18">
      <c r="F350" s="13"/>
      <c r="G350" s="13"/>
      <c r="H350" s="13"/>
      <c r="I350" s="13"/>
      <c r="J350" s="13"/>
      <c r="K350" s="13"/>
      <c r="L350" s="13"/>
      <c r="M350" s="13"/>
      <c r="N350" s="14"/>
      <c r="O350" s="13"/>
      <c r="P350" s="13"/>
      <c r="Q350" s="13"/>
      <c r="R350" s="17"/>
    </row>
    <row r="351" ht="15.75" customHeight="1" spans="6:18">
      <c r="F351" s="13"/>
      <c r="G351" s="13"/>
      <c r="H351" s="13"/>
      <c r="I351" s="13"/>
      <c r="J351" s="13"/>
      <c r="K351" s="13"/>
      <c r="L351" s="13"/>
      <c r="M351" s="13"/>
      <c r="N351" s="14"/>
      <c r="O351" s="13"/>
      <c r="P351" s="13"/>
      <c r="Q351" s="13"/>
      <c r="R351" s="17"/>
    </row>
    <row r="352" ht="15.75" customHeight="1" spans="6:18">
      <c r="F352" s="13"/>
      <c r="G352" s="13"/>
      <c r="H352" s="13"/>
      <c r="I352" s="13"/>
      <c r="J352" s="13"/>
      <c r="K352" s="13"/>
      <c r="L352" s="13"/>
      <c r="M352" s="13"/>
      <c r="N352" s="14"/>
      <c r="O352" s="13"/>
      <c r="P352" s="13"/>
      <c r="Q352" s="13"/>
      <c r="R352" s="17"/>
    </row>
    <row r="353" ht="15.75" customHeight="1" spans="6:18">
      <c r="F353" s="13"/>
      <c r="G353" s="13"/>
      <c r="H353" s="13"/>
      <c r="I353" s="13"/>
      <c r="J353" s="13"/>
      <c r="K353" s="13"/>
      <c r="L353" s="13"/>
      <c r="M353" s="13"/>
      <c r="N353" s="14"/>
      <c r="O353" s="13"/>
      <c r="P353" s="13"/>
      <c r="Q353" s="13"/>
      <c r="R353" s="17"/>
    </row>
    <row r="354" ht="15.75" customHeight="1" spans="6:18">
      <c r="F354" s="13"/>
      <c r="G354" s="13"/>
      <c r="H354" s="13"/>
      <c r="I354" s="13"/>
      <c r="J354" s="13"/>
      <c r="K354" s="13"/>
      <c r="L354" s="13"/>
      <c r="M354" s="13"/>
      <c r="N354" s="14"/>
      <c r="O354" s="13"/>
      <c r="P354" s="13"/>
      <c r="Q354" s="13"/>
      <c r="R354" s="17"/>
    </row>
    <row r="355" ht="15.75" customHeight="1" spans="6:18">
      <c r="F355" s="13"/>
      <c r="G355" s="13"/>
      <c r="H355" s="13"/>
      <c r="I355" s="13"/>
      <c r="J355" s="13"/>
      <c r="K355" s="13"/>
      <c r="L355" s="13"/>
      <c r="M355" s="13"/>
      <c r="N355" s="14"/>
      <c r="O355" s="13"/>
      <c r="P355" s="13"/>
      <c r="Q355" s="13"/>
      <c r="R355" s="17"/>
    </row>
    <row r="356" ht="15.75" customHeight="1" spans="6:18">
      <c r="F356" s="13"/>
      <c r="G356" s="13"/>
      <c r="H356" s="13"/>
      <c r="I356" s="13"/>
      <c r="J356" s="13"/>
      <c r="K356" s="13"/>
      <c r="L356" s="13"/>
      <c r="M356" s="13"/>
      <c r="N356" s="14"/>
      <c r="O356" s="13"/>
      <c r="P356" s="13"/>
      <c r="Q356" s="13"/>
      <c r="R356" s="17"/>
    </row>
    <row r="357" ht="15.75" customHeight="1" spans="6:18">
      <c r="F357" s="13"/>
      <c r="G357" s="13"/>
      <c r="H357" s="13"/>
      <c r="I357" s="13"/>
      <c r="J357" s="13"/>
      <c r="K357" s="13"/>
      <c r="L357" s="13"/>
      <c r="M357" s="13"/>
      <c r="N357" s="14"/>
      <c r="O357" s="13"/>
      <c r="P357" s="13"/>
      <c r="Q357" s="13"/>
      <c r="R357" s="17"/>
    </row>
    <row r="358" ht="15.75" customHeight="1" spans="6:18">
      <c r="F358" s="13"/>
      <c r="G358" s="13"/>
      <c r="H358" s="13"/>
      <c r="I358" s="13"/>
      <c r="J358" s="13"/>
      <c r="K358" s="13"/>
      <c r="L358" s="13"/>
      <c r="M358" s="13"/>
      <c r="N358" s="14"/>
      <c r="O358" s="13"/>
      <c r="P358" s="13"/>
      <c r="Q358" s="13"/>
      <c r="R358" s="17"/>
    </row>
    <row r="359" ht="15.75" customHeight="1" spans="6:18">
      <c r="F359" s="13"/>
      <c r="G359" s="13"/>
      <c r="H359" s="13"/>
      <c r="I359" s="13"/>
      <c r="J359" s="13"/>
      <c r="K359" s="13"/>
      <c r="L359" s="13"/>
      <c r="M359" s="13"/>
      <c r="N359" s="14"/>
      <c r="O359" s="13"/>
      <c r="P359" s="13"/>
      <c r="Q359" s="13"/>
      <c r="R359" s="17"/>
    </row>
    <row r="360" ht="15.75" customHeight="1" spans="6:18">
      <c r="F360" s="13"/>
      <c r="G360" s="13"/>
      <c r="H360" s="13"/>
      <c r="I360" s="13"/>
      <c r="J360" s="13"/>
      <c r="K360" s="13"/>
      <c r="L360" s="13"/>
      <c r="M360" s="13"/>
      <c r="N360" s="14"/>
      <c r="O360" s="13"/>
      <c r="P360" s="13"/>
      <c r="Q360" s="13"/>
      <c r="R360" s="17"/>
    </row>
    <row r="361" ht="15.75" customHeight="1" spans="6:18">
      <c r="F361" s="13"/>
      <c r="G361" s="13"/>
      <c r="H361" s="13"/>
      <c r="I361" s="13"/>
      <c r="J361" s="13"/>
      <c r="K361" s="13"/>
      <c r="L361" s="13"/>
      <c r="M361" s="13"/>
      <c r="N361" s="14"/>
      <c r="O361" s="13"/>
      <c r="P361" s="13"/>
      <c r="Q361" s="13"/>
      <c r="R361" s="17"/>
    </row>
    <row r="362" ht="15.75" customHeight="1" spans="6:18">
      <c r="F362" s="13"/>
      <c r="G362" s="13"/>
      <c r="H362" s="13"/>
      <c r="I362" s="13"/>
      <c r="J362" s="13"/>
      <c r="K362" s="13"/>
      <c r="L362" s="13"/>
      <c r="M362" s="13"/>
      <c r="N362" s="14"/>
      <c r="O362" s="13"/>
      <c r="P362" s="13"/>
      <c r="Q362" s="13"/>
      <c r="R362" s="17"/>
    </row>
    <row r="363" ht="15.75" customHeight="1" spans="6:18">
      <c r="F363" s="13"/>
      <c r="G363" s="13"/>
      <c r="H363" s="13"/>
      <c r="I363" s="13"/>
      <c r="J363" s="13"/>
      <c r="K363" s="13"/>
      <c r="L363" s="13"/>
      <c r="M363" s="13"/>
      <c r="N363" s="14"/>
      <c r="O363" s="13"/>
      <c r="P363" s="13"/>
      <c r="Q363" s="13"/>
      <c r="R363" s="17"/>
    </row>
    <row r="364" ht="15.75" customHeight="1" spans="6:18">
      <c r="F364" s="13"/>
      <c r="G364" s="13"/>
      <c r="H364" s="13"/>
      <c r="I364" s="13"/>
      <c r="J364" s="13"/>
      <c r="K364" s="13"/>
      <c r="L364" s="13"/>
      <c r="M364" s="13"/>
      <c r="N364" s="14"/>
      <c r="O364" s="13"/>
      <c r="P364" s="13"/>
      <c r="Q364" s="13"/>
      <c r="R364" s="17"/>
    </row>
    <row r="365" ht="15.75" customHeight="1" spans="6:18">
      <c r="F365" s="13"/>
      <c r="G365" s="13"/>
      <c r="H365" s="13"/>
      <c r="I365" s="13"/>
      <c r="J365" s="13"/>
      <c r="K365" s="13"/>
      <c r="L365" s="13"/>
      <c r="M365" s="13"/>
      <c r="N365" s="14"/>
      <c r="O365" s="13"/>
      <c r="P365" s="13"/>
      <c r="Q365" s="13"/>
      <c r="R365" s="17"/>
    </row>
    <row r="366" ht="15.75" customHeight="1" spans="6:18">
      <c r="F366" s="13"/>
      <c r="G366" s="13"/>
      <c r="H366" s="13"/>
      <c r="I366" s="13"/>
      <c r="J366" s="13"/>
      <c r="K366" s="13"/>
      <c r="L366" s="13"/>
      <c r="M366" s="13"/>
      <c r="N366" s="14"/>
      <c r="O366" s="13"/>
      <c r="P366" s="13"/>
      <c r="Q366" s="13"/>
      <c r="R366" s="17"/>
    </row>
    <row r="367" ht="15.75" customHeight="1" spans="6:18">
      <c r="F367" s="13"/>
      <c r="G367" s="13"/>
      <c r="H367" s="13"/>
      <c r="I367" s="13"/>
      <c r="J367" s="13"/>
      <c r="K367" s="13"/>
      <c r="L367" s="13"/>
      <c r="M367" s="13"/>
      <c r="N367" s="14"/>
      <c r="O367" s="13"/>
      <c r="P367" s="13"/>
      <c r="Q367" s="13"/>
      <c r="R367" s="17"/>
    </row>
    <row r="368" ht="15.75" customHeight="1" spans="6:18">
      <c r="F368" s="13"/>
      <c r="G368" s="13"/>
      <c r="H368" s="13"/>
      <c r="I368" s="13"/>
      <c r="J368" s="13"/>
      <c r="K368" s="13"/>
      <c r="L368" s="13"/>
      <c r="M368" s="13"/>
      <c r="N368" s="14"/>
      <c r="O368" s="13"/>
      <c r="P368" s="13"/>
      <c r="Q368" s="13"/>
      <c r="R368" s="17"/>
    </row>
    <row r="369" ht="15.75" customHeight="1" spans="6:18">
      <c r="F369" s="13"/>
      <c r="G369" s="13"/>
      <c r="H369" s="13"/>
      <c r="I369" s="13"/>
      <c r="J369" s="13"/>
      <c r="K369" s="13"/>
      <c r="L369" s="13"/>
      <c r="M369" s="13"/>
      <c r="N369" s="14"/>
      <c r="O369" s="13"/>
      <c r="P369" s="13"/>
      <c r="Q369" s="13"/>
      <c r="R369" s="17"/>
    </row>
    <row r="370" ht="15.75" customHeight="1" spans="6:18">
      <c r="F370" s="13"/>
      <c r="G370" s="13"/>
      <c r="H370" s="13"/>
      <c r="I370" s="13"/>
      <c r="J370" s="13"/>
      <c r="K370" s="13"/>
      <c r="L370" s="13"/>
      <c r="M370" s="13"/>
      <c r="N370" s="14"/>
      <c r="O370" s="13"/>
      <c r="P370" s="13"/>
      <c r="Q370" s="13"/>
      <c r="R370" s="17"/>
    </row>
    <row r="371" ht="15.75" customHeight="1" spans="6:18">
      <c r="F371" s="13"/>
      <c r="G371" s="13"/>
      <c r="H371" s="13"/>
      <c r="I371" s="13"/>
      <c r="J371" s="13"/>
      <c r="K371" s="13"/>
      <c r="L371" s="13"/>
      <c r="M371" s="13"/>
      <c r="N371" s="14"/>
      <c r="O371" s="13"/>
      <c r="P371" s="13"/>
      <c r="Q371" s="13"/>
      <c r="R371" s="17"/>
    </row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xmlns:etc="http://www.wps.cn/officeDocument/2017/etCustomData" ref="A1:R171" etc:filterBottomFollowUsedRange="0">
    <sortState ref="A1:R171">
      <sortCondition ref="C1:C171"/>
    </sortState>
    <extLst/>
  </autoFilter>
  <conditionalFormatting sqref="B1:B371">
    <cfRule type="cellIs" dxfId="123" priority="1" operator="equal">
      <formula>"Bible Study"</formula>
    </cfRule>
    <cfRule type="cellIs" dxfId="124" priority="2" operator="equal">
      <formula>"Other Church"</formula>
    </cfRule>
    <cfRule type="cellIs" dxfId="125" priority="3" operator="equal">
      <formula>"Active"</formula>
    </cfRule>
    <cfRule type="cellIs" dxfId="126" priority="4" operator="equal">
      <formula>"Sunday Goer"</formula>
    </cfRule>
    <cfRule type="cellIs" dxfId="127" priority="5" operator="equal">
      <formula>"Inactive"</formula>
    </cfRule>
  </conditionalFormatting>
  <hyperlinks>
    <hyperlink ref="M15" r:id="rId1" display="tamoalechk@gmail.com"/>
    <hyperlink ref="M16" r:id="rId2" display="jonairacastillejo@gmail.com"/>
    <hyperlink ref="M18" r:id="rId3" display="geraldine100908@gmail.com"/>
    <hyperlink ref="M19" r:id="rId4" display="banaagaldgerynef@gmail.com"/>
    <hyperlink ref="M23" r:id="rId5" display="imshieba@gmail.com"/>
    <hyperlink ref="M25" r:id="rId6" display="shermanaj2008@gmail.com"/>
    <hyperlink ref="M30" r:id="rId7" display="daliyongmarvie27fd@gmail.com"/>
    <hyperlink ref="M34" r:id="rId8" display="lipaenjuneafelkate24@gmail.com"/>
    <hyperlink ref="M35" r:id="rId9" display="miraquintero@gmail.com"/>
    <hyperlink ref="M44" r:id="rId10" display="rjtapnio23@gmail.com"/>
    <hyperlink ref="M46" r:id="rId11" display="heremiashose07@gmail.com"/>
    <hyperlink ref="M48" r:id="rId12" display="tisadacanay29@gmail.com"/>
    <hyperlink ref="M49" r:id="rId13" display="arianahdacanay05@gmail.com"/>
    <hyperlink ref="M54" r:id="rId14" display="castillejojamaica0723@gmail.com"/>
    <hyperlink ref="M62" r:id="rId15" display="cabbigatjinkymae@gmail.com"/>
    <hyperlink ref="M63" r:id="rId16" display="yamielakhaleen@gmail.com"/>
    <hyperlink ref="M64" r:id="rId17" display="linellegarciakm12@gmail.com"/>
    <hyperlink ref="M67" r:id="rId18" display="alparito13@gmail.com"/>
    <hyperlink ref="M75" r:id="rId19" display="havileigh.daiwey@gmail.com"/>
    <hyperlink ref="M80" r:id="rId20" display="jjpayan08@gmail.com"/>
    <hyperlink ref="M89" r:id="rId21" display="greendail31@gmail.com"/>
    <hyperlink ref="M94" r:id="rId22" display="otrebiregoso07@gmail.com"/>
    <hyperlink ref="M98" r:id="rId23" display="sevenfour18@gmail.com"/>
    <hyperlink ref="M99" r:id="rId24" display="feliciano.gidoen1012@gmail.com"/>
    <hyperlink ref="M100" r:id="rId25" display="ggem.bbasilio.2@gmail.com"/>
    <hyperlink ref="M109" r:id="rId26" display="patchangkyla8@gmail.com"/>
    <hyperlink ref="M110" r:id="rId27" display="marvintindo01@gmail.com"/>
    <hyperlink ref="M111" r:id="rId28" display="melvintindo21@gmail.com"/>
    <hyperlink ref="M116" r:id="rId29" display="cedrickcruz758@gmail.com"/>
    <hyperlink ref="M124" r:id="rId30" display="trentjordan2503@gmail.com"/>
    <hyperlink ref="M128" r:id="rId31" display="emmanprado02@gmail.com"/>
    <hyperlink ref="M129" r:id="rId32" display="gloryanne7camodag@gmail.com"/>
    <hyperlink ref="M130" r:id="rId33" display="kc08bambao@gmail.com"/>
    <hyperlink ref="M131" r:id="rId34" display="quevedogwyneth03@gmail.com"/>
    <hyperlink ref="M143" r:id="rId35" display="graziawazian@gmail.com"/>
    <hyperlink ref="M152" r:id="rId36" display="henzycastro@gmail.com"/>
    <hyperlink ref="M168" r:id="rId37" display="a.jsolis37@gmail.com"/>
  </hyperlinks>
  <pageMargins left="0.7" right="0.7" top="0.75" bottom="0.75" header="0" footer="0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workbookViewId="0">
      <selection activeCell="A1" sqref="A1"/>
    </sheetView>
  </sheetViews>
  <sheetFormatPr defaultColWidth="12.6333333333333" defaultRowHeight="15" customHeight="1" outlineLevelCol="7"/>
  <cols>
    <col min="1" max="1" width="13" customWidth="1"/>
    <col min="2" max="2" width="14" customWidth="1"/>
    <col min="3" max="3" width="14.3833333333333" customWidth="1"/>
    <col min="4" max="4" width="25.3833333333333" customWidth="1"/>
    <col min="5" max="5" width="15" customWidth="1"/>
    <col min="6" max="6" width="16.3833333333333" customWidth="1"/>
    <col min="7" max="26" width="14.3833333333333" customWidth="1"/>
  </cols>
  <sheetData>
    <row r="1" spans="1:8">
      <c r="A1" s="1" t="s">
        <v>13</v>
      </c>
      <c r="B1" s="1" t="s">
        <v>15</v>
      </c>
      <c r="C1" s="1" t="s">
        <v>12</v>
      </c>
      <c r="D1" s="2" t="s">
        <v>4129</v>
      </c>
      <c r="F1" s="1" t="s">
        <v>13</v>
      </c>
      <c r="G1" s="1" t="s">
        <v>12</v>
      </c>
      <c r="H1" s="2" t="s">
        <v>4229</v>
      </c>
    </row>
    <row r="2" spans="1:8">
      <c r="A2" s="1" t="s">
        <v>4162</v>
      </c>
      <c r="B2" s="1" t="s">
        <v>4134</v>
      </c>
      <c r="C2" s="1" t="s">
        <v>2189</v>
      </c>
      <c r="D2" s="2" t="s">
        <v>4230</v>
      </c>
      <c r="F2" s="1" t="s">
        <v>4162</v>
      </c>
      <c r="G2" s="1" t="s">
        <v>2189</v>
      </c>
      <c r="H2" s="2">
        <v>5</v>
      </c>
    </row>
    <row r="3" spans="1:8">
      <c r="A3" s="3"/>
      <c r="B3" s="1" t="s">
        <v>4132</v>
      </c>
      <c r="C3" s="1" t="s">
        <v>2189</v>
      </c>
      <c r="D3" s="2" t="s">
        <v>4231</v>
      </c>
      <c r="F3" s="3"/>
      <c r="G3" s="4" t="s">
        <v>2184</v>
      </c>
      <c r="H3" s="5">
        <v>1</v>
      </c>
    </row>
    <row r="4" spans="1:8">
      <c r="A4" s="3"/>
      <c r="B4" s="1" t="s">
        <v>4131</v>
      </c>
      <c r="C4" s="1" t="s">
        <v>2189</v>
      </c>
      <c r="D4" s="2" t="s">
        <v>4232</v>
      </c>
      <c r="F4" s="3"/>
      <c r="G4" s="4" t="s">
        <v>2177</v>
      </c>
      <c r="H4" s="5">
        <v>2</v>
      </c>
    </row>
    <row r="5" spans="1:8">
      <c r="A5" s="3"/>
      <c r="B5" s="3"/>
      <c r="C5" s="3"/>
      <c r="D5" s="6" t="s">
        <v>4233</v>
      </c>
      <c r="F5" s="3"/>
      <c r="G5" s="4" t="s">
        <v>2181</v>
      </c>
      <c r="H5" s="5">
        <v>6</v>
      </c>
    </row>
    <row r="6" spans="1:8">
      <c r="A6" s="3"/>
      <c r="B6" s="3"/>
      <c r="C6" s="3"/>
      <c r="D6" s="6" t="s">
        <v>4234</v>
      </c>
      <c r="F6" s="1" t="s">
        <v>4235</v>
      </c>
      <c r="G6" s="7"/>
      <c r="H6" s="2">
        <v>14</v>
      </c>
    </row>
    <row r="7" spans="1:8">
      <c r="A7" s="3"/>
      <c r="B7" s="3"/>
      <c r="C7" s="1" t="s">
        <v>2184</v>
      </c>
      <c r="D7" s="2" t="s">
        <v>4236</v>
      </c>
      <c r="F7" s="1" t="s">
        <v>4157</v>
      </c>
      <c r="G7" s="1" t="s">
        <v>2189</v>
      </c>
      <c r="H7" s="2">
        <v>5</v>
      </c>
    </row>
    <row r="8" spans="1:8">
      <c r="A8" s="3"/>
      <c r="B8" s="3"/>
      <c r="C8" s="1" t="s">
        <v>2177</v>
      </c>
      <c r="D8" s="2" t="s">
        <v>4237</v>
      </c>
      <c r="F8" s="3"/>
      <c r="G8" s="4" t="s">
        <v>2383</v>
      </c>
      <c r="H8" s="5">
        <v>1</v>
      </c>
    </row>
    <row r="9" spans="1:8">
      <c r="A9" s="3"/>
      <c r="B9" s="3"/>
      <c r="C9" s="3"/>
      <c r="D9" s="6" t="s">
        <v>4238</v>
      </c>
      <c r="F9" s="3"/>
      <c r="G9" s="4" t="s">
        <v>2184</v>
      </c>
      <c r="H9" s="5">
        <v>2</v>
      </c>
    </row>
    <row r="10" spans="1:8">
      <c r="A10" s="3"/>
      <c r="B10" s="3"/>
      <c r="C10" s="1" t="s">
        <v>2181</v>
      </c>
      <c r="D10" s="2" t="s">
        <v>4239</v>
      </c>
      <c r="F10" s="3"/>
      <c r="G10" s="4" t="s">
        <v>2177</v>
      </c>
      <c r="H10" s="5">
        <v>2</v>
      </c>
    </row>
    <row r="11" spans="1:8">
      <c r="A11" s="3"/>
      <c r="B11" s="3"/>
      <c r="C11" s="3"/>
      <c r="D11" s="6" t="s">
        <v>4240</v>
      </c>
      <c r="F11" s="3"/>
      <c r="G11" s="4" t="s">
        <v>2181</v>
      </c>
      <c r="H11" s="5">
        <v>4</v>
      </c>
    </row>
    <row r="12" spans="1:8">
      <c r="A12" s="3"/>
      <c r="B12" s="3"/>
      <c r="C12" s="3"/>
      <c r="D12" s="6" t="s">
        <v>4241</v>
      </c>
      <c r="F12" s="1" t="s">
        <v>4242</v>
      </c>
      <c r="G12" s="7"/>
      <c r="H12" s="2">
        <v>14</v>
      </c>
    </row>
    <row r="13" spans="1:8">
      <c r="A13" s="3"/>
      <c r="B13" s="3"/>
      <c r="C13" s="3"/>
      <c r="D13" s="6" t="s">
        <v>4243</v>
      </c>
      <c r="F13" s="1" t="s">
        <v>4130</v>
      </c>
      <c r="G13" s="1" t="s">
        <v>2189</v>
      </c>
      <c r="H13" s="2">
        <v>4</v>
      </c>
    </row>
    <row r="14" spans="1:8">
      <c r="A14" s="3"/>
      <c r="B14" s="3"/>
      <c r="C14" s="3"/>
      <c r="D14" s="6" t="s">
        <v>4244</v>
      </c>
      <c r="F14" s="3"/>
      <c r="G14" s="4" t="s">
        <v>2383</v>
      </c>
      <c r="H14" s="5">
        <v>1</v>
      </c>
    </row>
    <row r="15" spans="1:8">
      <c r="A15" s="3"/>
      <c r="B15" s="3"/>
      <c r="C15" s="3"/>
      <c r="D15" s="6" t="s">
        <v>4245</v>
      </c>
      <c r="F15" s="3"/>
      <c r="G15" s="4" t="s">
        <v>2184</v>
      </c>
      <c r="H15" s="5">
        <v>2</v>
      </c>
    </row>
    <row r="16" spans="1:8">
      <c r="A16" s="1" t="s">
        <v>4157</v>
      </c>
      <c r="B16" s="1" t="s">
        <v>4134</v>
      </c>
      <c r="C16" s="1" t="s">
        <v>2189</v>
      </c>
      <c r="D16" s="2" t="s">
        <v>4246</v>
      </c>
      <c r="F16" s="3"/>
      <c r="G16" s="4" t="s">
        <v>2177</v>
      </c>
      <c r="H16" s="5">
        <v>1</v>
      </c>
    </row>
    <row r="17" spans="1:8">
      <c r="A17" s="3"/>
      <c r="B17" s="1" t="s">
        <v>4132</v>
      </c>
      <c r="C17" s="1" t="s">
        <v>2189</v>
      </c>
      <c r="D17" s="2" t="s">
        <v>4247</v>
      </c>
      <c r="F17" s="3"/>
      <c r="G17" s="4" t="s">
        <v>2181</v>
      </c>
      <c r="H17" s="5">
        <v>5</v>
      </c>
    </row>
    <row r="18" spans="1:8">
      <c r="A18" s="3"/>
      <c r="B18" s="1" t="s">
        <v>4131</v>
      </c>
      <c r="C18" s="1" t="s">
        <v>2189</v>
      </c>
      <c r="D18" s="2" t="s">
        <v>4248</v>
      </c>
      <c r="F18" s="1" t="s">
        <v>4249</v>
      </c>
      <c r="G18" s="7"/>
      <c r="H18" s="2">
        <v>13</v>
      </c>
    </row>
    <row r="19" spans="1:8">
      <c r="A19" s="3"/>
      <c r="B19" s="3"/>
      <c r="C19" s="3"/>
      <c r="D19" s="6" t="s">
        <v>4250</v>
      </c>
      <c r="F19" s="1" t="s">
        <v>4145</v>
      </c>
      <c r="G19" s="1" t="s">
        <v>2189</v>
      </c>
      <c r="H19" s="2">
        <v>6</v>
      </c>
    </row>
    <row r="20" spans="1:8">
      <c r="A20" s="3"/>
      <c r="B20" s="3"/>
      <c r="C20" s="3"/>
      <c r="D20" s="6" t="s">
        <v>4251</v>
      </c>
      <c r="F20" s="3"/>
      <c r="G20" s="4" t="s">
        <v>2184</v>
      </c>
      <c r="H20" s="5">
        <v>2</v>
      </c>
    </row>
    <row r="21" ht="15.75" customHeight="1" spans="1:8">
      <c r="A21" s="3"/>
      <c r="B21" s="3"/>
      <c r="C21" s="1" t="s">
        <v>2383</v>
      </c>
      <c r="D21" s="2" t="s">
        <v>4252</v>
      </c>
      <c r="F21" s="3"/>
      <c r="G21" s="4" t="s">
        <v>2177</v>
      </c>
      <c r="H21" s="5">
        <v>2</v>
      </c>
    </row>
    <row r="22" ht="15.75" customHeight="1" spans="1:8">
      <c r="A22" s="3"/>
      <c r="B22" s="3"/>
      <c r="C22" s="1" t="s">
        <v>2184</v>
      </c>
      <c r="D22" s="2" t="s">
        <v>4253</v>
      </c>
      <c r="F22" s="3"/>
      <c r="G22" s="4" t="s">
        <v>2181</v>
      </c>
      <c r="H22" s="5">
        <v>4</v>
      </c>
    </row>
    <row r="23" ht="15.75" customHeight="1" spans="1:8">
      <c r="A23" s="3"/>
      <c r="B23" s="3"/>
      <c r="C23" s="3"/>
      <c r="D23" s="6" t="s">
        <v>4254</v>
      </c>
      <c r="F23" s="1" t="s">
        <v>4255</v>
      </c>
      <c r="G23" s="7"/>
      <c r="H23" s="2">
        <v>14</v>
      </c>
    </row>
    <row r="24" ht="15.75" customHeight="1" spans="1:8">
      <c r="A24" s="3"/>
      <c r="B24" s="3"/>
      <c r="C24" s="1" t="s">
        <v>2177</v>
      </c>
      <c r="D24" s="2" t="s">
        <v>4256</v>
      </c>
      <c r="F24" s="1" t="s">
        <v>4135</v>
      </c>
      <c r="G24" s="1" t="s">
        <v>2189</v>
      </c>
      <c r="H24" s="2">
        <v>6</v>
      </c>
    </row>
    <row r="25" ht="15.75" customHeight="1" spans="1:8">
      <c r="A25" s="3"/>
      <c r="B25" s="3"/>
      <c r="C25" s="3"/>
      <c r="D25" s="6" t="s">
        <v>4257</v>
      </c>
      <c r="F25" s="3"/>
      <c r="G25" s="4" t="s">
        <v>2383</v>
      </c>
      <c r="H25" s="5">
        <v>1</v>
      </c>
    </row>
    <row r="26" ht="15.75" customHeight="1" spans="1:8">
      <c r="A26" s="3"/>
      <c r="B26" s="3"/>
      <c r="C26" s="1" t="s">
        <v>2181</v>
      </c>
      <c r="D26" s="2" t="s">
        <v>4258</v>
      </c>
      <c r="F26" s="3"/>
      <c r="G26" s="4" t="s">
        <v>2184</v>
      </c>
      <c r="H26" s="5">
        <v>2</v>
      </c>
    </row>
    <row r="27" ht="15.75" customHeight="1" spans="1:8">
      <c r="A27" s="3"/>
      <c r="B27" s="3"/>
      <c r="C27" s="3"/>
      <c r="D27" s="6" t="s">
        <v>4259</v>
      </c>
      <c r="F27" s="3"/>
      <c r="G27" s="4" t="s">
        <v>2177</v>
      </c>
      <c r="H27" s="5">
        <v>1</v>
      </c>
    </row>
    <row r="28" ht="15.75" customHeight="1" spans="1:8">
      <c r="A28" s="3"/>
      <c r="B28" s="3"/>
      <c r="C28" s="3"/>
      <c r="D28" s="6" t="s">
        <v>4260</v>
      </c>
      <c r="F28" s="3"/>
      <c r="G28" s="4" t="s">
        <v>2181</v>
      </c>
      <c r="H28" s="5">
        <v>3</v>
      </c>
    </row>
    <row r="29" ht="15.75" customHeight="1" spans="1:8">
      <c r="A29" s="3"/>
      <c r="B29" s="3"/>
      <c r="C29" s="3"/>
      <c r="D29" s="6" t="s">
        <v>4261</v>
      </c>
      <c r="F29" s="1" t="s">
        <v>4262</v>
      </c>
      <c r="G29" s="7"/>
      <c r="H29" s="2">
        <v>13</v>
      </c>
    </row>
    <row r="30" ht="15.75" customHeight="1" spans="1:8">
      <c r="A30" s="1" t="s">
        <v>4130</v>
      </c>
      <c r="B30" s="1" t="s">
        <v>4134</v>
      </c>
      <c r="C30" s="1" t="s">
        <v>2189</v>
      </c>
      <c r="D30" s="2" t="s">
        <v>4263</v>
      </c>
      <c r="F30" s="1" t="s">
        <v>2185</v>
      </c>
      <c r="G30" s="1" t="s">
        <v>2189</v>
      </c>
      <c r="H30" s="2">
        <v>6</v>
      </c>
    </row>
    <row r="31" ht="15.75" customHeight="1" spans="1:8">
      <c r="A31" s="3"/>
      <c r="B31" s="1" t="s">
        <v>4132</v>
      </c>
      <c r="C31" s="1" t="s">
        <v>2189</v>
      </c>
      <c r="D31" s="2" t="s">
        <v>4264</v>
      </c>
      <c r="F31" s="3"/>
      <c r="G31" s="4" t="s">
        <v>2383</v>
      </c>
      <c r="H31" s="5">
        <v>1</v>
      </c>
    </row>
    <row r="32" ht="15.75" customHeight="1" spans="1:8">
      <c r="A32" s="3"/>
      <c r="B32" s="1" t="s">
        <v>4131</v>
      </c>
      <c r="C32" s="1" t="s">
        <v>2189</v>
      </c>
      <c r="D32" s="2" t="s">
        <v>4265</v>
      </c>
      <c r="F32" s="3"/>
      <c r="G32" s="4" t="s">
        <v>2184</v>
      </c>
      <c r="H32" s="5">
        <v>2</v>
      </c>
    </row>
    <row r="33" ht="15.75" customHeight="1" spans="1:8">
      <c r="A33" s="3"/>
      <c r="B33" s="3"/>
      <c r="C33" s="3"/>
      <c r="D33" s="6" t="s">
        <v>4266</v>
      </c>
      <c r="F33" s="3"/>
      <c r="G33" s="4" t="s">
        <v>2181</v>
      </c>
      <c r="H33" s="5">
        <v>4</v>
      </c>
    </row>
    <row r="34" ht="15.75" customHeight="1" spans="1:8">
      <c r="A34" s="3"/>
      <c r="B34" s="3"/>
      <c r="C34" s="1" t="s">
        <v>2383</v>
      </c>
      <c r="D34" s="2" t="s">
        <v>4267</v>
      </c>
      <c r="F34" s="1" t="s">
        <v>4268</v>
      </c>
      <c r="G34" s="7"/>
      <c r="H34" s="2">
        <v>13</v>
      </c>
    </row>
    <row r="35" ht="15.75" customHeight="1" spans="1:8">
      <c r="A35" s="3"/>
      <c r="B35" s="3"/>
      <c r="C35" s="1" t="s">
        <v>2184</v>
      </c>
      <c r="D35" s="2" t="s">
        <v>4269</v>
      </c>
      <c r="F35" s="1" t="s">
        <v>2205</v>
      </c>
      <c r="G35" s="1" t="s">
        <v>2189</v>
      </c>
      <c r="H35" s="2">
        <v>6</v>
      </c>
    </row>
    <row r="36" ht="15.75" customHeight="1" spans="1:8">
      <c r="A36" s="3"/>
      <c r="B36" s="3"/>
      <c r="C36" s="3"/>
      <c r="D36" s="6" t="s">
        <v>4270</v>
      </c>
      <c r="F36" s="3"/>
      <c r="G36" s="4" t="s">
        <v>2184</v>
      </c>
      <c r="H36" s="5">
        <v>2</v>
      </c>
    </row>
    <row r="37" ht="15.75" customHeight="1" spans="1:8">
      <c r="A37" s="3"/>
      <c r="B37" s="3"/>
      <c r="C37" s="1" t="s">
        <v>2177</v>
      </c>
      <c r="D37" s="2" t="s">
        <v>4271</v>
      </c>
      <c r="F37" s="3"/>
      <c r="G37" s="4" t="s">
        <v>2177</v>
      </c>
      <c r="H37" s="5">
        <v>2</v>
      </c>
    </row>
    <row r="38" ht="15.75" customHeight="1" spans="1:8">
      <c r="A38" s="3"/>
      <c r="B38" s="3"/>
      <c r="C38" s="1" t="s">
        <v>2181</v>
      </c>
      <c r="D38" s="2" t="s">
        <v>4272</v>
      </c>
      <c r="F38" s="3"/>
      <c r="G38" s="4" t="s">
        <v>2181</v>
      </c>
      <c r="H38" s="5">
        <v>3</v>
      </c>
    </row>
    <row r="39" ht="15.75" customHeight="1" spans="1:8">
      <c r="A39" s="3"/>
      <c r="B39" s="3"/>
      <c r="C39" s="3"/>
      <c r="D39" s="6" t="s">
        <v>4273</v>
      </c>
      <c r="F39" s="1" t="s">
        <v>4274</v>
      </c>
      <c r="G39" s="7"/>
      <c r="H39" s="2">
        <v>13</v>
      </c>
    </row>
    <row r="40" ht="15.75" customHeight="1" spans="1:8">
      <c r="A40" s="3"/>
      <c r="B40" s="3"/>
      <c r="C40" s="3"/>
      <c r="D40" s="6" t="s">
        <v>4275</v>
      </c>
      <c r="F40" s="1" t="s">
        <v>2186</v>
      </c>
      <c r="G40" s="1" t="s">
        <v>2189</v>
      </c>
      <c r="H40" s="2">
        <v>6</v>
      </c>
    </row>
    <row r="41" ht="15.75" customHeight="1" spans="1:8">
      <c r="A41" s="3"/>
      <c r="B41" s="3"/>
      <c r="C41" s="3"/>
      <c r="D41" s="6" t="s">
        <v>4276</v>
      </c>
      <c r="F41" s="3"/>
      <c r="G41" s="4" t="s">
        <v>2177</v>
      </c>
      <c r="H41" s="5">
        <v>1</v>
      </c>
    </row>
    <row r="42" ht="15.75" customHeight="1" spans="1:8">
      <c r="A42" s="3"/>
      <c r="B42" s="3"/>
      <c r="C42" s="3"/>
      <c r="D42" s="6" t="s">
        <v>4277</v>
      </c>
      <c r="F42" s="3"/>
      <c r="G42" s="4" t="s">
        <v>2181</v>
      </c>
      <c r="H42" s="5">
        <v>1</v>
      </c>
    </row>
    <row r="43" ht="15.75" customHeight="1" spans="1:8">
      <c r="A43" s="1" t="s">
        <v>4145</v>
      </c>
      <c r="B43" s="1" t="s">
        <v>4134</v>
      </c>
      <c r="C43" s="1" t="s">
        <v>2189</v>
      </c>
      <c r="D43" s="2" t="s">
        <v>4278</v>
      </c>
      <c r="F43" s="1" t="s">
        <v>4279</v>
      </c>
      <c r="G43" s="7"/>
      <c r="H43" s="2">
        <v>8</v>
      </c>
    </row>
    <row r="44" ht="15.75" customHeight="1" spans="1:8">
      <c r="A44" s="3"/>
      <c r="B44" s="1" t="s">
        <v>4132</v>
      </c>
      <c r="C44" s="1" t="s">
        <v>2189</v>
      </c>
      <c r="D44" s="2" t="s">
        <v>4280</v>
      </c>
      <c r="F44" s="1" t="s">
        <v>1767</v>
      </c>
      <c r="G44" s="1" t="s">
        <v>2189</v>
      </c>
      <c r="H44" s="2">
        <v>5</v>
      </c>
    </row>
    <row r="45" ht="15.75" customHeight="1" spans="1:8">
      <c r="A45" s="3"/>
      <c r="B45" s="1" t="s">
        <v>4131</v>
      </c>
      <c r="C45" s="1" t="s">
        <v>2189</v>
      </c>
      <c r="D45" s="2" t="s">
        <v>4281</v>
      </c>
      <c r="F45" s="3"/>
      <c r="G45" s="4" t="s">
        <v>2383</v>
      </c>
      <c r="H45" s="5">
        <v>2</v>
      </c>
    </row>
    <row r="46" ht="15.75" customHeight="1" spans="1:8">
      <c r="A46" s="3"/>
      <c r="B46" s="3"/>
      <c r="C46" s="3"/>
      <c r="D46" s="6" t="s">
        <v>4282</v>
      </c>
      <c r="F46" s="3"/>
      <c r="G46" s="4" t="s">
        <v>2184</v>
      </c>
      <c r="H46" s="5">
        <v>2</v>
      </c>
    </row>
    <row r="47" ht="15.75" customHeight="1" spans="1:8">
      <c r="A47" s="3"/>
      <c r="B47" s="3"/>
      <c r="C47" s="3"/>
      <c r="D47" s="6" t="s">
        <v>4283</v>
      </c>
      <c r="F47" s="3"/>
      <c r="G47" s="4" t="s">
        <v>2177</v>
      </c>
      <c r="H47" s="5">
        <v>1</v>
      </c>
    </row>
    <row r="48" ht="15.75" customHeight="1" spans="1:8">
      <c r="A48" s="3"/>
      <c r="B48" s="3"/>
      <c r="C48" s="3"/>
      <c r="D48" s="6" t="s">
        <v>4284</v>
      </c>
      <c r="F48" s="3"/>
      <c r="G48" s="4" t="s">
        <v>2181</v>
      </c>
      <c r="H48" s="5">
        <v>3</v>
      </c>
    </row>
    <row r="49" ht="15.75" customHeight="1" spans="1:8">
      <c r="A49" s="3"/>
      <c r="B49" s="3"/>
      <c r="C49" s="1" t="s">
        <v>2184</v>
      </c>
      <c r="D49" s="2" t="s">
        <v>4285</v>
      </c>
      <c r="F49" s="1" t="s">
        <v>4286</v>
      </c>
      <c r="G49" s="7"/>
      <c r="H49" s="2">
        <v>13</v>
      </c>
    </row>
    <row r="50" ht="15.75" customHeight="1" spans="1:8">
      <c r="A50" s="3"/>
      <c r="B50" s="3"/>
      <c r="C50" s="3"/>
      <c r="D50" s="6" t="s">
        <v>4287</v>
      </c>
      <c r="F50" s="1" t="s">
        <v>2178</v>
      </c>
      <c r="G50" s="1" t="s">
        <v>2189</v>
      </c>
      <c r="H50" s="2">
        <v>6</v>
      </c>
    </row>
    <row r="51" ht="15.75" customHeight="1" spans="1:8">
      <c r="A51" s="3"/>
      <c r="B51" s="3"/>
      <c r="C51" s="1" t="s">
        <v>2177</v>
      </c>
      <c r="D51" s="2" t="s">
        <v>4288</v>
      </c>
      <c r="F51" s="3"/>
      <c r="G51" s="4" t="s">
        <v>2383</v>
      </c>
      <c r="H51" s="5">
        <v>2</v>
      </c>
    </row>
    <row r="52" ht="15.75" customHeight="1" spans="1:8">
      <c r="A52" s="3"/>
      <c r="B52" s="3"/>
      <c r="C52" s="3"/>
      <c r="D52" s="6" t="s">
        <v>4289</v>
      </c>
      <c r="F52" s="3"/>
      <c r="G52" s="4" t="s">
        <v>2184</v>
      </c>
      <c r="H52" s="5">
        <v>2</v>
      </c>
    </row>
    <row r="53" ht="15.75" customHeight="1" spans="1:8">
      <c r="A53" s="3"/>
      <c r="B53" s="3"/>
      <c r="C53" s="1" t="s">
        <v>2181</v>
      </c>
      <c r="D53" s="2" t="s">
        <v>4290</v>
      </c>
      <c r="F53" s="3"/>
      <c r="G53" s="4" t="s">
        <v>2177</v>
      </c>
      <c r="H53" s="5">
        <v>1</v>
      </c>
    </row>
    <row r="54" ht="15.75" customHeight="1" spans="1:8">
      <c r="A54" s="3"/>
      <c r="B54" s="3"/>
      <c r="C54" s="3"/>
      <c r="D54" s="6" t="s">
        <v>4291</v>
      </c>
      <c r="F54" s="3"/>
      <c r="G54" s="4" t="s">
        <v>2181</v>
      </c>
      <c r="H54" s="5">
        <v>3</v>
      </c>
    </row>
    <row r="55" ht="15.75" customHeight="1" spans="1:8">
      <c r="A55" s="3"/>
      <c r="B55" s="3"/>
      <c r="C55" s="3"/>
      <c r="D55" s="6" t="s">
        <v>4292</v>
      </c>
      <c r="F55" s="1" t="s">
        <v>4293</v>
      </c>
      <c r="G55" s="7"/>
      <c r="H55" s="2">
        <v>14</v>
      </c>
    </row>
    <row r="56" ht="15.75" customHeight="1" spans="1:8">
      <c r="A56" s="3"/>
      <c r="B56" s="3"/>
      <c r="C56" s="3"/>
      <c r="D56" s="6" t="s">
        <v>4294</v>
      </c>
      <c r="F56" s="1" t="s">
        <v>2212</v>
      </c>
      <c r="G56" s="1" t="s">
        <v>2189</v>
      </c>
      <c r="H56" s="2">
        <v>6</v>
      </c>
    </row>
    <row r="57" ht="15.75" customHeight="1" spans="1:8">
      <c r="A57" s="1" t="s">
        <v>4135</v>
      </c>
      <c r="B57" s="1" t="s">
        <v>4131</v>
      </c>
      <c r="C57" s="1" t="s">
        <v>2189</v>
      </c>
      <c r="D57" s="2" t="s">
        <v>4295</v>
      </c>
      <c r="F57" s="3"/>
      <c r="G57" s="4" t="s">
        <v>2383</v>
      </c>
      <c r="H57" s="5">
        <v>2</v>
      </c>
    </row>
    <row r="58" ht="15.75" customHeight="1" spans="1:8">
      <c r="A58" s="3"/>
      <c r="B58" s="3"/>
      <c r="C58" s="3"/>
      <c r="D58" s="6" t="s">
        <v>4296</v>
      </c>
      <c r="F58" s="3"/>
      <c r="G58" s="4" t="s">
        <v>2184</v>
      </c>
      <c r="H58" s="5">
        <v>2</v>
      </c>
    </row>
    <row r="59" ht="15.75" customHeight="1" spans="1:8">
      <c r="A59" s="3"/>
      <c r="B59" s="3"/>
      <c r="C59" s="3"/>
      <c r="D59" s="6" t="s">
        <v>4297</v>
      </c>
      <c r="F59" s="3"/>
      <c r="G59" s="4" t="s">
        <v>2177</v>
      </c>
      <c r="H59" s="5">
        <v>2</v>
      </c>
    </row>
    <row r="60" ht="15.75" customHeight="1" spans="1:8">
      <c r="A60" s="3"/>
      <c r="B60" s="3"/>
      <c r="C60" s="3"/>
      <c r="D60" s="6" t="s">
        <v>4298</v>
      </c>
      <c r="F60" s="3"/>
      <c r="G60" s="4" t="s">
        <v>2181</v>
      </c>
      <c r="H60" s="5">
        <v>3</v>
      </c>
    </row>
    <row r="61" ht="15.75" customHeight="1" spans="1:8">
      <c r="A61" s="3"/>
      <c r="B61" s="3"/>
      <c r="C61" s="3"/>
      <c r="D61" s="6" t="s">
        <v>4299</v>
      </c>
      <c r="F61" s="1" t="s">
        <v>4300</v>
      </c>
      <c r="G61" s="7"/>
      <c r="H61" s="2">
        <v>15</v>
      </c>
    </row>
    <row r="62" ht="15.75" customHeight="1" spans="1:8">
      <c r="A62" s="3"/>
      <c r="B62" s="3"/>
      <c r="C62" s="3"/>
      <c r="D62" s="6" t="s">
        <v>4301</v>
      </c>
      <c r="F62" s="1" t="s">
        <v>1742</v>
      </c>
      <c r="G62" s="1" t="s">
        <v>2189</v>
      </c>
      <c r="H62" s="2">
        <v>5</v>
      </c>
    </row>
    <row r="63" ht="15.75" customHeight="1" spans="1:8">
      <c r="A63" s="3"/>
      <c r="B63" s="3"/>
      <c r="C63" s="1" t="s">
        <v>2383</v>
      </c>
      <c r="D63" s="2" t="s">
        <v>4302</v>
      </c>
      <c r="F63" s="3"/>
      <c r="G63" s="4" t="s">
        <v>2184</v>
      </c>
      <c r="H63" s="5">
        <v>2</v>
      </c>
    </row>
    <row r="64" ht="15.75" customHeight="1" spans="1:8">
      <c r="A64" s="3"/>
      <c r="B64" s="3"/>
      <c r="C64" s="1" t="s">
        <v>2184</v>
      </c>
      <c r="D64" s="2" t="s">
        <v>4303</v>
      </c>
      <c r="F64" s="3"/>
      <c r="G64" s="4" t="s">
        <v>2177</v>
      </c>
      <c r="H64" s="5">
        <v>2</v>
      </c>
    </row>
    <row r="65" ht="15.75" customHeight="1" spans="1:8">
      <c r="A65" s="3"/>
      <c r="B65" s="3"/>
      <c r="C65" s="3"/>
      <c r="D65" s="6" t="s">
        <v>4304</v>
      </c>
      <c r="F65" s="3"/>
      <c r="G65" s="4" t="s">
        <v>2181</v>
      </c>
      <c r="H65" s="5">
        <v>4</v>
      </c>
    </row>
    <row r="66" ht="15.75" customHeight="1" spans="1:8">
      <c r="A66" s="3"/>
      <c r="B66" s="3"/>
      <c r="C66" s="1" t="s">
        <v>2177</v>
      </c>
      <c r="D66" s="2" t="s">
        <v>4305</v>
      </c>
      <c r="F66" s="1" t="s">
        <v>4306</v>
      </c>
      <c r="G66" s="7"/>
      <c r="H66" s="2">
        <v>13</v>
      </c>
    </row>
    <row r="67" ht="15.75" customHeight="1" spans="1:8">
      <c r="A67" s="3"/>
      <c r="B67" s="3"/>
      <c r="C67" s="1" t="s">
        <v>2181</v>
      </c>
      <c r="D67" s="2" t="s">
        <v>4307</v>
      </c>
      <c r="F67" s="1" t="s">
        <v>2231</v>
      </c>
      <c r="G67" s="1" t="s">
        <v>2189</v>
      </c>
      <c r="H67" s="2">
        <v>5</v>
      </c>
    </row>
    <row r="68" ht="15.75" customHeight="1" spans="1:8">
      <c r="A68" s="3"/>
      <c r="B68" s="3"/>
      <c r="C68" s="3"/>
      <c r="D68" s="6" t="s">
        <v>4308</v>
      </c>
      <c r="F68" s="3"/>
      <c r="G68" s="4" t="s">
        <v>2383</v>
      </c>
      <c r="H68" s="5">
        <v>1</v>
      </c>
    </row>
    <row r="69" ht="15.75" customHeight="1" spans="1:8">
      <c r="A69" s="3"/>
      <c r="B69" s="3"/>
      <c r="C69" s="3"/>
      <c r="D69" s="6" t="s">
        <v>4309</v>
      </c>
      <c r="F69" s="3"/>
      <c r="G69" s="4" t="s">
        <v>2184</v>
      </c>
      <c r="H69" s="5">
        <v>3</v>
      </c>
    </row>
    <row r="70" ht="15.75" customHeight="1" spans="1:8">
      <c r="A70" s="1" t="s">
        <v>2185</v>
      </c>
      <c r="B70" s="1" t="s">
        <v>4134</v>
      </c>
      <c r="C70" s="1" t="s">
        <v>2189</v>
      </c>
      <c r="D70" s="2" t="s">
        <v>4310</v>
      </c>
      <c r="F70" s="3"/>
      <c r="G70" s="4" t="s">
        <v>2177</v>
      </c>
      <c r="H70" s="5">
        <v>1</v>
      </c>
    </row>
    <row r="71" ht="15.75" customHeight="1" spans="1:8">
      <c r="A71" s="3"/>
      <c r="B71" s="1" t="s">
        <v>4132</v>
      </c>
      <c r="C71" s="1" t="s">
        <v>2189</v>
      </c>
      <c r="D71" s="2" t="s">
        <v>4311</v>
      </c>
      <c r="F71" s="3"/>
      <c r="G71" s="4" t="s">
        <v>2181</v>
      </c>
      <c r="H71" s="5">
        <v>3</v>
      </c>
    </row>
    <row r="72" ht="15.75" customHeight="1" spans="1:8">
      <c r="A72" s="3"/>
      <c r="B72" s="1" t="s">
        <v>4131</v>
      </c>
      <c r="C72" s="1" t="s">
        <v>2189</v>
      </c>
      <c r="D72" s="2" t="s">
        <v>4312</v>
      </c>
      <c r="F72" s="1" t="s">
        <v>4313</v>
      </c>
      <c r="G72" s="7"/>
      <c r="H72" s="2">
        <v>13</v>
      </c>
    </row>
    <row r="73" ht="15.75" customHeight="1" spans="1:8">
      <c r="A73" s="3"/>
      <c r="B73" s="3"/>
      <c r="C73" s="3"/>
      <c r="D73" s="6" t="s">
        <v>4314</v>
      </c>
      <c r="F73" s="1" t="s">
        <v>4315</v>
      </c>
      <c r="G73" s="1" t="s">
        <v>4315</v>
      </c>
      <c r="H73" s="2"/>
    </row>
    <row r="74" ht="15.75" customHeight="1" spans="1:8">
      <c r="A74" s="3"/>
      <c r="B74" s="3"/>
      <c r="C74" s="3"/>
      <c r="D74" s="6" t="s">
        <v>4316</v>
      </c>
      <c r="F74" s="1" t="s">
        <v>4317</v>
      </c>
      <c r="G74" s="7"/>
      <c r="H74" s="2"/>
    </row>
    <row r="75" ht="15.75" customHeight="1" spans="1:8">
      <c r="A75" s="3"/>
      <c r="B75" s="3"/>
      <c r="C75" s="3"/>
      <c r="D75" s="6" t="s">
        <v>4318</v>
      </c>
      <c r="F75" s="8" t="s">
        <v>4319</v>
      </c>
      <c r="G75" s="9"/>
      <c r="H75" s="10">
        <v>170</v>
      </c>
    </row>
    <row r="76" ht="15.75" customHeight="1" spans="1:8">
      <c r="A76" s="3"/>
      <c r="B76" s="3"/>
      <c r="C76" s="1" t="s">
        <v>2383</v>
      </c>
      <c r="D76" s="2" t="s">
        <v>4320</v>
      </c>
    </row>
    <row r="77" ht="15.75" customHeight="1" spans="1:8">
      <c r="A77" s="3"/>
      <c r="B77" s="3"/>
      <c r="C77" s="1" t="s">
        <v>2184</v>
      </c>
      <c r="D77" s="2" t="s">
        <v>4321</v>
      </c>
    </row>
    <row r="78" ht="15.75" customHeight="1" spans="1:8">
      <c r="A78" s="3"/>
      <c r="B78" s="3"/>
      <c r="C78" s="3"/>
      <c r="D78" s="6" t="s">
        <v>4322</v>
      </c>
    </row>
    <row r="79" ht="15.75" customHeight="1" spans="1:8">
      <c r="A79" s="3"/>
      <c r="B79" s="3"/>
      <c r="C79" s="1" t="s">
        <v>2181</v>
      </c>
      <c r="D79" s="2" t="s">
        <v>4323</v>
      </c>
    </row>
    <row r="80" ht="15.75" customHeight="1" spans="1:8">
      <c r="A80" s="3"/>
      <c r="B80" s="3"/>
      <c r="C80" s="3"/>
      <c r="D80" s="6" t="s">
        <v>4324</v>
      </c>
    </row>
    <row r="81" ht="15.75" customHeight="1" spans="1:4">
      <c r="A81" s="3"/>
      <c r="B81" s="3"/>
      <c r="C81" s="3"/>
      <c r="D81" s="6" t="s">
        <v>4325</v>
      </c>
    </row>
    <row r="82" ht="15.75" customHeight="1" spans="1:4">
      <c r="A82" s="3"/>
      <c r="B82" s="3"/>
      <c r="C82" s="3"/>
      <c r="D82" s="6" t="s">
        <v>4326</v>
      </c>
    </row>
    <row r="83" ht="15.75" customHeight="1" spans="1:4">
      <c r="A83" s="1" t="s">
        <v>2205</v>
      </c>
      <c r="B83" s="1" t="s">
        <v>4134</v>
      </c>
      <c r="C83" s="1" t="s">
        <v>2189</v>
      </c>
      <c r="D83" s="2" t="s">
        <v>4327</v>
      </c>
    </row>
    <row r="84" ht="15.75" customHeight="1" spans="1:4">
      <c r="A84" s="3"/>
      <c r="B84" s="1" t="s">
        <v>4132</v>
      </c>
      <c r="C84" s="1" t="s">
        <v>2189</v>
      </c>
      <c r="D84" s="2" t="s">
        <v>4328</v>
      </c>
    </row>
    <row r="85" ht="15.75" customHeight="1" spans="1:4">
      <c r="A85" s="3"/>
      <c r="B85" s="1" t="s">
        <v>4131</v>
      </c>
      <c r="C85" s="1" t="s">
        <v>2189</v>
      </c>
      <c r="D85" s="2" t="s">
        <v>4329</v>
      </c>
    </row>
    <row r="86" ht="15.75" customHeight="1" spans="1:4">
      <c r="A86" s="3"/>
      <c r="B86" s="3"/>
      <c r="C86" s="3"/>
      <c r="D86" s="6" t="s">
        <v>4330</v>
      </c>
    </row>
    <row r="87" ht="15.75" customHeight="1" spans="1:4">
      <c r="A87" s="3"/>
      <c r="B87" s="3"/>
      <c r="C87" s="3"/>
      <c r="D87" s="6" t="s">
        <v>4331</v>
      </c>
    </row>
    <row r="88" ht="15.75" customHeight="1" spans="1:4">
      <c r="A88" s="3"/>
      <c r="B88" s="3"/>
      <c r="C88" s="3"/>
      <c r="D88" s="6" t="s">
        <v>4332</v>
      </c>
    </row>
    <row r="89" ht="15.75" customHeight="1" spans="1:4">
      <c r="A89" s="3"/>
      <c r="B89" s="3"/>
      <c r="C89" s="1" t="s">
        <v>2184</v>
      </c>
      <c r="D89" s="2" t="s">
        <v>4333</v>
      </c>
    </row>
    <row r="90" ht="15.75" customHeight="1" spans="1:4">
      <c r="A90" s="3"/>
      <c r="B90" s="3"/>
      <c r="C90" s="3"/>
      <c r="D90" s="6" t="s">
        <v>4334</v>
      </c>
    </row>
    <row r="91" ht="15.75" customHeight="1" spans="1:4">
      <c r="A91" s="3"/>
      <c r="B91" s="3"/>
      <c r="C91" s="1" t="s">
        <v>2177</v>
      </c>
      <c r="D91" s="2" t="s">
        <v>4335</v>
      </c>
    </row>
    <row r="92" ht="15.75" customHeight="1" spans="1:4">
      <c r="A92" s="3"/>
      <c r="B92" s="3"/>
      <c r="C92" s="3"/>
      <c r="D92" s="6" t="s">
        <v>4336</v>
      </c>
    </row>
    <row r="93" ht="15.75" customHeight="1" spans="1:4">
      <c r="A93" s="3"/>
      <c r="B93" s="3"/>
      <c r="C93" s="1" t="s">
        <v>2181</v>
      </c>
      <c r="D93" s="2" t="s">
        <v>4337</v>
      </c>
    </row>
    <row r="94" ht="15.75" customHeight="1" spans="1:4">
      <c r="A94" s="3"/>
      <c r="B94" s="3"/>
      <c r="C94" s="3"/>
      <c r="D94" s="6" t="s">
        <v>4338</v>
      </c>
    </row>
    <row r="95" ht="15.75" customHeight="1" spans="1:4">
      <c r="A95" s="3"/>
      <c r="B95" s="3"/>
      <c r="C95" s="3"/>
      <c r="D95" s="6" t="s">
        <v>4339</v>
      </c>
    </row>
    <row r="96" ht="15.75" customHeight="1" spans="1:4">
      <c r="A96" s="1" t="s">
        <v>2186</v>
      </c>
      <c r="B96" s="1" t="s">
        <v>4134</v>
      </c>
      <c r="C96" s="1" t="s">
        <v>2189</v>
      </c>
      <c r="D96" s="2" t="s">
        <v>4340</v>
      </c>
    </row>
    <row r="97" ht="15.75" customHeight="1" spans="1:4">
      <c r="A97" s="3"/>
      <c r="B97" s="1" t="s">
        <v>4132</v>
      </c>
      <c r="C97" s="1" t="s">
        <v>2189</v>
      </c>
      <c r="D97" s="2" t="s">
        <v>4341</v>
      </c>
    </row>
    <row r="98" ht="15.75" customHeight="1" spans="1:4">
      <c r="A98" s="3"/>
      <c r="B98" s="1" t="s">
        <v>4131</v>
      </c>
      <c r="C98" s="1" t="s">
        <v>2189</v>
      </c>
      <c r="D98" s="2" t="s">
        <v>4342</v>
      </c>
    </row>
    <row r="99" ht="15.75" customHeight="1" spans="1:4">
      <c r="A99" s="3"/>
      <c r="B99" s="3"/>
      <c r="C99" s="3"/>
      <c r="D99" s="6" t="s">
        <v>4343</v>
      </c>
    </row>
    <row r="100" ht="15.75" customHeight="1" spans="1:4">
      <c r="A100" s="3"/>
      <c r="B100" s="3"/>
      <c r="C100" s="3"/>
      <c r="D100" s="6" t="s">
        <v>4344</v>
      </c>
    </row>
    <row r="101" ht="15.75" customHeight="1" spans="1:4">
      <c r="A101" s="3"/>
      <c r="B101" s="3"/>
      <c r="C101" s="3"/>
      <c r="D101" s="6" t="s">
        <v>4345</v>
      </c>
    </row>
    <row r="102" ht="15.75" customHeight="1" spans="1:4">
      <c r="A102" s="3"/>
      <c r="B102" s="3"/>
      <c r="C102" s="1" t="s">
        <v>2177</v>
      </c>
      <c r="D102" s="2" t="s">
        <v>4346</v>
      </c>
    </row>
    <row r="103" ht="15.75" customHeight="1" spans="1:4">
      <c r="A103" s="3"/>
      <c r="B103" s="3"/>
      <c r="C103" s="1" t="s">
        <v>2181</v>
      </c>
      <c r="D103" s="2" t="s">
        <v>4347</v>
      </c>
    </row>
    <row r="104" ht="15.75" customHeight="1" spans="1:4">
      <c r="A104" s="1" t="s">
        <v>1767</v>
      </c>
      <c r="B104" s="1" t="s">
        <v>4134</v>
      </c>
      <c r="C104" s="1" t="s">
        <v>2189</v>
      </c>
      <c r="D104" s="2" t="s">
        <v>4348</v>
      </c>
    </row>
    <row r="105" ht="15.75" customHeight="1" spans="1:4">
      <c r="A105" s="3"/>
      <c r="B105" s="1" t="s">
        <v>4132</v>
      </c>
      <c r="C105" s="1" t="s">
        <v>2189</v>
      </c>
      <c r="D105" s="2" t="s">
        <v>4349</v>
      </c>
    </row>
    <row r="106" ht="15.75" customHeight="1" spans="1:4">
      <c r="A106" s="3"/>
      <c r="B106" s="1" t="s">
        <v>4131</v>
      </c>
      <c r="C106" s="1" t="s">
        <v>2189</v>
      </c>
      <c r="D106" s="2" t="s">
        <v>4350</v>
      </c>
    </row>
    <row r="107" ht="15.75" customHeight="1" spans="1:4">
      <c r="A107" s="3"/>
      <c r="B107" s="3"/>
      <c r="C107" s="3"/>
      <c r="D107" s="6" t="s">
        <v>4351</v>
      </c>
    </row>
    <row r="108" ht="15.75" customHeight="1" spans="1:4">
      <c r="A108" s="3"/>
      <c r="B108" s="3"/>
      <c r="C108" s="3"/>
      <c r="D108" s="6" t="s">
        <v>4352</v>
      </c>
    </row>
    <row r="109" ht="15.75" customHeight="1" spans="1:4">
      <c r="A109" s="3"/>
      <c r="B109" s="3"/>
      <c r="C109" s="1" t="s">
        <v>2383</v>
      </c>
      <c r="D109" s="2" t="s">
        <v>4353</v>
      </c>
    </row>
    <row r="110" ht="15.75" customHeight="1" spans="1:4">
      <c r="A110" s="3"/>
      <c r="B110" s="3"/>
      <c r="C110" s="3"/>
      <c r="D110" s="6" t="s">
        <v>4354</v>
      </c>
    </row>
    <row r="111" ht="15.75" customHeight="1" spans="1:4">
      <c r="A111" s="3"/>
      <c r="B111" s="3"/>
      <c r="C111" s="1" t="s">
        <v>2184</v>
      </c>
      <c r="D111" s="2" t="s">
        <v>4355</v>
      </c>
    </row>
    <row r="112" ht="15.75" customHeight="1" spans="1:4">
      <c r="A112" s="3"/>
      <c r="B112" s="3"/>
      <c r="C112" s="3"/>
      <c r="D112" s="6" t="s">
        <v>4356</v>
      </c>
    </row>
    <row r="113" ht="15.75" customHeight="1" spans="1:4">
      <c r="A113" s="3"/>
      <c r="B113" s="3"/>
      <c r="C113" s="1" t="s">
        <v>2177</v>
      </c>
      <c r="D113" s="2" t="s">
        <v>4357</v>
      </c>
    </row>
    <row r="114" ht="15.75" customHeight="1" spans="1:4">
      <c r="A114" s="3"/>
      <c r="B114" s="3"/>
      <c r="C114" s="1" t="s">
        <v>2181</v>
      </c>
      <c r="D114" s="2" t="s">
        <v>4358</v>
      </c>
    </row>
    <row r="115" ht="15.75" customHeight="1" spans="1:4">
      <c r="A115" s="3"/>
      <c r="B115" s="3"/>
      <c r="C115" s="3"/>
      <c r="D115" s="6" t="s">
        <v>4359</v>
      </c>
    </row>
    <row r="116" ht="15.75" customHeight="1" spans="1:4">
      <c r="A116" s="3"/>
      <c r="B116" s="3"/>
      <c r="C116" s="3"/>
      <c r="D116" s="6" t="s">
        <v>4360</v>
      </c>
    </row>
    <row r="117" ht="15.75" customHeight="1" spans="1:4">
      <c r="A117" s="1" t="s">
        <v>2178</v>
      </c>
      <c r="B117" s="1" t="s">
        <v>4134</v>
      </c>
      <c r="C117" s="1" t="s">
        <v>2189</v>
      </c>
      <c r="D117" s="2" t="s">
        <v>4361</v>
      </c>
    </row>
    <row r="118" ht="15.75" customHeight="1" spans="1:4">
      <c r="A118" s="3"/>
      <c r="B118" s="1" t="s">
        <v>4132</v>
      </c>
      <c r="C118" s="1" t="s">
        <v>2189</v>
      </c>
      <c r="D118" s="2" t="s">
        <v>4362</v>
      </c>
    </row>
    <row r="119" ht="15.75" customHeight="1" spans="1:4">
      <c r="A119" s="3"/>
      <c r="B119" s="1" t="s">
        <v>4131</v>
      </c>
      <c r="C119" s="1" t="s">
        <v>2189</v>
      </c>
      <c r="D119" s="2" t="s">
        <v>4363</v>
      </c>
    </row>
    <row r="120" ht="15.75" customHeight="1" spans="1:4">
      <c r="A120" s="3"/>
      <c r="B120" s="3"/>
      <c r="C120" s="3"/>
      <c r="D120" s="6" t="s">
        <v>4364</v>
      </c>
    </row>
    <row r="121" ht="15.75" customHeight="1" spans="1:4">
      <c r="A121" s="3"/>
      <c r="B121" s="3"/>
      <c r="C121" s="3"/>
      <c r="D121" s="6" t="s">
        <v>4365</v>
      </c>
    </row>
    <row r="122" ht="15.75" customHeight="1" spans="1:4">
      <c r="A122" s="3"/>
      <c r="B122" s="3"/>
      <c r="C122" s="3"/>
      <c r="D122" s="6" t="s">
        <v>4366</v>
      </c>
    </row>
    <row r="123" ht="15.75" customHeight="1" spans="1:4">
      <c r="A123" s="3"/>
      <c r="B123" s="3"/>
      <c r="C123" s="1" t="s">
        <v>2383</v>
      </c>
      <c r="D123" s="2" t="s">
        <v>4367</v>
      </c>
    </row>
    <row r="124" ht="15.75" customHeight="1" spans="1:4">
      <c r="A124" s="3"/>
      <c r="B124" s="3"/>
      <c r="C124" s="3"/>
      <c r="D124" s="6" t="s">
        <v>4368</v>
      </c>
    </row>
    <row r="125" ht="15.75" customHeight="1" spans="1:4">
      <c r="A125" s="3"/>
      <c r="B125" s="3"/>
      <c r="C125" s="1" t="s">
        <v>2184</v>
      </c>
      <c r="D125" s="2" t="s">
        <v>4369</v>
      </c>
    </row>
    <row r="126" ht="15.75" customHeight="1" spans="1:4">
      <c r="A126" s="3"/>
      <c r="B126" s="3"/>
      <c r="C126" s="3"/>
      <c r="D126" s="6" t="s">
        <v>4370</v>
      </c>
    </row>
    <row r="127" ht="15.75" customHeight="1" spans="1:4">
      <c r="A127" s="3"/>
      <c r="B127" s="3"/>
      <c r="C127" s="1" t="s">
        <v>2177</v>
      </c>
      <c r="D127" s="2" t="s">
        <v>4371</v>
      </c>
    </row>
    <row r="128" ht="15.75" customHeight="1" spans="1:4">
      <c r="A128" s="3"/>
      <c r="B128" s="3"/>
      <c r="C128" s="1" t="s">
        <v>2181</v>
      </c>
      <c r="D128" s="2" t="s">
        <v>4372</v>
      </c>
    </row>
    <row r="129" ht="15.75" customHeight="1" spans="1:4">
      <c r="A129" s="3"/>
      <c r="B129" s="3"/>
      <c r="C129" s="3"/>
      <c r="D129" s="6" t="s">
        <v>4373</v>
      </c>
    </row>
    <row r="130" ht="15.75" customHeight="1" spans="1:4">
      <c r="A130" s="3"/>
      <c r="B130" s="3"/>
      <c r="C130" s="3"/>
      <c r="D130" s="6" t="s">
        <v>4374</v>
      </c>
    </row>
    <row r="131" ht="15.75" customHeight="1" spans="1:4">
      <c r="A131" s="1" t="s">
        <v>2212</v>
      </c>
      <c r="B131" s="1" t="s">
        <v>4134</v>
      </c>
      <c r="C131" s="1" t="s">
        <v>2189</v>
      </c>
      <c r="D131" s="2" t="s">
        <v>4375</v>
      </c>
    </row>
    <row r="132" ht="15.75" customHeight="1" spans="1:4">
      <c r="A132" s="3"/>
      <c r="B132" s="1" t="s">
        <v>4132</v>
      </c>
      <c r="C132" s="1" t="s">
        <v>2189</v>
      </c>
      <c r="D132" s="2" t="s">
        <v>4376</v>
      </c>
    </row>
    <row r="133" ht="15.75" customHeight="1" spans="1:4">
      <c r="A133" s="3"/>
      <c r="B133" s="1" t="s">
        <v>4131</v>
      </c>
      <c r="C133" s="1" t="s">
        <v>2189</v>
      </c>
      <c r="D133" s="2" t="s">
        <v>4377</v>
      </c>
    </row>
    <row r="134" ht="15.75" customHeight="1" spans="1:4">
      <c r="A134" s="3"/>
      <c r="B134" s="3"/>
      <c r="C134" s="3"/>
      <c r="D134" s="6" t="s">
        <v>4378</v>
      </c>
    </row>
    <row r="135" ht="15.75" customHeight="1" spans="1:4">
      <c r="A135" s="3"/>
      <c r="B135" s="3"/>
      <c r="C135" s="3"/>
      <c r="D135" s="6" t="s">
        <v>4379</v>
      </c>
    </row>
    <row r="136" ht="15.75" customHeight="1" spans="1:4">
      <c r="A136" s="3"/>
      <c r="B136" s="3"/>
      <c r="C136" s="3"/>
      <c r="D136" s="6" t="s">
        <v>4380</v>
      </c>
    </row>
    <row r="137" ht="15.75" customHeight="1" spans="1:4">
      <c r="A137" s="3"/>
      <c r="B137" s="3"/>
      <c r="C137" s="1" t="s">
        <v>2383</v>
      </c>
      <c r="D137" s="2" t="s">
        <v>4381</v>
      </c>
    </row>
    <row r="138" ht="15.75" customHeight="1" spans="1:4">
      <c r="A138" s="3"/>
      <c r="B138" s="3"/>
      <c r="C138" s="3"/>
      <c r="D138" s="6" t="s">
        <v>4382</v>
      </c>
    </row>
    <row r="139" ht="15.75" customHeight="1" spans="1:4">
      <c r="A139" s="3"/>
      <c r="B139" s="3"/>
      <c r="C139" s="1" t="s">
        <v>2184</v>
      </c>
      <c r="D139" s="2" t="s">
        <v>4383</v>
      </c>
    </row>
    <row r="140" ht="15.75" customHeight="1" spans="1:4">
      <c r="A140" s="3"/>
      <c r="B140" s="3"/>
      <c r="C140" s="3"/>
      <c r="D140" s="6" t="s">
        <v>4384</v>
      </c>
    </row>
    <row r="141" ht="15.75" customHeight="1" spans="1:4">
      <c r="A141" s="3"/>
      <c r="B141" s="3"/>
      <c r="C141" s="1" t="s">
        <v>2177</v>
      </c>
      <c r="D141" s="2" t="s">
        <v>4385</v>
      </c>
    </row>
    <row r="142" ht="15.75" customHeight="1" spans="1:4">
      <c r="A142" s="3"/>
      <c r="B142" s="3"/>
      <c r="C142" s="3"/>
      <c r="D142" s="6" t="s">
        <v>4386</v>
      </c>
    </row>
    <row r="143" ht="15.75" customHeight="1" spans="1:4">
      <c r="A143" s="3"/>
      <c r="B143" s="3"/>
      <c r="C143" s="1" t="s">
        <v>2181</v>
      </c>
      <c r="D143" s="2" t="s">
        <v>4387</v>
      </c>
    </row>
    <row r="144" ht="15.75" customHeight="1" spans="1:4">
      <c r="A144" s="3"/>
      <c r="B144" s="3"/>
      <c r="C144" s="3"/>
      <c r="D144" s="6" t="s">
        <v>4388</v>
      </c>
    </row>
    <row r="145" ht="15.75" customHeight="1" spans="1:4">
      <c r="A145" s="3"/>
      <c r="B145" s="3"/>
      <c r="C145" s="3"/>
      <c r="D145" s="6" t="s">
        <v>4389</v>
      </c>
    </row>
    <row r="146" ht="15.75" customHeight="1" spans="1:4">
      <c r="A146" s="1" t="s">
        <v>1742</v>
      </c>
      <c r="B146" s="1" t="s">
        <v>4134</v>
      </c>
      <c r="C146" s="1" t="s">
        <v>2189</v>
      </c>
      <c r="D146" s="2" t="s">
        <v>4390</v>
      </c>
    </row>
    <row r="147" ht="15.75" customHeight="1" spans="1:4">
      <c r="A147" s="3"/>
      <c r="B147" s="1" t="s">
        <v>4132</v>
      </c>
      <c r="C147" s="1" t="s">
        <v>2189</v>
      </c>
      <c r="D147" s="2" t="s">
        <v>4391</v>
      </c>
    </row>
    <row r="148" ht="15.75" customHeight="1" spans="1:4">
      <c r="A148" s="3"/>
      <c r="B148" s="1" t="s">
        <v>4131</v>
      </c>
      <c r="C148" s="1" t="s">
        <v>2189</v>
      </c>
      <c r="D148" s="2" t="s">
        <v>4392</v>
      </c>
    </row>
    <row r="149" ht="15.75" customHeight="1" spans="1:4">
      <c r="A149" s="3"/>
      <c r="B149" s="3"/>
      <c r="C149" s="3"/>
      <c r="D149" s="6" t="s">
        <v>4393</v>
      </c>
    </row>
    <row r="150" ht="15.75" customHeight="1" spans="1:4">
      <c r="A150" s="3"/>
      <c r="B150" s="3"/>
      <c r="C150" s="3"/>
      <c r="D150" s="6" t="s">
        <v>4394</v>
      </c>
    </row>
    <row r="151" ht="15.75" customHeight="1" spans="1:4">
      <c r="A151" s="3"/>
      <c r="B151" s="3"/>
      <c r="C151" s="1" t="s">
        <v>2184</v>
      </c>
      <c r="D151" s="2" t="s">
        <v>4395</v>
      </c>
    </row>
    <row r="152" ht="15.75" customHeight="1" spans="1:4">
      <c r="A152" s="3"/>
      <c r="B152" s="3"/>
      <c r="C152" s="3"/>
      <c r="D152" s="6" t="s">
        <v>4396</v>
      </c>
    </row>
    <row r="153" ht="15.75" customHeight="1" spans="1:4">
      <c r="A153" s="3"/>
      <c r="B153" s="3"/>
      <c r="C153" s="1" t="s">
        <v>2177</v>
      </c>
      <c r="D153" s="2" t="s">
        <v>4397</v>
      </c>
    </row>
    <row r="154" ht="15.75" customHeight="1" spans="1:4">
      <c r="A154" s="3"/>
      <c r="B154" s="3"/>
      <c r="C154" s="3"/>
      <c r="D154" s="6" t="s">
        <v>4398</v>
      </c>
    </row>
    <row r="155" ht="15.75" customHeight="1" spans="1:4">
      <c r="A155" s="3"/>
      <c r="B155" s="3"/>
      <c r="C155" s="1" t="s">
        <v>2181</v>
      </c>
      <c r="D155" s="2" t="s">
        <v>4399</v>
      </c>
    </row>
    <row r="156" ht="15.75" customHeight="1" spans="1:4">
      <c r="A156" s="3"/>
      <c r="B156" s="3"/>
      <c r="C156" s="3"/>
      <c r="D156" s="6" t="s">
        <v>4400</v>
      </c>
    </row>
    <row r="157" ht="15.75" customHeight="1" spans="1:4">
      <c r="A157" s="3"/>
      <c r="B157" s="3"/>
      <c r="C157" s="3"/>
      <c r="D157" s="6" t="s">
        <v>4401</v>
      </c>
    </row>
    <row r="158" ht="15.75" customHeight="1" spans="1:4">
      <c r="A158" s="3"/>
      <c r="B158" s="3"/>
      <c r="C158" s="3"/>
      <c r="D158" s="6" t="s">
        <v>4402</v>
      </c>
    </row>
    <row r="159" ht="15.75" customHeight="1" spans="1:4">
      <c r="A159" s="1" t="s">
        <v>2231</v>
      </c>
      <c r="B159" s="1" t="s">
        <v>4134</v>
      </c>
      <c r="C159" s="1" t="s">
        <v>2189</v>
      </c>
      <c r="D159" s="2" t="s">
        <v>4403</v>
      </c>
    </row>
    <row r="160" ht="15.75" customHeight="1" spans="1:4">
      <c r="A160" s="3"/>
      <c r="B160" s="1" t="s">
        <v>4132</v>
      </c>
      <c r="C160" s="1" t="s">
        <v>2189</v>
      </c>
      <c r="D160" s="2" t="s">
        <v>4404</v>
      </c>
    </row>
    <row r="161" ht="15.75" customHeight="1" spans="1:4">
      <c r="A161" s="3"/>
      <c r="B161" s="1" t="s">
        <v>4131</v>
      </c>
      <c r="C161" s="1" t="s">
        <v>2189</v>
      </c>
      <c r="D161" s="2" t="s">
        <v>4405</v>
      </c>
    </row>
    <row r="162" ht="15.75" customHeight="1" spans="1:4">
      <c r="A162" s="3"/>
      <c r="B162" s="3"/>
      <c r="C162" s="3"/>
      <c r="D162" s="6" t="s">
        <v>4406</v>
      </c>
    </row>
    <row r="163" ht="15.75" customHeight="1" spans="1:4">
      <c r="A163" s="3"/>
      <c r="B163" s="3"/>
      <c r="C163" s="3"/>
      <c r="D163" s="6" t="s">
        <v>4407</v>
      </c>
    </row>
    <row r="164" ht="15.75" customHeight="1" spans="1:4">
      <c r="A164" s="3"/>
      <c r="B164" s="3"/>
      <c r="C164" s="1" t="s">
        <v>2383</v>
      </c>
      <c r="D164" s="2" t="s">
        <v>4408</v>
      </c>
    </row>
    <row r="165" ht="15.75" customHeight="1" spans="1:4">
      <c r="A165" s="3"/>
      <c r="B165" s="3"/>
      <c r="C165" s="1" t="s">
        <v>2184</v>
      </c>
      <c r="D165" s="2" t="s">
        <v>4409</v>
      </c>
    </row>
    <row r="166" ht="15.75" customHeight="1" spans="1:4">
      <c r="A166" s="3"/>
      <c r="B166" s="3"/>
      <c r="C166" s="3"/>
      <c r="D166" s="6" t="s">
        <v>4410</v>
      </c>
    </row>
    <row r="167" ht="15.75" customHeight="1" spans="1:4">
      <c r="A167" s="3"/>
      <c r="B167" s="3"/>
      <c r="C167" s="3"/>
      <c r="D167" s="6" t="s">
        <v>4411</v>
      </c>
    </row>
    <row r="168" ht="15.75" customHeight="1" spans="1:4">
      <c r="A168" s="3"/>
      <c r="B168" s="3"/>
      <c r="C168" s="1" t="s">
        <v>2177</v>
      </c>
      <c r="D168" s="2" t="s">
        <v>4412</v>
      </c>
    </row>
    <row r="169" ht="15.75" customHeight="1" spans="1:4">
      <c r="A169" s="3"/>
      <c r="B169" s="3"/>
      <c r="C169" s="1" t="s">
        <v>2181</v>
      </c>
      <c r="D169" s="2" t="s">
        <v>4413</v>
      </c>
    </row>
    <row r="170" ht="15.75" customHeight="1" spans="1:4">
      <c r="A170" s="3"/>
      <c r="B170" s="3"/>
      <c r="C170" s="3"/>
      <c r="D170" s="6" t="s">
        <v>4414</v>
      </c>
    </row>
    <row r="171" ht="15.75" customHeight="1" spans="1:4">
      <c r="A171" s="3"/>
      <c r="B171" s="3"/>
      <c r="C171" s="3"/>
      <c r="D171" s="6" t="s">
        <v>4415</v>
      </c>
    </row>
    <row r="172" ht="15.75" customHeight="1" spans="1:4">
      <c r="A172" s="8" t="s">
        <v>4315</v>
      </c>
      <c r="B172" s="8" t="s">
        <v>4315</v>
      </c>
      <c r="C172" s="8" t="s">
        <v>4315</v>
      </c>
      <c r="D172" s="10" t="s">
        <v>4315</v>
      </c>
    </row>
    <row r="173" ht="15.75" customHeight="1" spans="1:4">
      <c r="A173" s="11"/>
      <c r="B173" s="11"/>
      <c r="C173" s="11"/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Summary</vt:lpstr>
      <vt:lpstr>LM</vt:lpstr>
      <vt:lpstr>AMM</vt:lpstr>
      <vt:lpstr>Youth</vt:lpstr>
      <vt:lpstr>Childrens</vt:lpstr>
      <vt:lpstr>All Attendance</vt:lpstr>
      <vt:lpstr>VA-H300</vt:lpstr>
      <vt:lpstr>dropdown list</vt:lpstr>
      <vt:lpstr>Youth masterlist - 12 CG</vt:lpstr>
      <vt:lpstr>Pivot - 12 CG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2026-10-26T03:31:04Z</dcterms:created>
  <dcterms:modified xsi:type="dcterms:W3CDTF">2026-10-26T05:06:11Z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59B4A845F0BE4C38A59258C6561B5463_12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